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ad6220b66c90ac/Documents/CROPFORT COFFEE MANAGEMENT SYSTEM/"/>
    </mc:Choice>
  </mc:AlternateContent>
  <xr:revisionPtr revIDLastSave="0" documentId="8_{CB9E2BD4-4B15-432C-9380-B7550AFED85F}" xr6:coauthVersionLast="47" xr6:coauthVersionMax="47" xr10:uidLastSave="{00000000-0000-0000-0000-000000000000}"/>
  <bookViews>
    <workbookView xWindow="-98" yWindow="-98" windowWidth="21795" windowHeight="12975" tabRatio="500" activeTab="2" xr2:uid="{00000000-000D-0000-FFFF-FFFF00000000}"/>
  </bookViews>
  <sheets>
    <sheet name="README" sheetId="1" r:id="rId1"/>
    <sheet name="Activity List" sheetId="2" r:id="rId2"/>
    <sheet name="Master" sheetId="3" r:id="rId3"/>
    <sheet name="Benchmark Rate Survey" sheetId="4" r:id="rId4"/>
    <sheet name="Labor Rate Card" sheetId="5" r:id="rId5"/>
    <sheet name="Material Rate Card" sheetId="6" r:id="rId6"/>
    <sheet name="Outsourced Services Rate Card" sheetId="7" r:id="rId7"/>
    <sheet name="Fee Schedule" sheetId="8" r:id="rId8"/>
    <sheet name="Annual Election" sheetId="9" r:id="rId9"/>
    <sheet name="Activity Plan" sheetId="10" r:id="rId10"/>
    <sheet name="Supervisor Progress" sheetId="11" r:id="rId11"/>
    <sheet name="Labor Budget" sheetId="12" r:id="rId12"/>
    <sheet name="Material Budget" sheetId="13" r:id="rId13"/>
    <sheet name="Service Budget" sheetId="14" r:id="rId14"/>
    <sheet name="Monthly Cost Summary" sheetId="15" r:id="rId15"/>
    <sheet name="Weekly Cash Flow" sheetId="16" r:id="rId16"/>
    <sheet name="Total Budget Summary" sheetId="17" r:id="rId17"/>
    <sheet name="Calendar - Block 1" sheetId="18" r:id="rId18"/>
    <sheet name="Monthly Client Report"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19" l="1"/>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NE4" i="18"/>
  <c r="ND4" i="18"/>
  <c r="NC4" i="18"/>
  <c r="NB4" i="18"/>
  <c r="NA4" i="18"/>
  <c r="MZ4" i="18"/>
  <c r="MY4" i="18"/>
  <c r="MX4" i="18"/>
  <c r="MW4" i="18"/>
  <c r="MV4" i="18"/>
  <c r="MU4" i="18"/>
  <c r="MT4" i="18"/>
  <c r="MS4" i="18"/>
  <c r="MR4" i="18"/>
  <c r="MQ4" i="18"/>
  <c r="MP4" i="18"/>
  <c r="MO4" i="18"/>
  <c r="MN4" i="18"/>
  <c r="MM4" i="18"/>
  <c r="ML4" i="18"/>
  <c r="MK4" i="18"/>
  <c r="MJ4" i="18"/>
  <c r="MI4" i="18"/>
  <c r="MH4" i="18"/>
  <c r="MG4" i="18"/>
  <c r="MF4" i="18"/>
  <c r="ME4" i="18"/>
  <c r="MD4" i="18"/>
  <c r="MC4" i="18"/>
  <c r="MB4" i="18"/>
  <c r="MA4" i="18"/>
  <c r="LZ4" i="18"/>
  <c r="LY4" i="18"/>
  <c r="LX4" i="18"/>
  <c r="LW4" i="18"/>
  <c r="LV4" i="18"/>
  <c r="LU4" i="18"/>
  <c r="LT4" i="18"/>
  <c r="LS4" i="18"/>
  <c r="LR4" i="18"/>
  <c r="LQ4" i="18"/>
  <c r="LP4" i="18"/>
  <c r="LO4" i="18"/>
  <c r="LN4" i="18"/>
  <c r="LM4" i="18"/>
  <c r="LL4" i="18"/>
  <c r="LK4" i="18"/>
  <c r="LJ4" i="18"/>
  <c r="LI4" i="18"/>
  <c r="LH4" i="18"/>
  <c r="LG4" i="18"/>
  <c r="LF4" i="18"/>
  <c r="LE4" i="18"/>
  <c r="LD4" i="18"/>
  <c r="LC4" i="18"/>
  <c r="LB4" i="18"/>
  <c r="LA4" i="18"/>
  <c r="KZ4" i="18"/>
  <c r="KY4" i="18"/>
  <c r="KX4" i="18"/>
  <c r="KW4" i="18"/>
  <c r="KV4" i="18"/>
  <c r="KU4" i="18"/>
  <c r="KT4" i="18"/>
  <c r="KS4" i="18"/>
  <c r="KR4" i="18"/>
  <c r="KQ4" i="18"/>
  <c r="KP4" i="18"/>
  <c r="KO4" i="18"/>
  <c r="KN4" i="18"/>
  <c r="KM4" i="18"/>
  <c r="KL4" i="18"/>
  <c r="KK4" i="18"/>
  <c r="KJ4" i="18"/>
  <c r="KI4" i="18"/>
  <c r="KH4" i="18"/>
  <c r="KG4" i="18"/>
  <c r="KF4" i="18"/>
  <c r="KE4" i="18"/>
  <c r="KD4" i="18"/>
  <c r="KC4" i="18"/>
  <c r="KB4" i="18"/>
  <c r="KA4" i="18"/>
  <c r="JZ4" i="18"/>
  <c r="JY4" i="18"/>
  <c r="JX4" i="18"/>
  <c r="JW4" i="18"/>
  <c r="JV4" i="18"/>
  <c r="JU4" i="18"/>
  <c r="JT4" i="18"/>
  <c r="JS4" i="18"/>
  <c r="JR4" i="18"/>
  <c r="JQ4" i="18"/>
  <c r="JP4" i="18"/>
  <c r="JO4" i="18"/>
  <c r="JN4" i="18"/>
  <c r="JM4" i="18"/>
  <c r="JL4" i="18"/>
  <c r="JK4" i="18"/>
  <c r="JJ4" i="18"/>
  <c r="JI4" i="18"/>
  <c r="JH4" i="18"/>
  <c r="JG4" i="18"/>
  <c r="JF4" i="18"/>
  <c r="JE4" i="18"/>
  <c r="JD4" i="18"/>
  <c r="JC4" i="18"/>
  <c r="JB4" i="18"/>
  <c r="JA4" i="18"/>
  <c r="IZ4" i="18"/>
  <c r="IY4" i="18"/>
  <c r="IX4" i="18"/>
  <c r="IW4" i="18"/>
  <c r="IV4" i="18"/>
  <c r="IU4" i="18"/>
  <c r="IT4" i="18"/>
  <c r="IS4" i="18"/>
  <c r="IR4" i="18"/>
  <c r="IQ4" i="18"/>
  <c r="IP4" i="18"/>
  <c r="IO4" i="18"/>
  <c r="IN4" i="18"/>
  <c r="IM4" i="18"/>
  <c r="IL4" i="18"/>
  <c r="IK4" i="18"/>
  <c r="IJ4" i="18"/>
  <c r="II4" i="18"/>
  <c r="IH4" i="18"/>
  <c r="IG4" i="18"/>
  <c r="IF4" i="18"/>
  <c r="IE4" i="18"/>
  <c r="ID4" i="18"/>
  <c r="IC4" i="18"/>
  <c r="IB4" i="18"/>
  <c r="IA4" i="18"/>
  <c r="HZ4" i="18"/>
  <c r="HY4" i="18"/>
  <c r="HX4" i="18"/>
  <c r="HW4" i="18"/>
  <c r="HV4" i="18"/>
  <c r="HU4" i="18"/>
  <c r="HT4" i="18"/>
  <c r="HS4" i="18"/>
  <c r="HR4" i="18"/>
  <c r="HQ4" i="18"/>
  <c r="HP4" i="18"/>
  <c r="HO4" i="18"/>
  <c r="HN4" i="18"/>
  <c r="HM4" i="18"/>
  <c r="HL4" i="18"/>
  <c r="HK4" i="18"/>
  <c r="HJ4" i="18"/>
  <c r="HI4" i="18"/>
  <c r="HH4" i="18"/>
  <c r="HG4" i="18"/>
  <c r="HF4" i="18"/>
  <c r="HE4" i="18"/>
  <c r="HD4" i="18"/>
  <c r="HC4" i="18"/>
  <c r="HB4" i="18"/>
  <c r="HA4" i="18"/>
  <c r="GZ4" i="18"/>
  <c r="GY4" i="18"/>
  <c r="GX4" i="18"/>
  <c r="GW4" i="18"/>
  <c r="GV4" i="18"/>
  <c r="GU4" i="18"/>
  <c r="GT4" i="18"/>
  <c r="GS4" i="18"/>
  <c r="GR4" i="18"/>
  <c r="GQ4" i="18"/>
  <c r="GP4" i="18"/>
  <c r="GO4" i="18"/>
  <c r="GN4" i="18"/>
  <c r="GM4" i="18"/>
  <c r="GL4" i="18"/>
  <c r="GK4" i="18"/>
  <c r="GJ4" i="18"/>
  <c r="GI4" i="18"/>
  <c r="GH4" i="18"/>
  <c r="GG4" i="18"/>
  <c r="GF4" i="18"/>
  <c r="GE4" i="18"/>
  <c r="GD4" i="18"/>
  <c r="GC4" i="18"/>
  <c r="GB4" i="18"/>
  <c r="GA4" i="18"/>
  <c r="FZ4" i="18"/>
  <c r="FY4" i="18"/>
  <c r="FX4" i="18"/>
  <c r="FW4" i="18"/>
  <c r="FV4" i="18"/>
  <c r="FU4" i="18"/>
  <c r="FT4" i="18"/>
  <c r="FS4" i="18"/>
  <c r="FR4" i="18"/>
  <c r="FQ4" i="18"/>
  <c r="FP4" i="18"/>
  <c r="FO4" i="18"/>
  <c r="FN4" i="18"/>
  <c r="FM4" i="18"/>
  <c r="FL4" i="18"/>
  <c r="FK4" i="18"/>
  <c r="FJ4" i="18"/>
  <c r="FI4" i="18"/>
  <c r="FH4" i="18"/>
  <c r="FG4" i="18"/>
  <c r="FF4" i="18"/>
  <c r="FE4" i="18"/>
  <c r="FD4" i="18"/>
  <c r="FC4" i="18"/>
  <c r="FB4" i="18"/>
  <c r="FA4" i="18"/>
  <c r="EZ4" i="18"/>
  <c r="EY4" i="18"/>
  <c r="EX4" i="18"/>
  <c r="EW4" i="18"/>
  <c r="EV4" i="18"/>
  <c r="EU4" i="18"/>
  <c r="ET4" i="18"/>
  <c r="ES4" i="18"/>
  <c r="ER4" i="18"/>
  <c r="EQ4" i="18"/>
  <c r="EP4" i="18"/>
  <c r="EO4" i="18"/>
  <c r="EN4" i="18"/>
  <c r="EM4" i="18"/>
  <c r="EL4" i="18"/>
  <c r="EK4" i="18"/>
  <c r="EJ4" i="18"/>
  <c r="EI4" i="18"/>
  <c r="EH4" i="18"/>
  <c r="EG4" i="18"/>
  <c r="EF4" i="18"/>
  <c r="EE4" i="18"/>
  <c r="ED4" i="18"/>
  <c r="EC4" i="18"/>
  <c r="EB4" i="18"/>
  <c r="EA4" i="18"/>
  <c r="DZ4" i="18"/>
  <c r="DY4" i="18"/>
  <c r="DX4" i="18"/>
  <c r="DW4" i="18"/>
  <c r="DV4" i="18"/>
  <c r="DU4" i="18"/>
  <c r="DT4" i="18"/>
  <c r="DS4" i="18"/>
  <c r="DR4" i="18"/>
  <c r="DQ4" i="18"/>
  <c r="DP4" i="18"/>
  <c r="DO4" i="18"/>
  <c r="DN4" i="18"/>
  <c r="DM4" i="18"/>
  <c r="DL4" i="18"/>
  <c r="DK4" i="18"/>
  <c r="DJ4" i="18"/>
  <c r="DI4" i="18"/>
  <c r="DH4" i="18"/>
  <c r="DG4" i="18"/>
  <c r="DF4" i="18"/>
  <c r="DE4" i="18"/>
  <c r="DD4" i="18"/>
  <c r="DC4" i="18"/>
  <c r="DB4" i="18"/>
  <c r="DA4" i="18"/>
  <c r="CZ4" i="18"/>
  <c r="CY4" i="18"/>
  <c r="CX4" i="18"/>
  <c r="CW4" i="18"/>
  <c r="CV4" i="18"/>
  <c r="CU4" i="18"/>
  <c r="CT4" i="18"/>
  <c r="CS4" i="18"/>
  <c r="CR4" i="18"/>
  <c r="CQ4" i="18"/>
  <c r="CP4" i="18"/>
  <c r="CO4" i="18"/>
  <c r="CN4" i="18"/>
  <c r="CM4" i="18"/>
  <c r="CL4" i="18"/>
  <c r="CK4" i="18"/>
  <c r="CJ4" i="18"/>
  <c r="CI4" i="18"/>
  <c r="CH4" i="18"/>
  <c r="CG4" i="18"/>
  <c r="CF4" i="18"/>
  <c r="CE4" i="18"/>
  <c r="CD4" i="18"/>
  <c r="CC4" i="18"/>
  <c r="CB4" i="18"/>
  <c r="CA4" i="18"/>
  <c r="BZ4" i="18"/>
  <c r="BY4" i="18"/>
  <c r="BX4" i="18"/>
  <c r="BW4" i="18"/>
  <c r="BV4" i="18"/>
  <c r="BU4" i="18"/>
  <c r="BT4" i="18"/>
  <c r="BS4" i="18"/>
  <c r="BR4" i="18"/>
  <c r="BQ4" i="18"/>
  <c r="BP4" i="18"/>
  <c r="BO4" i="18"/>
  <c r="BN4" i="18"/>
  <c r="BM4" i="18"/>
  <c r="BL4" i="18"/>
  <c r="BK4" i="18"/>
  <c r="BJ4" i="18"/>
  <c r="BI4" i="18"/>
  <c r="BH4" i="18"/>
  <c r="BG4" i="18"/>
  <c r="BF4" i="18"/>
  <c r="BE4" i="18"/>
  <c r="BD4" i="18"/>
  <c r="BC4" i="18"/>
  <c r="BB4" i="18"/>
  <c r="BA4" i="18"/>
  <c r="AZ4" i="18"/>
  <c r="AY4" i="18"/>
  <c r="AX4" i="18"/>
  <c r="AW4" i="18"/>
  <c r="AV4" i="18"/>
  <c r="AU4" i="18"/>
  <c r="AT4" i="18"/>
  <c r="AS4" i="18"/>
  <c r="AR4" i="18"/>
  <c r="AQ4" i="18"/>
  <c r="AP4" i="18"/>
  <c r="AO4" i="18"/>
  <c r="AN4" i="18"/>
  <c r="AM4" i="18"/>
  <c r="AL4" i="18"/>
  <c r="AK4" i="18"/>
  <c r="AJ4" i="18"/>
  <c r="AI4" i="18"/>
  <c r="AH4" i="18"/>
  <c r="AG4" i="18"/>
  <c r="AF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13" i="17"/>
  <c r="D12" i="17"/>
  <c r="C12" i="17"/>
  <c r="D11" i="17"/>
  <c r="C11" i="17"/>
  <c r="D10" i="17"/>
  <c r="C10" i="17"/>
  <c r="C13" i="17" s="1"/>
  <c r="B4" i="17"/>
  <c r="A4" i="17"/>
  <c r="E57" i="16"/>
  <c r="C57" i="16"/>
  <c r="B57" i="16"/>
  <c r="D57" i="16" s="1"/>
  <c r="B56" i="16"/>
  <c r="E55" i="16"/>
  <c r="D55" i="16"/>
  <c r="F55" i="16" s="1"/>
  <c r="C55" i="16"/>
  <c r="B55" i="16"/>
  <c r="B54" i="16"/>
  <c r="E54" i="16" s="1"/>
  <c r="C53" i="16"/>
  <c r="B53" i="16"/>
  <c r="E53" i="16" s="1"/>
  <c r="B52" i="16"/>
  <c r="C51" i="16"/>
  <c r="B51" i="16"/>
  <c r="D51" i="16" s="1"/>
  <c r="E50" i="16"/>
  <c r="D50" i="16"/>
  <c r="F50" i="16" s="1"/>
  <c r="C50" i="16"/>
  <c r="B50" i="16"/>
  <c r="E49" i="16"/>
  <c r="D49" i="16"/>
  <c r="F49" i="16" s="1"/>
  <c r="B49" i="16"/>
  <c r="C49" i="16" s="1"/>
  <c r="F48" i="16"/>
  <c r="D48" i="16"/>
  <c r="C48" i="16"/>
  <c r="B48" i="16"/>
  <c r="E48" i="16" s="1"/>
  <c r="E47" i="16"/>
  <c r="D47" i="16"/>
  <c r="F47" i="16" s="1"/>
  <c r="C47" i="16"/>
  <c r="B47" i="16"/>
  <c r="C46" i="16"/>
  <c r="B46" i="16"/>
  <c r="D46" i="16" s="1"/>
  <c r="B45" i="16"/>
  <c r="E44" i="16"/>
  <c r="D44" i="16"/>
  <c r="F44" i="16" s="1"/>
  <c r="C44" i="16"/>
  <c r="B44" i="16"/>
  <c r="B43" i="16"/>
  <c r="E43" i="16" s="1"/>
  <c r="E42" i="16"/>
  <c r="B42" i="16"/>
  <c r="E41" i="16"/>
  <c r="D41" i="16"/>
  <c r="B41" i="16"/>
  <c r="C41" i="16" s="1"/>
  <c r="B40" i="16"/>
  <c r="D40" i="16" s="1"/>
  <c r="E39" i="16"/>
  <c r="D39" i="16"/>
  <c r="F39" i="16" s="1"/>
  <c r="C39" i="16"/>
  <c r="B39" i="16"/>
  <c r="F38" i="16"/>
  <c r="E38" i="16"/>
  <c r="D38" i="16"/>
  <c r="B38" i="16"/>
  <c r="C38" i="16" s="1"/>
  <c r="B37" i="16"/>
  <c r="E36" i="16"/>
  <c r="D36" i="16"/>
  <c r="C36" i="16"/>
  <c r="B36" i="16"/>
  <c r="B35" i="16"/>
  <c r="D35" i="16" s="1"/>
  <c r="B34" i="16"/>
  <c r="E33" i="16"/>
  <c r="F33" i="16" s="1"/>
  <c r="D33" i="16"/>
  <c r="C33" i="16"/>
  <c r="B33" i="16"/>
  <c r="B32" i="16"/>
  <c r="E31" i="16"/>
  <c r="C31" i="16"/>
  <c r="B31" i="16"/>
  <c r="D31" i="16" s="1"/>
  <c r="F31" i="16" s="1"/>
  <c r="B30" i="16"/>
  <c r="C30" i="16" s="1"/>
  <c r="B29" i="16"/>
  <c r="E28" i="16"/>
  <c r="D28" i="16"/>
  <c r="F28" i="16" s="1"/>
  <c r="C28" i="16"/>
  <c r="B28" i="16"/>
  <c r="E27" i="16"/>
  <c r="D27" i="16"/>
  <c r="F27" i="16" s="1"/>
  <c r="B27" i="16"/>
  <c r="C27" i="16" s="1"/>
  <c r="D26" i="16"/>
  <c r="F26" i="16" s="1"/>
  <c r="B26" i="16"/>
  <c r="E26" i="16" s="1"/>
  <c r="E25" i="16"/>
  <c r="D25" i="16"/>
  <c r="F25" i="16" s="1"/>
  <c r="C25" i="16"/>
  <c r="B25" i="16"/>
  <c r="B24" i="16"/>
  <c r="D24" i="16" s="1"/>
  <c r="C23" i="16"/>
  <c r="B23" i="16"/>
  <c r="E22" i="16"/>
  <c r="D22" i="16"/>
  <c r="F22" i="16" s="1"/>
  <c r="C22" i="16"/>
  <c r="B22" i="16"/>
  <c r="B21" i="16"/>
  <c r="D20" i="16"/>
  <c r="B20" i="16"/>
  <c r="E20" i="16" s="1"/>
  <c r="E19" i="16"/>
  <c r="D19" i="16"/>
  <c r="F19" i="16" s="1"/>
  <c r="B19" i="16"/>
  <c r="C19" i="16" s="1"/>
  <c r="B18" i="16"/>
  <c r="D18" i="16" s="1"/>
  <c r="E17" i="16"/>
  <c r="D17" i="16"/>
  <c r="F17" i="16" s="1"/>
  <c r="C17" i="16"/>
  <c r="B17" i="16"/>
  <c r="F16" i="16"/>
  <c r="E16" i="16"/>
  <c r="D16" i="16"/>
  <c r="B16" i="16"/>
  <c r="C16" i="16" s="1"/>
  <c r="B15" i="16"/>
  <c r="E14" i="16"/>
  <c r="D14" i="16"/>
  <c r="C14" i="16"/>
  <c r="B14" i="16"/>
  <c r="E13" i="16"/>
  <c r="F13" i="16" s="1"/>
  <c r="B13" i="16"/>
  <c r="D13" i="16" s="1"/>
  <c r="C12" i="16"/>
  <c r="B12" i="16"/>
  <c r="F11" i="16"/>
  <c r="E11" i="16"/>
  <c r="D11" i="16"/>
  <c r="C11" i="16"/>
  <c r="B11" i="16"/>
  <c r="B10" i="16"/>
  <c r="B9" i="16"/>
  <c r="E8" i="16"/>
  <c r="D8" i="16"/>
  <c r="B8" i="16"/>
  <c r="C8" i="16" s="1"/>
  <c r="F7" i="16"/>
  <c r="E7" i="16"/>
  <c r="C7" i="16"/>
  <c r="B7" i="16"/>
  <c r="D7" i="16" s="1"/>
  <c r="E6" i="16"/>
  <c r="D6" i="16"/>
  <c r="F6" i="16" s="1"/>
  <c r="C6" i="16"/>
  <c r="B6" i="16"/>
  <c r="E5" i="16"/>
  <c r="D5" i="16"/>
  <c r="F5" i="16" s="1"/>
  <c r="G5" i="16" s="1"/>
  <c r="G6" i="16" s="1"/>
  <c r="B5" i="16"/>
  <c r="C5" i="16" s="1"/>
  <c r="D13" i="15"/>
  <c r="B13" i="15"/>
  <c r="C13" i="15" s="1"/>
  <c r="E13" i="15" s="1"/>
  <c r="B12" i="15"/>
  <c r="C11" i="15"/>
  <c r="E11" i="15" s="1"/>
  <c r="B11" i="15"/>
  <c r="D11" i="15" s="1"/>
  <c r="C10" i="15"/>
  <c r="B10" i="15"/>
  <c r="D10" i="15" s="1"/>
  <c r="B9" i="15"/>
  <c r="C8" i="15"/>
  <c r="E8" i="15" s="1"/>
  <c r="B8" i="15"/>
  <c r="D8" i="15" s="1"/>
  <c r="D7" i="15"/>
  <c r="B7" i="15"/>
  <c r="C7" i="15" s="1"/>
  <c r="D6" i="15"/>
  <c r="B6" i="15"/>
  <c r="C6" i="15" s="1"/>
  <c r="E6" i="15" s="1"/>
  <c r="B5" i="15"/>
  <c r="C5" i="15" s="1"/>
  <c r="D4" i="15"/>
  <c r="C4" i="15"/>
  <c r="E4" i="15" s="1"/>
  <c r="B4" i="15"/>
  <c r="D3" i="15"/>
  <c r="C3" i="15"/>
  <c r="B3" i="15"/>
  <c r="B2" i="15"/>
  <c r="D2" i="15" s="1"/>
  <c r="F11" i="14"/>
  <c r="C11" i="14"/>
  <c r="A11" i="14"/>
  <c r="F10" i="14"/>
  <c r="C10" i="14"/>
  <c r="A10" i="14"/>
  <c r="F9" i="14"/>
  <c r="C9" i="14"/>
  <c r="A9" i="14"/>
  <c r="F8" i="14"/>
  <c r="C8" i="14"/>
  <c r="A8" i="14"/>
  <c r="F7" i="14"/>
  <c r="C7" i="14"/>
  <c r="A7" i="14"/>
  <c r="F6" i="14"/>
  <c r="C6" i="14"/>
  <c r="A6" i="14"/>
  <c r="F5" i="14"/>
  <c r="C5" i="14"/>
  <c r="A5" i="14"/>
  <c r="F4" i="14"/>
  <c r="C4" i="14"/>
  <c r="A4" i="14"/>
  <c r="F3" i="14"/>
  <c r="C3" i="14"/>
  <c r="A3" i="14"/>
  <c r="F2" i="14"/>
  <c r="C2" i="14"/>
  <c r="A2" i="14"/>
  <c r="F11" i="13"/>
  <c r="C11" i="13"/>
  <c r="A11" i="13"/>
  <c r="F10" i="13"/>
  <c r="C10" i="13"/>
  <c r="A10" i="13"/>
  <c r="F9" i="13"/>
  <c r="C9" i="13"/>
  <c r="A9" i="13"/>
  <c r="F8" i="13"/>
  <c r="C8" i="13"/>
  <c r="A8" i="13"/>
  <c r="F7" i="13"/>
  <c r="C7" i="13"/>
  <c r="A7" i="13"/>
  <c r="F6" i="13"/>
  <c r="C6" i="13"/>
  <c r="A6" i="13"/>
  <c r="F5" i="13"/>
  <c r="C5" i="13"/>
  <c r="A5" i="13"/>
  <c r="F4" i="13"/>
  <c r="C4" i="13"/>
  <c r="A4" i="13"/>
  <c r="F3" i="13"/>
  <c r="C3" i="13"/>
  <c r="A3" i="13"/>
  <c r="F2" i="13"/>
  <c r="C2" i="13"/>
  <c r="A2" i="13"/>
  <c r="B2" i="12"/>
  <c r="A2" i="12"/>
  <c r="L135" i="11"/>
  <c r="M135" i="11" s="1"/>
  <c r="P135" i="11" s="1"/>
  <c r="J135" i="11"/>
  <c r="H135" i="11"/>
  <c r="I135" i="11" s="1"/>
  <c r="F135" i="11"/>
  <c r="N135" i="11" s="1"/>
  <c r="O135" i="11" s="1"/>
  <c r="E135" i="11"/>
  <c r="D135" i="11"/>
  <c r="A135" i="11"/>
  <c r="M134" i="11"/>
  <c r="P134" i="11" s="1"/>
  <c r="L134" i="11"/>
  <c r="H134" i="11"/>
  <c r="J134" i="11" s="1"/>
  <c r="D134" i="11"/>
  <c r="M133" i="11"/>
  <c r="P133" i="11" s="1"/>
  <c r="L133" i="11"/>
  <c r="I133" i="11"/>
  <c r="H133" i="11"/>
  <c r="J133" i="11" s="1"/>
  <c r="D133" i="11"/>
  <c r="A133" i="11"/>
  <c r="P132" i="11"/>
  <c r="M132" i="11"/>
  <c r="L132" i="11"/>
  <c r="H132" i="11"/>
  <c r="J132" i="11" s="1"/>
  <c r="D132" i="11"/>
  <c r="L131" i="11"/>
  <c r="M131" i="11" s="1"/>
  <c r="P131" i="11" s="1"/>
  <c r="J131" i="11"/>
  <c r="H131" i="11"/>
  <c r="I131" i="11" s="1"/>
  <c r="D131" i="11"/>
  <c r="C131" i="11"/>
  <c r="B131" i="11"/>
  <c r="L130" i="11"/>
  <c r="M130" i="11" s="1"/>
  <c r="P130" i="11" s="1"/>
  <c r="J130" i="11"/>
  <c r="H130" i="11"/>
  <c r="I130" i="11" s="1"/>
  <c r="D130" i="11"/>
  <c r="L129" i="11"/>
  <c r="M129" i="11" s="1"/>
  <c r="P129" i="11" s="1"/>
  <c r="J129" i="11"/>
  <c r="H129" i="11"/>
  <c r="I129" i="11" s="1"/>
  <c r="D129" i="11"/>
  <c r="C129" i="11"/>
  <c r="B129" i="11"/>
  <c r="M128" i="11"/>
  <c r="P128" i="11" s="1"/>
  <c r="L128" i="11"/>
  <c r="D128" i="11"/>
  <c r="H128" i="11" s="1"/>
  <c r="C128" i="11"/>
  <c r="L127" i="11"/>
  <c r="M127" i="11" s="1"/>
  <c r="P127" i="11" s="1"/>
  <c r="J127" i="11"/>
  <c r="I127" i="11"/>
  <c r="D127" i="11"/>
  <c r="H127" i="11" s="1"/>
  <c r="M126" i="11"/>
  <c r="P126" i="11" s="1"/>
  <c r="L126" i="11"/>
  <c r="F126" i="11"/>
  <c r="E126" i="11"/>
  <c r="D126" i="11"/>
  <c r="H126" i="11" s="1"/>
  <c r="B126" i="11"/>
  <c r="A126" i="11"/>
  <c r="L125" i="11"/>
  <c r="M125" i="11" s="1"/>
  <c r="P125" i="11" s="1"/>
  <c r="J125" i="11"/>
  <c r="H125" i="11"/>
  <c r="I125" i="11" s="1"/>
  <c r="F125" i="11"/>
  <c r="N125" i="11" s="1"/>
  <c r="O125" i="11" s="1"/>
  <c r="E125" i="11"/>
  <c r="D125" i="11"/>
  <c r="L124" i="11"/>
  <c r="M124" i="11" s="1"/>
  <c r="P124" i="11" s="1"/>
  <c r="H124" i="11"/>
  <c r="F124" i="11"/>
  <c r="N124" i="11" s="1"/>
  <c r="O124" i="11" s="1"/>
  <c r="E124" i="11"/>
  <c r="D124" i="11"/>
  <c r="C124" i="11"/>
  <c r="A124" i="11"/>
  <c r="N123" i="11"/>
  <c r="O123" i="11" s="1"/>
  <c r="M123" i="11"/>
  <c r="P123" i="11" s="1"/>
  <c r="L123" i="11"/>
  <c r="J123" i="11"/>
  <c r="I123" i="11"/>
  <c r="H123" i="11"/>
  <c r="F123" i="11"/>
  <c r="E123" i="11"/>
  <c r="D123" i="11"/>
  <c r="B123" i="11"/>
  <c r="M122" i="11"/>
  <c r="P122" i="11" s="1"/>
  <c r="L122" i="11"/>
  <c r="H122" i="11"/>
  <c r="F122" i="11"/>
  <c r="E122" i="11"/>
  <c r="D122" i="11"/>
  <c r="L121" i="11"/>
  <c r="M121" i="11" s="1"/>
  <c r="P121" i="11" s="1"/>
  <c r="F121" i="11"/>
  <c r="N121" i="11" s="1"/>
  <c r="O121" i="11" s="1"/>
  <c r="E121" i="11"/>
  <c r="D121" i="11"/>
  <c r="H121" i="11" s="1"/>
  <c r="L120" i="11"/>
  <c r="M120" i="11" s="1"/>
  <c r="P120" i="11" s="1"/>
  <c r="H120" i="11"/>
  <c r="I120" i="11" s="1"/>
  <c r="F120" i="11"/>
  <c r="N120" i="11" s="1"/>
  <c r="O120" i="11" s="1"/>
  <c r="E120" i="11"/>
  <c r="D120" i="11"/>
  <c r="A120" i="11"/>
  <c r="L119" i="11"/>
  <c r="M119" i="11" s="1"/>
  <c r="P119" i="11" s="1"/>
  <c r="H119" i="11"/>
  <c r="I119" i="11" s="1"/>
  <c r="F119" i="11"/>
  <c r="N119" i="11" s="1"/>
  <c r="O119" i="11" s="1"/>
  <c r="E119" i="11"/>
  <c r="D119" i="11"/>
  <c r="B119" i="11"/>
  <c r="L118" i="11"/>
  <c r="M118" i="11" s="1"/>
  <c r="P118" i="11" s="1"/>
  <c r="F118" i="11"/>
  <c r="N118" i="11" s="1"/>
  <c r="O118" i="11" s="1"/>
  <c r="E118" i="11"/>
  <c r="D118" i="11"/>
  <c r="H118" i="11" s="1"/>
  <c r="J118" i="11" s="1"/>
  <c r="M117" i="11"/>
  <c r="P117" i="11" s="1"/>
  <c r="L117" i="11"/>
  <c r="F117" i="11"/>
  <c r="E117" i="11"/>
  <c r="D117" i="11"/>
  <c r="C117" i="11"/>
  <c r="B117" i="11"/>
  <c r="P116" i="11"/>
  <c r="N116" i="11"/>
  <c r="O116" i="11" s="1"/>
  <c r="L116" i="11"/>
  <c r="M116" i="11" s="1"/>
  <c r="J116" i="11"/>
  <c r="I116" i="11"/>
  <c r="H116" i="11"/>
  <c r="F116" i="11"/>
  <c r="E116" i="11"/>
  <c r="D116" i="11"/>
  <c r="L115" i="11"/>
  <c r="M115" i="11" s="1"/>
  <c r="P115" i="11" s="1"/>
  <c r="F115" i="11"/>
  <c r="E115" i="11"/>
  <c r="D115" i="11"/>
  <c r="H115" i="11" s="1"/>
  <c r="P114" i="11"/>
  <c r="N114" i="11"/>
  <c r="O114" i="11" s="1"/>
  <c r="M114" i="11"/>
  <c r="L114" i="11"/>
  <c r="J114" i="11"/>
  <c r="I114" i="11"/>
  <c r="H114" i="11"/>
  <c r="F114" i="11"/>
  <c r="E114" i="11"/>
  <c r="D114" i="11"/>
  <c r="L113" i="11"/>
  <c r="M113" i="11" s="1"/>
  <c r="P113" i="11" s="1"/>
  <c r="J113" i="11"/>
  <c r="I113" i="11"/>
  <c r="F113" i="11"/>
  <c r="N113" i="11" s="1"/>
  <c r="O113" i="11" s="1"/>
  <c r="E113" i="11"/>
  <c r="D113" i="11"/>
  <c r="H113" i="11" s="1"/>
  <c r="A113" i="11"/>
  <c r="M112" i="11"/>
  <c r="P112" i="11" s="1"/>
  <c r="L112" i="11"/>
  <c r="F112" i="11"/>
  <c r="N112" i="11" s="1"/>
  <c r="O112" i="11" s="1"/>
  <c r="E112" i="11"/>
  <c r="D112" i="11"/>
  <c r="H112" i="11" s="1"/>
  <c r="B112" i="11"/>
  <c r="A112" i="11"/>
  <c r="L111" i="11"/>
  <c r="M111" i="11" s="1"/>
  <c r="P111" i="11" s="1"/>
  <c r="F111" i="11"/>
  <c r="E111" i="11"/>
  <c r="D111" i="11"/>
  <c r="H111" i="11" s="1"/>
  <c r="I111" i="11" s="1"/>
  <c r="L110" i="11"/>
  <c r="M110" i="11" s="1"/>
  <c r="P110" i="11" s="1"/>
  <c r="F110" i="11"/>
  <c r="E110" i="11"/>
  <c r="D110" i="11"/>
  <c r="H110" i="11" s="1"/>
  <c r="I110" i="11" s="1"/>
  <c r="P109" i="11"/>
  <c r="L109" i="11"/>
  <c r="M109" i="11" s="1"/>
  <c r="F109" i="11"/>
  <c r="E109" i="11"/>
  <c r="D109" i="11"/>
  <c r="H109" i="11" s="1"/>
  <c r="M108" i="11"/>
  <c r="P108" i="11" s="1"/>
  <c r="L108" i="11"/>
  <c r="J108" i="11"/>
  <c r="I108" i="11"/>
  <c r="F108" i="11"/>
  <c r="N108" i="11" s="1"/>
  <c r="O108" i="11" s="1"/>
  <c r="E108" i="11"/>
  <c r="D108" i="11"/>
  <c r="H108" i="11" s="1"/>
  <c r="M107" i="11"/>
  <c r="P107" i="11" s="1"/>
  <c r="L107" i="11"/>
  <c r="F107" i="11"/>
  <c r="N107" i="11" s="1"/>
  <c r="O107" i="11" s="1"/>
  <c r="E107" i="11"/>
  <c r="D107" i="11"/>
  <c r="H107" i="11" s="1"/>
  <c r="B107" i="11"/>
  <c r="L106" i="11"/>
  <c r="M106" i="11" s="1"/>
  <c r="P106" i="11" s="1"/>
  <c r="H106" i="11"/>
  <c r="J106" i="11" s="1"/>
  <c r="F106" i="11"/>
  <c r="E106" i="11"/>
  <c r="D106" i="11"/>
  <c r="L105" i="11"/>
  <c r="M105" i="11" s="1"/>
  <c r="P105" i="11" s="1"/>
  <c r="F105" i="11"/>
  <c r="E105" i="11"/>
  <c r="D105" i="11"/>
  <c r="H105" i="11" s="1"/>
  <c r="C105" i="11"/>
  <c r="P104" i="11"/>
  <c r="M104" i="11"/>
  <c r="L104" i="11"/>
  <c r="F104" i="11"/>
  <c r="E104" i="11"/>
  <c r="D104" i="11"/>
  <c r="H104" i="11" s="1"/>
  <c r="N103" i="11"/>
  <c r="O103" i="11" s="1"/>
  <c r="M103" i="11"/>
  <c r="P103" i="11" s="1"/>
  <c r="L103" i="11"/>
  <c r="J103" i="11"/>
  <c r="I103" i="11"/>
  <c r="H103" i="11"/>
  <c r="F103" i="11"/>
  <c r="E103" i="11"/>
  <c r="D103" i="11"/>
  <c r="L102" i="11"/>
  <c r="M102" i="11" s="1"/>
  <c r="P102" i="11" s="1"/>
  <c r="F102" i="11"/>
  <c r="N102" i="11" s="1"/>
  <c r="O102" i="11" s="1"/>
  <c r="E102" i="11"/>
  <c r="D102" i="11"/>
  <c r="H102" i="11" s="1"/>
  <c r="P101" i="11"/>
  <c r="N101" i="11"/>
  <c r="O101" i="11" s="1"/>
  <c r="M101" i="11"/>
  <c r="L101" i="11"/>
  <c r="J101" i="11"/>
  <c r="I101" i="11"/>
  <c r="H101" i="11"/>
  <c r="F101" i="11"/>
  <c r="E101" i="11"/>
  <c r="D101" i="11"/>
  <c r="L100" i="11"/>
  <c r="M100" i="11" s="1"/>
  <c r="P100" i="11" s="1"/>
  <c r="F100" i="11"/>
  <c r="E100" i="11"/>
  <c r="D100" i="11"/>
  <c r="H100" i="11" s="1"/>
  <c r="J100" i="11" s="1"/>
  <c r="A100" i="11"/>
  <c r="P99" i="11"/>
  <c r="L99" i="11"/>
  <c r="M99" i="11" s="1"/>
  <c r="F99" i="11"/>
  <c r="E99" i="11"/>
  <c r="D99" i="11"/>
  <c r="H99" i="11" s="1"/>
  <c r="B99" i="11"/>
  <c r="L98" i="11"/>
  <c r="M98" i="11" s="1"/>
  <c r="P98" i="11" s="1"/>
  <c r="F98" i="11"/>
  <c r="E98" i="11"/>
  <c r="D98" i="11"/>
  <c r="L97" i="11"/>
  <c r="M97" i="11" s="1"/>
  <c r="P97" i="11" s="1"/>
  <c r="F97" i="11"/>
  <c r="N97" i="11" s="1"/>
  <c r="O97" i="11" s="1"/>
  <c r="E97" i="11"/>
  <c r="D97" i="11"/>
  <c r="H97" i="11" s="1"/>
  <c r="A97" i="11"/>
  <c r="M96" i="11"/>
  <c r="P96" i="11" s="1"/>
  <c r="L96" i="11"/>
  <c r="J96" i="11"/>
  <c r="H96" i="11"/>
  <c r="N96" i="11" s="1"/>
  <c r="O96" i="11" s="1"/>
  <c r="F96" i="11"/>
  <c r="E96" i="11"/>
  <c r="D96" i="11"/>
  <c r="L95" i="11"/>
  <c r="M95" i="11" s="1"/>
  <c r="P95" i="11" s="1"/>
  <c r="H95" i="11"/>
  <c r="J95" i="11" s="1"/>
  <c r="F95" i="11"/>
  <c r="E95" i="11"/>
  <c r="D95" i="11"/>
  <c r="B95" i="11"/>
  <c r="P94" i="11"/>
  <c r="M94" i="11"/>
  <c r="L94" i="11"/>
  <c r="F94" i="11"/>
  <c r="E94" i="11"/>
  <c r="D94" i="11"/>
  <c r="H94" i="11" s="1"/>
  <c r="L93" i="11"/>
  <c r="M93" i="11" s="1"/>
  <c r="P93" i="11" s="1"/>
  <c r="F93" i="11"/>
  <c r="E93" i="11"/>
  <c r="D93" i="11"/>
  <c r="H93" i="11" s="1"/>
  <c r="C93" i="11"/>
  <c r="M92" i="11"/>
  <c r="P92" i="11" s="1"/>
  <c r="L92" i="11"/>
  <c r="J92" i="11"/>
  <c r="I92" i="11"/>
  <c r="H92" i="11"/>
  <c r="F92" i="11"/>
  <c r="N92" i="11" s="1"/>
  <c r="O92" i="11" s="1"/>
  <c r="E92" i="11"/>
  <c r="D92" i="11"/>
  <c r="C92" i="11"/>
  <c r="B92" i="11"/>
  <c r="N91" i="11"/>
  <c r="O91" i="11" s="1"/>
  <c r="L91" i="11"/>
  <c r="M91" i="11" s="1"/>
  <c r="P91" i="11" s="1"/>
  <c r="J91" i="11"/>
  <c r="I91" i="11"/>
  <c r="H91" i="11"/>
  <c r="F91" i="11"/>
  <c r="E91" i="11"/>
  <c r="D91" i="11"/>
  <c r="P90" i="11"/>
  <c r="M90" i="11"/>
  <c r="L90" i="11"/>
  <c r="J90" i="11"/>
  <c r="I90" i="11"/>
  <c r="H90" i="11"/>
  <c r="F90" i="11"/>
  <c r="E90" i="11"/>
  <c r="D90" i="11"/>
  <c r="C90" i="11"/>
  <c r="L89" i="11"/>
  <c r="M89" i="11" s="1"/>
  <c r="P89" i="11" s="1"/>
  <c r="F89" i="11"/>
  <c r="E89" i="11"/>
  <c r="D89" i="11"/>
  <c r="H89" i="11" s="1"/>
  <c r="N88" i="11"/>
  <c r="O88" i="11" s="1"/>
  <c r="M88" i="11"/>
  <c r="P88" i="11" s="1"/>
  <c r="L88" i="11"/>
  <c r="I88" i="11"/>
  <c r="F88" i="11"/>
  <c r="E88" i="11"/>
  <c r="D88" i="11"/>
  <c r="H88" i="11" s="1"/>
  <c r="J88" i="11" s="1"/>
  <c r="L87" i="11"/>
  <c r="M87" i="11" s="1"/>
  <c r="P87" i="11" s="1"/>
  <c r="F87" i="11"/>
  <c r="E87" i="11"/>
  <c r="D87" i="11"/>
  <c r="H87" i="11" s="1"/>
  <c r="L86" i="11"/>
  <c r="M86" i="11" s="1"/>
  <c r="P86" i="11" s="1"/>
  <c r="J86" i="11"/>
  <c r="I86" i="11"/>
  <c r="H86" i="11"/>
  <c r="D86" i="11"/>
  <c r="L85" i="11"/>
  <c r="M85" i="11" s="1"/>
  <c r="P85" i="11" s="1"/>
  <c r="H85" i="11"/>
  <c r="D85" i="11"/>
  <c r="P84" i="11"/>
  <c r="M84" i="11"/>
  <c r="L84" i="11"/>
  <c r="D84" i="11"/>
  <c r="H84" i="11" s="1"/>
  <c r="M83" i="11"/>
  <c r="P83" i="11" s="1"/>
  <c r="L83" i="11"/>
  <c r="H83" i="11"/>
  <c r="D83" i="11"/>
  <c r="B83" i="11"/>
  <c r="M82" i="11"/>
  <c r="P82" i="11" s="1"/>
  <c r="L82" i="11"/>
  <c r="D82" i="11"/>
  <c r="H82" i="11" s="1"/>
  <c r="P81" i="11"/>
  <c r="L81" i="11"/>
  <c r="M81" i="11" s="1"/>
  <c r="J81" i="11"/>
  <c r="I81" i="11"/>
  <c r="H81" i="11"/>
  <c r="D81" i="11"/>
  <c r="L80" i="11"/>
  <c r="M80" i="11" s="1"/>
  <c r="P80" i="11" s="1"/>
  <c r="J80" i="11"/>
  <c r="I80" i="11"/>
  <c r="D80" i="11"/>
  <c r="H80" i="11" s="1"/>
  <c r="M79" i="11"/>
  <c r="P79" i="11" s="1"/>
  <c r="L79" i="11"/>
  <c r="D79" i="11"/>
  <c r="H79" i="11" s="1"/>
  <c r="M78" i="11"/>
  <c r="P78" i="11" s="1"/>
  <c r="L78" i="11"/>
  <c r="D78" i="11"/>
  <c r="H78" i="11" s="1"/>
  <c r="A78" i="11"/>
  <c r="L77" i="11"/>
  <c r="M77" i="11" s="1"/>
  <c r="P77" i="11" s="1"/>
  <c r="D77" i="11"/>
  <c r="H77" i="11" s="1"/>
  <c r="L76" i="11"/>
  <c r="M76" i="11" s="1"/>
  <c r="P76" i="11" s="1"/>
  <c r="H76" i="11"/>
  <c r="D76" i="11"/>
  <c r="M75" i="11"/>
  <c r="P75" i="11" s="1"/>
  <c r="L75" i="11"/>
  <c r="D75" i="11"/>
  <c r="H75" i="11" s="1"/>
  <c r="B75" i="11"/>
  <c r="A75" i="11"/>
  <c r="L74" i="11"/>
  <c r="M74" i="11" s="1"/>
  <c r="P74" i="11" s="1"/>
  <c r="D74" i="11"/>
  <c r="H74" i="11" s="1"/>
  <c r="I74" i="11" s="1"/>
  <c r="L73" i="11"/>
  <c r="M73" i="11" s="1"/>
  <c r="P73" i="11" s="1"/>
  <c r="H73" i="11"/>
  <c r="D73" i="11"/>
  <c r="L72" i="11"/>
  <c r="M72" i="11" s="1"/>
  <c r="P72" i="11" s="1"/>
  <c r="D72" i="11"/>
  <c r="H72" i="11" s="1"/>
  <c r="M71" i="11"/>
  <c r="P71" i="11" s="1"/>
  <c r="L71" i="11"/>
  <c r="I71" i="11"/>
  <c r="H71" i="11"/>
  <c r="J71" i="11" s="1"/>
  <c r="D71" i="11"/>
  <c r="L70" i="11"/>
  <c r="M70" i="11" s="1"/>
  <c r="P70" i="11" s="1"/>
  <c r="J70" i="11"/>
  <c r="I70" i="11"/>
  <c r="H70" i="11"/>
  <c r="D70" i="11"/>
  <c r="L69" i="11"/>
  <c r="M69" i="11" s="1"/>
  <c r="P69" i="11" s="1"/>
  <c r="J69" i="11"/>
  <c r="D69" i="11"/>
  <c r="H69" i="11" s="1"/>
  <c r="I69" i="11" s="1"/>
  <c r="M68" i="11"/>
  <c r="P68" i="11" s="1"/>
  <c r="L68" i="11"/>
  <c r="D68" i="11"/>
  <c r="H68" i="11" s="1"/>
  <c r="P67" i="11"/>
  <c r="M67" i="11"/>
  <c r="L67" i="11"/>
  <c r="D67" i="11"/>
  <c r="H67" i="11" s="1"/>
  <c r="L66" i="11"/>
  <c r="M66" i="11" s="1"/>
  <c r="P66" i="11" s="1"/>
  <c r="J66" i="11"/>
  <c r="E66" i="11"/>
  <c r="D66" i="11"/>
  <c r="H66" i="11" s="1"/>
  <c r="I66" i="11" s="1"/>
  <c r="L65" i="11"/>
  <c r="M65" i="11" s="1"/>
  <c r="P65" i="11" s="1"/>
  <c r="D65" i="11"/>
  <c r="H65" i="11" s="1"/>
  <c r="A65" i="11"/>
  <c r="P64" i="11"/>
  <c r="L64" i="11"/>
  <c r="M64" i="11" s="1"/>
  <c r="D64" i="11"/>
  <c r="H64" i="11" s="1"/>
  <c r="J64" i="11" s="1"/>
  <c r="L63" i="11"/>
  <c r="M63" i="11" s="1"/>
  <c r="P63" i="11" s="1"/>
  <c r="H63" i="11"/>
  <c r="D63" i="11"/>
  <c r="C63" i="11"/>
  <c r="B63" i="11"/>
  <c r="L62" i="11"/>
  <c r="M62" i="11" s="1"/>
  <c r="P62" i="11" s="1"/>
  <c r="D62" i="11"/>
  <c r="H62" i="11" s="1"/>
  <c r="M61" i="11"/>
  <c r="P61" i="11" s="1"/>
  <c r="L61" i="11"/>
  <c r="I61" i="11"/>
  <c r="H61" i="11"/>
  <c r="J61" i="11" s="1"/>
  <c r="D61" i="11"/>
  <c r="C61" i="11"/>
  <c r="M60" i="11"/>
  <c r="P60" i="11" s="1"/>
  <c r="L60" i="11"/>
  <c r="D60" i="11"/>
  <c r="H60" i="11" s="1"/>
  <c r="B60" i="11"/>
  <c r="M59" i="11"/>
  <c r="P59" i="11" s="1"/>
  <c r="L59" i="11"/>
  <c r="J59" i="11"/>
  <c r="I59" i="11"/>
  <c r="H59" i="11"/>
  <c r="D59" i="11"/>
  <c r="L58" i="11"/>
  <c r="M58" i="11" s="1"/>
  <c r="P58" i="11" s="1"/>
  <c r="D58" i="11"/>
  <c r="H58" i="11" s="1"/>
  <c r="C58" i="11"/>
  <c r="M57" i="11"/>
  <c r="P57" i="11" s="1"/>
  <c r="L57" i="11"/>
  <c r="D57" i="11"/>
  <c r="H57" i="11" s="1"/>
  <c r="M56" i="11"/>
  <c r="P56" i="11" s="1"/>
  <c r="L56" i="11"/>
  <c r="D56" i="11"/>
  <c r="H56" i="11" s="1"/>
  <c r="L55" i="11"/>
  <c r="M55" i="11" s="1"/>
  <c r="P55" i="11" s="1"/>
  <c r="D55" i="11"/>
  <c r="H55" i="11" s="1"/>
  <c r="A55" i="11"/>
  <c r="M54" i="11"/>
  <c r="P54" i="11" s="1"/>
  <c r="L54" i="11"/>
  <c r="H54" i="11"/>
  <c r="I54" i="11" s="1"/>
  <c r="D54" i="11"/>
  <c r="L53" i="11"/>
  <c r="M53" i="11" s="1"/>
  <c r="P53" i="11" s="1"/>
  <c r="D53" i="11"/>
  <c r="H53" i="11" s="1"/>
  <c r="M52" i="11"/>
  <c r="P52" i="11" s="1"/>
  <c r="L52" i="11"/>
  <c r="D52" i="11"/>
  <c r="H52" i="11" s="1"/>
  <c r="M51" i="11"/>
  <c r="P51" i="11" s="1"/>
  <c r="L51" i="11"/>
  <c r="D51" i="11"/>
  <c r="H51" i="11" s="1"/>
  <c r="J51" i="11" s="1"/>
  <c r="M50" i="11"/>
  <c r="P50" i="11" s="1"/>
  <c r="L50" i="11"/>
  <c r="D50" i="11"/>
  <c r="H50" i="11" s="1"/>
  <c r="A50" i="11"/>
  <c r="M49" i="11"/>
  <c r="P49" i="11" s="1"/>
  <c r="L49" i="11"/>
  <c r="I49" i="11"/>
  <c r="H49" i="11"/>
  <c r="J49" i="11" s="1"/>
  <c r="D49" i="11"/>
  <c r="L48" i="11"/>
  <c r="M48" i="11" s="1"/>
  <c r="P48" i="11" s="1"/>
  <c r="H48" i="11"/>
  <c r="I48" i="11" s="1"/>
  <c r="D48" i="11"/>
  <c r="P47" i="11"/>
  <c r="L47" i="11"/>
  <c r="M47" i="11" s="1"/>
  <c r="E47" i="11"/>
  <c r="D47" i="11"/>
  <c r="H47" i="11" s="1"/>
  <c r="B47" i="11"/>
  <c r="A47" i="11"/>
  <c r="M46" i="11"/>
  <c r="P46" i="11" s="1"/>
  <c r="L46" i="11"/>
  <c r="H46" i="11"/>
  <c r="F46" i="11"/>
  <c r="N46" i="11" s="1"/>
  <c r="O46" i="11" s="1"/>
  <c r="D46" i="11"/>
  <c r="M45" i="11"/>
  <c r="P45" i="11" s="1"/>
  <c r="L45" i="11"/>
  <c r="D45" i="11"/>
  <c r="H45" i="11" s="1"/>
  <c r="M44" i="11"/>
  <c r="P44" i="11" s="1"/>
  <c r="L44" i="11"/>
  <c r="I44" i="11"/>
  <c r="H44" i="11"/>
  <c r="J44" i="11" s="1"/>
  <c r="D44" i="11"/>
  <c r="M43" i="11"/>
  <c r="P43" i="11" s="1"/>
  <c r="L43" i="11"/>
  <c r="J43" i="11"/>
  <c r="H43" i="11"/>
  <c r="I43" i="11" s="1"/>
  <c r="D43" i="11"/>
  <c r="L42" i="11"/>
  <c r="M42" i="11" s="1"/>
  <c r="P42" i="11" s="1"/>
  <c r="D42" i="11"/>
  <c r="H42" i="11" s="1"/>
  <c r="C42" i="11"/>
  <c r="B42" i="11"/>
  <c r="L41" i="11"/>
  <c r="M41" i="11" s="1"/>
  <c r="P41" i="11" s="1"/>
  <c r="H41" i="11"/>
  <c r="D41" i="11"/>
  <c r="L40" i="11"/>
  <c r="M40" i="11" s="1"/>
  <c r="P40" i="11" s="1"/>
  <c r="D40" i="11"/>
  <c r="H40" i="11" s="1"/>
  <c r="C40" i="11"/>
  <c r="N39" i="11"/>
  <c r="O39" i="11" s="1"/>
  <c r="M39" i="11"/>
  <c r="P39" i="11" s="1"/>
  <c r="L39" i="11"/>
  <c r="D39" i="11"/>
  <c r="H39" i="11" s="1"/>
  <c r="C39" i="11"/>
  <c r="L38" i="11"/>
  <c r="M38" i="11" s="1"/>
  <c r="P38" i="11" s="1"/>
  <c r="H38" i="11"/>
  <c r="I38" i="11" s="1"/>
  <c r="D38" i="11"/>
  <c r="P37" i="11"/>
  <c r="M37" i="11"/>
  <c r="L37" i="11"/>
  <c r="I37" i="11"/>
  <c r="H37" i="11"/>
  <c r="J37" i="11" s="1"/>
  <c r="D37" i="11"/>
  <c r="C37" i="11"/>
  <c r="P36" i="11"/>
  <c r="L36" i="11"/>
  <c r="M36" i="11" s="1"/>
  <c r="J36" i="11"/>
  <c r="I36" i="11"/>
  <c r="H36" i="11"/>
  <c r="D36" i="11"/>
  <c r="P35" i="11"/>
  <c r="M35" i="11"/>
  <c r="L35" i="11"/>
  <c r="D35" i="11"/>
  <c r="H35" i="11" s="1"/>
  <c r="B35" i="11"/>
  <c r="A35" i="11"/>
  <c r="P34" i="11"/>
  <c r="M34" i="11"/>
  <c r="L34" i="11"/>
  <c r="D34" i="11"/>
  <c r="H34" i="11" s="1"/>
  <c r="P33" i="11"/>
  <c r="M33" i="11"/>
  <c r="L33" i="11"/>
  <c r="H33" i="11"/>
  <c r="J33" i="11" s="1"/>
  <c r="D33" i="11"/>
  <c r="M32" i="11"/>
  <c r="P32" i="11" s="1"/>
  <c r="L32" i="11"/>
  <c r="H32" i="11"/>
  <c r="D32" i="11"/>
  <c r="B32" i="11"/>
  <c r="M31" i="11"/>
  <c r="P31" i="11" s="1"/>
  <c r="L31" i="11"/>
  <c r="I31" i="11"/>
  <c r="H31" i="11"/>
  <c r="J31" i="11" s="1"/>
  <c r="D31" i="11"/>
  <c r="M30" i="11"/>
  <c r="P30" i="11" s="1"/>
  <c r="L30" i="11"/>
  <c r="H30" i="11"/>
  <c r="J30" i="11" s="1"/>
  <c r="D30" i="11"/>
  <c r="C30" i="11"/>
  <c r="L29" i="11"/>
  <c r="M29" i="11" s="1"/>
  <c r="P29" i="11" s="1"/>
  <c r="H29" i="11"/>
  <c r="D29" i="11"/>
  <c r="C29" i="11"/>
  <c r="L28" i="11"/>
  <c r="M28" i="11" s="1"/>
  <c r="P28" i="11" s="1"/>
  <c r="D28" i="11"/>
  <c r="H28" i="11" s="1"/>
  <c r="M27" i="11"/>
  <c r="P27" i="11" s="1"/>
  <c r="L27" i="11"/>
  <c r="E27" i="11"/>
  <c r="D27" i="11"/>
  <c r="H27" i="11" s="1"/>
  <c r="I27" i="11" s="1"/>
  <c r="B27" i="11"/>
  <c r="A27" i="11"/>
  <c r="M26" i="11"/>
  <c r="P26" i="11" s="1"/>
  <c r="L26" i="11"/>
  <c r="J26" i="11"/>
  <c r="I26" i="11"/>
  <c r="H26" i="11"/>
  <c r="D26" i="11"/>
  <c r="L25" i="11"/>
  <c r="M25" i="11" s="1"/>
  <c r="P25" i="11" s="1"/>
  <c r="H25" i="11"/>
  <c r="J25" i="11" s="1"/>
  <c r="E25" i="11"/>
  <c r="D25" i="11"/>
  <c r="P24" i="11"/>
  <c r="M24" i="11"/>
  <c r="L24" i="11"/>
  <c r="E24" i="11"/>
  <c r="D24" i="11"/>
  <c r="H24" i="11" s="1"/>
  <c r="C24" i="11"/>
  <c r="P23" i="11"/>
  <c r="L23" i="11"/>
  <c r="M23" i="11" s="1"/>
  <c r="J23" i="11"/>
  <c r="H23" i="11"/>
  <c r="I23" i="11" s="1"/>
  <c r="D23" i="11"/>
  <c r="L22" i="11"/>
  <c r="M22" i="11" s="1"/>
  <c r="P22" i="11" s="1"/>
  <c r="E22" i="11"/>
  <c r="D22" i="11"/>
  <c r="H22" i="11" s="1"/>
  <c r="P21" i="11"/>
  <c r="M21" i="11"/>
  <c r="L21" i="11"/>
  <c r="D21" i="11"/>
  <c r="H21" i="11" s="1"/>
  <c r="M20" i="11"/>
  <c r="P20" i="11" s="1"/>
  <c r="L20" i="11"/>
  <c r="H20" i="11"/>
  <c r="J20" i="11" s="1"/>
  <c r="D20" i="11"/>
  <c r="L19" i="11"/>
  <c r="M19" i="11" s="1"/>
  <c r="P19" i="11" s="1"/>
  <c r="D19" i="11"/>
  <c r="H19" i="11" s="1"/>
  <c r="B19" i="11"/>
  <c r="M18" i="11"/>
  <c r="P18" i="11" s="1"/>
  <c r="L18" i="11"/>
  <c r="I18" i="11"/>
  <c r="H18" i="11"/>
  <c r="J18" i="11" s="1"/>
  <c r="D18" i="11"/>
  <c r="L17" i="11"/>
  <c r="M17" i="11" s="1"/>
  <c r="P17" i="11" s="1"/>
  <c r="D17" i="11"/>
  <c r="H17" i="11" s="1"/>
  <c r="I17" i="11" s="1"/>
  <c r="B17" i="11"/>
  <c r="A17" i="11"/>
  <c r="M16" i="11"/>
  <c r="P16" i="11" s="1"/>
  <c r="L16" i="11"/>
  <c r="D16" i="11"/>
  <c r="H16" i="11" s="1"/>
  <c r="P15" i="11"/>
  <c r="L15" i="11"/>
  <c r="M15" i="11" s="1"/>
  <c r="J15" i="11"/>
  <c r="H15" i="11"/>
  <c r="I15" i="11" s="1"/>
  <c r="D15" i="11"/>
  <c r="C15" i="11"/>
  <c r="L14" i="11"/>
  <c r="M14" i="11" s="1"/>
  <c r="P14" i="11" s="1"/>
  <c r="E14" i="11"/>
  <c r="D14" i="11"/>
  <c r="H14" i="11" s="1"/>
  <c r="P13" i="11"/>
  <c r="M13" i="11"/>
  <c r="L13" i="11"/>
  <c r="J13" i="11"/>
  <c r="D13" i="11"/>
  <c r="H13" i="11" s="1"/>
  <c r="I13" i="11" s="1"/>
  <c r="P12" i="11"/>
  <c r="M12" i="11"/>
  <c r="L12" i="11"/>
  <c r="H12" i="11"/>
  <c r="J12" i="11" s="1"/>
  <c r="D12" i="11"/>
  <c r="P11" i="11"/>
  <c r="L11" i="11"/>
  <c r="M11" i="11" s="1"/>
  <c r="H11" i="11"/>
  <c r="I11" i="11" s="1"/>
  <c r="D11" i="11"/>
  <c r="P10" i="11"/>
  <c r="M10" i="11"/>
  <c r="L10" i="11"/>
  <c r="D10" i="11"/>
  <c r="H10" i="11" s="1"/>
  <c r="I10" i="11" s="1"/>
  <c r="M9" i="11"/>
  <c r="P9" i="11" s="1"/>
  <c r="L9" i="11"/>
  <c r="J9" i="11"/>
  <c r="I9" i="11"/>
  <c r="D9" i="11"/>
  <c r="H9" i="11" s="1"/>
  <c r="A9" i="11"/>
  <c r="M8" i="11"/>
  <c r="P8" i="11" s="1"/>
  <c r="L8" i="11"/>
  <c r="D8" i="11"/>
  <c r="H8" i="11" s="1"/>
  <c r="P7" i="11"/>
  <c r="L7" i="11"/>
  <c r="M7" i="11" s="1"/>
  <c r="D7" i="11"/>
  <c r="H7" i="11" s="1"/>
  <c r="I7" i="11" s="1"/>
  <c r="B7" i="11"/>
  <c r="M6" i="11"/>
  <c r="P6" i="11" s="1"/>
  <c r="L6" i="11"/>
  <c r="D6" i="11"/>
  <c r="H6" i="11" s="1"/>
  <c r="A6" i="11"/>
  <c r="L5" i="11"/>
  <c r="M5" i="11" s="1"/>
  <c r="P5" i="11" s="1"/>
  <c r="J5" i="11"/>
  <c r="H5" i="11"/>
  <c r="I5" i="11" s="1"/>
  <c r="D5" i="11"/>
  <c r="B5" i="11"/>
  <c r="A5" i="11"/>
  <c r="P4" i="11"/>
  <c r="M4" i="11"/>
  <c r="L4" i="11"/>
  <c r="I4" i="11"/>
  <c r="H4" i="11"/>
  <c r="J4" i="11" s="1"/>
  <c r="D4" i="11"/>
  <c r="N3" i="11"/>
  <c r="O3" i="11" s="1"/>
  <c r="L3" i="11"/>
  <c r="M3" i="11" s="1"/>
  <c r="P3" i="11" s="1"/>
  <c r="E3" i="11"/>
  <c r="D3" i="11"/>
  <c r="H3" i="11" s="1"/>
  <c r="B3" i="11"/>
  <c r="A3" i="11"/>
  <c r="M2" i="11"/>
  <c r="L2" i="11"/>
  <c r="E2" i="11"/>
  <c r="D2" i="11"/>
  <c r="H2" i="11" s="1"/>
  <c r="L135" i="10"/>
  <c r="K135" i="10"/>
  <c r="M135" i="10" s="1"/>
  <c r="N135" i="10" s="1"/>
  <c r="J135" i="10"/>
  <c r="G135" i="10"/>
  <c r="F135" i="10"/>
  <c r="E135" i="10"/>
  <c r="D135" i="10"/>
  <c r="C135" i="11" s="1"/>
  <c r="C135" i="10"/>
  <c r="B135" i="10"/>
  <c r="A135" i="10"/>
  <c r="J134" i="10"/>
  <c r="G134" i="10"/>
  <c r="F134" i="10"/>
  <c r="E134" i="10"/>
  <c r="D134" i="10"/>
  <c r="C134" i="11" s="1"/>
  <c r="C134" i="10"/>
  <c r="B134" i="10"/>
  <c r="A134" i="10"/>
  <c r="A134" i="11" s="1"/>
  <c r="J133" i="10"/>
  <c r="G133" i="10"/>
  <c r="F133" i="10"/>
  <c r="E133" i="10"/>
  <c r="D133" i="10"/>
  <c r="C133" i="11" s="1"/>
  <c r="C133" i="10"/>
  <c r="B133" i="11" s="1"/>
  <c r="B133" i="10"/>
  <c r="A133" i="10"/>
  <c r="G132" i="10"/>
  <c r="J132" i="10" s="1"/>
  <c r="F132" i="10"/>
  <c r="E132" i="10"/>
  <c r="D132" i="10"/>
  <c r="C132" i="11" s="1"/>
  <c r="C132" i="10"/>
  <c r="B132" i="11" s="1"/>
  <c r="B132" i="10"/>
  <c r="A132" i="10"/>
  <c r="A132" i="11" s="1"/>
  <c r="K131" i="10"/>
  <c r="G131" i="10"/>
  <c r="J131" i="10" s="1"/>
  <c r="F131" i="10"/>
  <c r="E131" i="10"/>
  <c r="D131" i="10"/>
  <c r="C131" i="10"/>
  <c r="B131" i="10"/>
  <c r="A131" i="10"/>
  <c r="A131" i="11" s="1"/>
  <c r="G130" i="10"/>
  <c r="J130" i="10" s="1"/>
  <c r="F130" i="10"/>
  <c r="E130" i="10"/>
  <c r="D130" i="10"/>
  <c r="C130" i="11" s="1"/>
  <c r="C130" i="10"/>
  <c r="B130" i="11" s="1"/>
  <c r="B130" i="10"/>
  <c r="A130" i="10"/>
  <c r="A130" i="11" s="1"/>
  <c r="K129" i="10"/>
  <c r="J129" i="10"/>
  <c r="G129" i="10"/>
  <c r="F129" i="10"/>
  <c r="E129" i="10"/>
  <c r="D129" i="10"/>
  <c r="C129" i="10"/>
  <c r="B129" i="10"/>
  <c r="A129" i="10"/>
  <c r="A129" i="11" s="1"/>
  <c r="L128" i="10"/>
  <c r="K128" i="10"/>
  <c r="M128" i="10" s="1"/>
  <c r="J128" i="10"/>
  <c r="N128" i="10" s="1"/>
  <c r="G128" i="10"/>
  <c r="F128" i="10"/>
  <c r="E128" i="10"/>
  <c r="D128" i="10"/>
  <c r="C128" i="10"/>
  <c r="B128" i="11" s="1"/>
  <c r="B128" i="10"/>
  <c r="A128" i="10"/>
  <c r="A128" i="11" s="1"/>
  <c r="J127" i="10"/>
  <c r="G127" i="10"/>
  <c r="F127" i="10"/>
  <c r="E127" i="10"/>
  <c r="D127" i="10"/>
  <c r="C127" i="11" s="1"/>
  <c r="C127" i="10"/>
  <c r="B127" i="10"/>
  <c r="A127" i="10"/>
  <c r="A127" i="11" s="1"/>
  <c r="L126" i="10"/>
  <c r="K126" i="10"/>
  <c r="M126" i="10" s="1"/>
  <c r="N126" i="10" s="1"/>
  <c r="G126" i="10"/>
  <c r="J126" i="10" s="1"/>
  <c r="F126" i="10"/>
  <c r="E126" i="10"/>
  <c r="D126" i="10"/>
  <c r="C126" i="11" s="1"/>
  <c r="C126" i="10"/>
  <c r="B126" i="10"/>
  <c r="A126" i="10"/>
  <c r="M125" i="10"/>
  <c r="N125" i="10" s="1"/>
  <c r="L125" i="10"/>
  <c r="K125" i="10"/>
  <c r="G125" i="10"/>
  <c r="J125" i="10" s="1"/>
  <c r="F125" i="10"/>
  <c r="E125" i="10"/>
  <c r="D125" i="10"/>
  <c r="C125" i="11" s="1"/>
  <c r="C125" i="10"/>
  <c r="B125" i="11" s="1"/>
  <c r="B125" i="10"/>
  <c r="A125" i="10"/>
  <c r="A125" i="11" s="1"/>
  <c r="L124" i="10"/>
  <c r="K124" i="10"/>
  <c r="J124" i="10"/>
  <c r="G124" i="10"/>
  <c r="F124" i="10"/>
  <c r="E124" i="10"/>
  <c r="D124" i="10"/>
  <c r="C124" i="10"/>
  <c r="B124" i="11" s="1"/>
  <c r="B124" i="10"/>
  <c r="A124" i="10"/>
  <c r="L123" i="10"/>
  <c r="K123" i="10"/>
  <c r="G123" i="10"/>
  <c r="J123" i="10" s="1"/>
  <c r="F123" i="10"/>
  <c r="E123" i="10"/>
  <c r="D123" i="10"/>
  <c r="C123" i="11" s="1"/>
  <c r="C123" i="10"/>
  <c r="B123" i="10"/>
  <c r="A123" i="10"/>
  <c r="A123" i="11" s="1"/>
  <c r="L122" i="10"/>
  <c r="K122" i="10"/>
  <c r="M122" i="10" s="1"/>
  <c r="N122" i="10" s="1"/>
  <c r="G122" i="10"/>
  <c r="J122" i="10" s="1"/>
  <c r="F122" i="10"/>
  <c r="E122" i="10"/>
  <c r="D122" i="10"/>
  <c r="C122" i="11" s="1"/>
  <c r="C122" i="10"/>
  <c r="B122" i="11" s="1"/>
  <c r="B122" i="10"/>
  <c r="A122" i="10"/>
  <c r="A122" i="11" s="1"/>
  <c r="L121" i="10"/>
  <c r="K121" i="10"/>
  <c r="M121" i="10" s="1"/>
  <c r="J121" i="10"/>
  <c r="N121" i="10" s="1"/>
  <c r="G121" i="10"/>
  <c r="F121" i="10"/>
  <c r="E121" i="10"/>
  <c r="D121" i="10"/>
  <c r="C121" i="11" s="1"/>
  <c r="C121" i="10"/>
  <c r="B121" i="10"/>
  <c r="A121" i="10"/>
  <c r="A121" i="11" s="1"/>
  <c r="N120" i="10"/>
  <c r="L120" i="10"/>
  <c r="K120" i="10"/>
  <c r="M120" i="10" s="1"/>
  <c r="G120" i="10"/>
  <c r="J120" i="10" s="1"/>
  <c r="F120" i="10"/>
  <c r="E120" i="10"/>
  <c r="D120" i="10"/>
  <c r="C120" i="11" s="1"/>
  <c r="C120" i="10"/>
  <c r="B120" i="10"/>
  <c r="A120" i="10"/>
  <c r="L119" i="10"/>
  <c r="K119" i="10"/>
  <c r="M119" i="10" s="1"/>
  <c r="G119" i="10"/>
  <c r="J119" i="10" s="1"/>
  <c r="F119" i="10"/>
  <c r="E119" i="10"/>
  <c r="D119" i="10"/>
  <c r="C119" i="11" s="1"/>
  <c r="C119" i="10"/>
  <c r="B119" i="10"/>
  <c r="A119" i="10"/>
  <c r="A119" i="11" s="1"/>
  <c r="L118" i="10"/>
  <c r="K118" i="10"/>
  <c r="M118" i="10" s="1"/>
  <c r="G118" i="10"/>
  <c r="J118" i="10" s="1"/>
  <c r="N118" i="10" s="1"/>
  <c r="F118" i="10"/>
  <c r="E118" i="10"/>
  <c r="D118" i="10"/>
  <c r="C118" i="11" s="1"/>
  <c r="C118" i="10"/>
  <c r="B118" i="11" s="1"/>
  <c r="B118" i="10"/>
  <c r="A118" i="10"/>
  <c r="A118" i="11" s="1"/>
  <c r="L117" i="10"/>
  <c r="M117" i="10" s="1"/>
  <c r="K117" i="10"/>
  <c r="J117" i="10"/>
  <c r="G117" i="10"/>
  <c r="F117" i="10"/>
  <c r="E117" i="10"/>
  <c r="D117" i="10"/>
  <c r="C117" i="10"/>
  <c r="B117" i="10"/>
  <c r="A117" i="10"/>
  <c r="A117" i="11" s="1"/>
  <c r="M116" i="10"/>
  <c r="L116" i="10"/>
  <c r="K116" i="10"/>
  <c r="J116" i="10"/>
  <c r="G116" i="10"/>
  <c r="F116" i="10"/>
  <c r="E116" i="10"/>
  <c r="D116" i="10"/>
  <c r="C116" i="11" s="1"/>
  <c r="C116" i="10"/>
  <c r="B116" i="11" s="1"/>
  <c r="B116" i="10"/>
  <c r="A116" i="10"/>
  <c r="A116" i="11" s="1"/>
  <c r="L115" i="10"/>
  <c r="K115" i="10"/>
  <c r="M115" i="10" s="1"/>
  <c r="N115" i="10" s="1"/>
  <c r="J115" i="10"/>
  <c r="G115" i="10"/>
  <c r="F115" i="10"/>
  <c r="E115" i="10"/>
  <c r="D115" i="10"/>
  <c r="C115" i="11" s="1"/>
  <c r="C115" i="10"/>
  <c r="B115" i="10"/>
  <c r="A115" i="10"/>
  <c r="A115" i="11" s="1"/>
  <c r="M114" i="10"/>
  <c r="L114" i="10"/>
  <c r="K114" i="10"/>
  <c r="G114" i="10"/>
  <c r="J114" i="10" s="1"/>
  <c r="N114" i="10" s="1"/>
  <c r="F114" i="10"/>
  <c r="E114" i="10"/>
  <c r="D114" i="10"/>
  <c r="C114" i="11" s="1"/>
  <c r="C114" i="10"/>
  <c r="B114" i="10"/>
  <c r="A114" i="10"/>
  <c r="A114" i="11" s="1"/>
  <c r="N113" i="10"/>
  <c r="L113" i="10"/>
  <c r="K113" i="10"/>
  <c r="M113" i="10" s="1"/>
  <c r="J113" i="10"/>
  <c r="G113" i="10"/>
  <c r="F113" i="10"/>
  <c r="E113" i="10"/>
  <c r="D113" i="10"/>
  <c r="C113" i="11" s="1"/>
  <c r="C113" i="10"/>
  <c r="B113" i="11" s="1"/>
  <c r="B113" i="10"/>
  <c r="A113" i="10"/>
  <c r="L112" i="10"/>
  <c r="K112" i="10"/>
  <c r="M112" i="10" s="1"/>
  <c r="J112" i="10"/>
  <c r="N112" i="10" s="1"/>
  <c r="G112" i="10"/>
  <c r="F112" i="10"/>
  <c r="E112" i="10"/>
  <c r="D112" i="10"/>
  <c r="C112" i="11" s="1"/>
  <c r="C112" i="10"/>
  <c r="B112" i="10"/>
  <c r="A112" i="10"/>
  <c r="L111" i="10"/>
  <c r="M111" i="10" s="1"/>
  <c r="K111" i="10"/>
  <c r="J111" i="10"/>
  <c r="N111" i="10" s="1"/>
  <c r="G111" i="10"/>
  <c r="F111" i="10"/>
  <c r="E111" i="10"/>
  <c r="D111" i="10"/>
  <c r="C111" i="11" s="1"/>
  <c r="C111" i="10"/>
  <c r="B111" i="11" s="1"/>
  <c r="B111" i="10"/>
  <c r="A111" i="10"/>
  <c r="A111" i="11" s="1"/>
  <c r="M110" i="10"/>
  <c r="L110" i="10"/>
  <c r="K110" i="10"/>
  <c r="J110" i="10"/>
  <c r="N110" i="10" s="1"/>
  <c r="G110" i="10"/>
  <c r="F110" i="10"/>
  <c r="E110" i="10"/>
  <c r="D110" i="10"/>
  <c r="C110" i="11" s="1"/>
  <c r="C110" i="10"/>
  <c r="B110" i="11" s="1"/>
  <c r="B110" i="10"/>
  <c r="A110" i="10"/>
  <c r="A110" i="11" s="1"/>
  <c r="L109" i="10"/>
  <c r="K109" i="10"/>
  <c r="M109" i="10" s="1"/>
  <c r="N109" i="10" s="1"/>
  <c r="G109" i="10"/>
  <c r="J109" i="10" s="1"/>
  <c r="F109" i="10"/>
  <c r="E109" i="10"/>
  <c r="D109" i="10"/>
  <c r="C109" i="11" s="1"/>
  <c r="C109" i="10"/>
  <c r="B109" i="11" s="1"/>
  <c r="B109" i="10"/>
  <c r="A109" i="10"/>
  <c r="A109" i="11" s="1"/>
  <c r="L108" i="10"/>
  <c r="M108" i="10" s="1"/>
  <c r="K108" i="10"/>
  <c r="G108" i="10"/>
  <c r="J108" i="10" s="1"/>
  <c r="F108" i="10"/>
  <c r="E108" i="10"/>
  <c r="D108" i="10"/>
  <c r="C108" i="11" s="1"/>
  <c r="C108" i="10"/>
  <c r="B108" i="10"/>
  <c r="A108" i="10"/>
  <c r="A108" i="11" s="1"/>
  <c r="M107" i="10"/>
  <c r="L107" i="10"/>
  <c r="K107" i="10"/>
  <c r="J107" i="10"/>
  <c r="G107" i="10"/>
  <c r="F107" i="10"/>
  <c r="E107" i="10"/>
  <c r="D107" i="10"/>
  <c r="C107" i="11" s="1"/>
  <c r="C107" i="10"/>
  <c r="B107" i="10"/>
  <c r="A107" i="10"/>
  <c r="A107" i="11" s="1"/>
  <c r="L106" i="10"/>
  <c r="K106" i="10"/>
  <c r="M106" i="10" s="1"/>
  <c r="J106" i="10"/>
  <c r="N106" i="10" s="1"/>
  <c r="G106" i="10"/>
  <c r="F106" i="10"/>
  <c r="E106" i="10"/>
  <c r="D106" i="10"/>
  <c r="C106" i="11" s="1"/>
  <c r="C106" i="10"/>
  <c r="B106" i="11" s="1"/>
  <c r="B106" i="10"/>
  <c r="A106" i="10"/>
  <c r="A106" i="11" s="1"/>
  <c r="N105" i="10"/>
  <c r="L105" i="10"/>
  <c r="K105" i="10"/>
  <c r="M105" i="10" s="1"/>
  <c r="J105" i="10"/>
  <c r="G105" i="10"/>
  <c r="F105" i="10"/>
  <c r="E105" i="10"/>
  <c r="D105" i="10"/>
  <c r="C105" i="10"/>
  <c r="B105" i="11" s="1"/>
  <c r="B105" i="10"/>
  <c r="A105" i="10"/>
  <c r="A105" i="11" s="1"/>
  <c r="L104" i="10"/>
  <c r="K104" i="10"/>
  <c r="M104" i="10" s="1"/>
  <c r="J104" i="10"/>
  <c r="G104" i="10"/>
  <c r="F104" i="10"/>
  <c r="E104" i="10"/>
  <c r="D104" i="10"/>
  <c r="C104" i="11" s="1"/>
  <c r="C104" i="10"/>
  <c r="B104" i="11" s="1"/>
  <c r="B104" i="10"/>
  <c r="A104" i="10"/>
  <c r="A104" i="11" s="1"/>
  <c r="L103" i="10"/>
  <c r="K103" i="10"/>
  <c r="M103" i="10" s="1"/>
  <c r="G103" i="10"/>
  <c r="J103" i="10" s="1"/>
  <c r="F103" i="10"/>
  <c r="E103" i="10"/>
  <c r="D103" i="10"/>
  <c r="C103" i="11" s="1"/>
  <c r="C103" i="10"/>
  <c r="B103" i="10"/>
  <c r="A103" i="10"/>
  <c r="A103" i="11" s="1"/>
  <c r="M102" i="10"/>
  <c r="L102" i="10"/>
  <c r="K102" i="10"/>
  <c r="G102" i="10"/>
  <c r="J102" i="10" s="1"/>
  <c r="N102" i="10" s="1"/>
  <c r="F102" i="10"/>
  <c r="E102" i="10"/>
  <c r="D102" i="10"/>
  <c r="C102" i="11" s="1"/>
  <c r="C102" i="10"/>
  <c r="B102" i="11" s="1"/>
  <c r="B102" i="10"/>
  <c r="A102" i="10"/>
  <c r="A102" i="11" s="1"/>
  <c r="L101" i="10"/>
  <c r="M101" i="10" s="1"/>
  <c r="K101" i="10"/>
  <c r="G101" i="10"/>
  <c r="J101" i="10" s="1"/>
  <c r="N101" i="10" s="1"/>
  <c r="F101" i="10"/>
  <c r="E101" i="10"/>
  <c r="D101" i="10"/>
  <c r="C101" i="11" s="1"/>
  <c r="C101" i="10"/>
  <c r="B101" i="11" s="1"/>
  <c r="B101" i="10"/>
  <c r="A101" i="10"/>
  <c r="A101" i="11" s="1"/>
  <c r="L100" i="10"/>
  <c r="K100" i="10"/>
  <c r="M100" i="10" s="1"/>
  <c r="G100" i="10"/>
  <c r="J100" i="10" s="1"/>
  <c r="N100" i="10" s="1"/>
  <c r="F100" i="10"/>
  <c r="E100" i="10"/>
  <c r="D100" i="10"/>
  <c r="C100" i="11" s="1"/>
  <c r="C100" i="10"/>
  <c r="B100" i="11" s="1"/>
  <c r="B100" i="10"/>
  <c r="A100" i="10"/>
  <c r="L99" i="10"/>
  <c r="K99" i="10"/>
  <c r="M99" i="10" s="1"/>
  <c r="G99" i="10"/>
  <c r="J99" i="10" s="1"/>
  <c r="N99" i="10" s="1"/>
  <c r="F99" i="10"/>
  <c r="E99" i="10"/>
  <c r="D99" i="10"/>
  <c r="C99" i="11" s="1"/>
  <c r="C99" i="10"/>
  <c r="B99" i="10"/>
  <c r="A99" i="10"/>
  <c r="A99" i="11" s="1"/>
  <c r="M98" i="10"/>
  <c r="L98" i="10"/>
  <c r="K98" i="10"/>
  <c r="G98" i="10"/>
  <c r="J98" i="10" s="1"/>
  <c r="N98" i="10" s="1"/>
  <c r="F98" i="10"/>
  <c r="E98" i="10"/>
  <c r="D98" i="10"/>
  <c r="C98" i="11" s="1"/>
  <c r="C98" i="10"/>
  <c r="B98" i="10"/>
  <c r="A98" i="10"/>
  <c r="A98" i="11" s="1"/>
  <c r="N97" i="10"/>
  <c r="L97" i="10"/>
  <c r="K97" i="10"/>
  <c r="M97" i="10" s="1"/>
  <c r="J97" i="10"/>
  <c r="G97" i="10"/>
  <c r="F97" i="10"/>
  <c r="E97" i="10"/>
  <c r="D97" i="10"/>
  <c r="C97" i="11" s="1"/>
  <c r="C97" i="10"/>
  <c r="B97" i="10"/>
  <c r="A97" i="10"/>
  <c r="L96" i="10"/>
  <c r="K96" i="10"/>
  <c r="M96" i="10" s="1"/>
  <c r="G96" i="10"/>
  <c r="J96" i="10" s="1"/>
  <c r="N96" i="10" s="1"/>
  <c r="F96" i="10"/>
  <c r="E96" i="10"/>
  <c r="D96" i="10"/>
  <c r="C96" i="11" s="1"/>
  <c r="C96" i="10"/>
  <c r="B96" i="10"/>
  <c r="A96" i="10"/>
  <c r="A96" i="11" s="1"/>
  <c r="L95" i="10"/>
  <c r="M95" i="10" s="1"/>
  <c r="N95" i="10" s="1"/>
  <c r="K95" i="10"/>
  <c r="J95" i="10"/>
  <c r="G95" i="10"/>
  <c r="F95" i="10"/>
  <c r="E95" i="10"/>
  <c r="D95" i="10"/>
  <c r="C95" i="11" s="1"/>
  <c r="C95" i="10"/>
  <c r="B95" i="10"/>
  <c r="A95" i="10"/>
  <c r="A95" i="11" s="1"/>
  <c r="L94" i="10"/>
  <c r="M94" i="10" s="1"/>
  <c r="K94" i="10"/>
  <c r="G94" i="10"/>
  <c r="J94" i="10" s="1"/>
  <c r="N94" i="10" s="1"/>
  <c r="F94" i="10"/>
  <c r="E94" i="10"/>
  <c r="D94" i="10"/>
  <c r="C94" i="11" s="1"/>
  <c r="C94" i="10"/>
  <c r="B94" i="11" s="1"/>
  <c r="B94" i="10"/>
  <c r="A94" i="10"/>
  <c r="A94" i="11" s="1"/>
  <c r="L93" i="10"/>
  <c r="M93" i="10" s="1"/>
  <c r="K93" i="10"/>
  <c r="G93" i="10"/>
  <c r="J93" i="10" s="1"/>
  <c r="F93" i="10"/>
  <c r="E93" i="10"/>
  <c r="D93" i="10"/>
  <c r="C93" i="10"/>
  <c r="B93" i="11" s="1"/>
  <c r="B93" i="10"/>
  <c r="A93" i="10"/>
  <c r="A93" i="11" s="1"/>
  <c r="M92" i="10"/>
  <c r="L92" i="10"/>
  <c r="K92" i="10"/>
  <c r="G92" i="10"/>
  <c r="J92" i="10" s="1"/>
  <c r="N92" i="10" s="1"/>
  <c r="F92" i="10"/>
  <c r="E92" i="10"/>
  <c r="D92" i="10"/>
  <c r="C92" i="10"/>
  <c r="B92" i="10"/>
  <c r="A92" i="10"/>
  <c r="A92" i="11" s="1"/>
  <c r="L91" i="10"/>
  <c r="K91" i="10"/>
  <c r="M91" i="10" s="1"/>
  <c r="J91" i="10"/>
  <c r="G91" i="10"/>
  <c r="F91" i="10"/>
  <c r="E91" i="10"/>
  <c r="D91" i="10"/>
  <c r="C91" i="11" s="1"/>
  <c r="C91" i="10"/>
  <c r="B91" i="10"/>
  <c r="A91" i="10"/>
  <c r="A91" i="11" s="1"/>
  <c r="M90" i="10"/>
  <c r="L90" i="10"/>
  <c r="K90" i="10"/>
  <c r="J90" i="10"/>
  <c r="N90" i="10" s="1"/>
  <c r="G90" i="10"/>
  <c r="F90" i="10"/>
  <c r="E90" i="10"/>
  <c r="D90" i="10"/>
  <c r="C90" i="10"/>
  <c r="B90" i="11" s="1"/>
  <c r="B90" i="10"/>
  <c r="A90" i="10"/>
  <c r="A90" i="11" s="1"/>
  <c r="M89" i="10"/>
  <c r="L89" i="10"/>
  <c r="K89" i="10"/>
  <c r="J89" i="10"/>
  <c r="N89" i="10" s="1"/>
  <c r="G89" i="10"/>
  <c r="F89" i="10"/>
  <c r="E89" i="10"/>
  <c r="D89" i="10"/>
  <c r="C89" i="11" s="1"/>
  <c r="C89" i="10"/>
  <c r="B89" i="10"/>
  <c r="A89" i="10"/>
  <c r="A89" i="11" s="1"/>
  <c r="M88" i="10"/>
  <c r="L88" i="10"/>
  <c r="K88" i="10"/>
  <c r="G88" i="10"/>
  <c r="J88" i="10" s="1"/>
  <c r="N88" i="10" s="1"/>
  <c r="F88" i="10"/>
  <c r="E88" i="10"/>
  <c r="D88" i="10"/>
  <c r="C88" i="11" s="1"/>
  <c r="C88" i="10"/>
  <c r="B88" i="10"/>
  <c r="A88" i="10"/>
  <c r="A88" i="11" s="1"/>
  <c r="M87" i="10"/>
  <c r="L87" i="10"/>
  <c r="K87" i="10"/>
  <c r="G87" i="10"/>
  <c r="J87" i="10" s="1"/>
  <c r="N87" i="10" s="1"/>
  <c r="F87" i="10"/>
  <c r="E87" i="10"/>
  <c r="D87" i="10"/>
  <c r="C87" i="11" s="1"/>
  <c r="C87" i="10"/>
  <c r="B87" i="11" s="1"/>
  <c r="B87" i="10"/>
  <c r="A87" i="10"/>
  <c r="A87" i="11" s="1"/>
  <c r="K86" i="10"/>
  <c r="G86" i="10"/>
  <c r="J86" i="10" s="1"/>
  <c r="F86" i="10"/>
  <c r="E86" i="10"/>
  <c r="D86" i="10"/>
  <c r="C86" i="11" s="1"/>
  <c r="C86" i="10"/>
  <c r="B86" i="11" s="1"/>
  <c r="B86" i="10"/>
  <c r="A86" i="10"/>
  <c r="A86" i="11" s="1"/>
  <c r="L85" i="10"/>
  <c r="G85" i="10"/>
  <c r="J85" i="10" s="1"/>
  <c r="F85" i="10"/>
  <c r="E85" i="10"/>
  <c r="D85" i="10"/>
  <c r="C85" i="11" s="1"/>
  <c r="C85" i="10"/>
  <c r="B85" i="11" s="1"/>
  <c r="B85" i="10"/>
  <c r="A85" i="10"/>
  <c r="A85" i="11" s="1"/>
  <c r="G84" i="10"/>
  <c r="J84" i="10" s="1"/>
  <c r="F84" i="10"/>
  <c r="E84" i="10"/>
  <c r="D84" i="10"/>
  <c r="C84" i="11" s="1"/>
  <c r="C84" i="10"/>
  <c r="B84" i="10"/>
  <c r="A84" i="10"/>
  <c r="A84" i="11" s="1"/>
  <c r="J83" i="10"/>
  <c r="G83" i="10"/>
  <c r="F83" i="10"/>
  <c r="E83" i="10"/>
  <c r="D83" i="10"/>
  <c r="C83" i="11" s="1"/>
  <c r="C83" i="10"/>
  <c r="B83" i="10"/>
  <c r="A83" i="10"/>
  <c r="A83" i="11" s="1"/>
  <c r="L82" i="10"/>
  <c r="G82" i="10"/>
  <c r="J82" i="10" s="1"/>
  <c r="F82" i="10"/>
  <c r="E82" i="10"/>
  <c r="D82" i="10"/>
  <c r="C82" i="11" s="1"/>
  <c r="C82" i="10"/>
  <c r="B82" i="11" s="1"/>
  <c r="B82" i="10"/>
  <c r="A82" i="10"/>
  <c r="A82" i="11" s="1"/>
  <c r="K81" i="10"/>
  <c r="J81" i="10"/>
  <c r="G81" i="10"/>
  <c r="F81" i="10"/>
  <c r="E81" i="10"/>
  <c r="D81" i="10"/>
  <c r="C81" i="11" s="1"/>
  <c r="C81" i="10"/>
  <c r="B81" i="11" s="1"/>
  <c r="B81" i="10"/>
  <c r="A81" i="10"/>
  <c r="A81" i="11" s="1"/>
  <c r="J80" i="10"/>
  <c r="G80" i="10"/>
  <c r="F80" i="10"/>
  <c r="E80" i="10"/>
  <c r="D80" i="10"/>
  <c r="C80" i="11" s="1"/>
  <c r="C80" i="10"/>
  <c r="B80" i="11" s="1"/>
  <c r="B80" i="10"/>
  <c r="A80" i="10"/>
  <c r="A80" i="11" s="1"/>
  <c r="J79" i="10"/>
  <c r="G79" i="10"/>
  <c r="F79" i="10"/>
  <c r="E79" i="10"/>
  <c r="D79" i="10"/>
  <c r="C79" i="11" s="1"/>
  <c r="C79" i="10"/>
  <c r="B79" i="11" s="1"/>
  <c r="B79" i="10"/>
  <c r="A79" i="10"/>
  <c r="A79" i="11" s="1"/>
  <c r="K78" i="10"/>
  <c r="J78" i="10"/>
  <c r="G78" i="10"/>
  <c r="F78" i="10"/>
  <c r="E78" i="10"/>
  <c r="D78" i="10"/>
  <c r="C78" i="11" s="1"/>
  <c r="C78" i="10"/>
  <c r="B78" i="11" s="1"/>
  <c r="B78" i="10"/>
  <c r="A78" i="10"/>
  <c r="J77" i="10"/>
  <c r="G77" i="10"/>
  <c r="F77" i="10"/>
  <c r="E77" i="10"/>
  <c r="D77" i="10"/>
  <c r="C77" i="11" s="1"/>
  <c r="C77" i="10"/>
  <c r="B77" i="10"/>
  <c r="A77" i="10"/>
  <c r="A77" i="11" s="1"/>
  <c r="J76" i="10"/>
  <c r="G76" i="10"/>
  <c r="F76" i="10"/>
  <c r="E76" i="10"/>
  <c r="D76" i="10"/>
  <c r="C76" i="11" s="1"/>
  <c r="C76" i="10"/>
  <c r="B76" i="11" s="1"/>
  <c r="B76" i="10"/>
  <c r="A76" i="10"/>
  <c r="A76" i="11" s="1"/>
  <c r="K75" i="10"/>
  <c r="G75" i="10"/>
  <c r="J75" i="10" s="1"/>
  <c r="F75" i="10"/>
  <c r="E75" i="10"/>
  <c r="D75" i="10"/>
  <c r="C75" i="11" s="1"/>
  <c r="C75" i="10"/>
  <c r="B75" i="10"/>
  <c r="A75" i="10"/>
  <c r="K74" i="10"/>
  <c r="J74" i="10"/>
  <c r="G74" i="10"/>
  <c r="F74" i="10"/>
  <c r="E74" i="10"/>
  <c r="D74" i="10"/>
  <c r="C74" i="11" s="1"/>
  <c r="C74" i="10"/>
  <c r="B74" i="11" s="1"/>
  <c r="B74" i="10"/>
  <c r="A74" i="10"/>
  <c r="A74" i="11" s="1"/>
  <c r="J73" i="10"/>
  <c r="G73" i="10"/>
  <c r="F73" i="10"/>
  <c r="E73" i="10"/>
  <c r="D73" i="10"/>
  <c r="C73" i="11" s="1"/>
  <c r="C73" i="10"/>
  <c r="B73" i="11" s="1"/>
  <c r="B73" i="10"/>
  <c r="A73" i="10"/>
  <c r="A73" i="11" s="1"/>
  <c r="J72" i="10"/>
  <c r="G72" i="10"/>
  <c r="F72" i="10"/>
  <c r="E72" i="10"/>
  <c r="D72" i="10"/>
  <c r="C72" i="11" s="1"/>
  <c r="C72" i="10"/>
  <c r="B72" i="10"/>
  <c r="A72" i="10"/>
  <c r="A72" i="11" s="1"/>
  <c r="G71" i="10"/>
  <c r="J71" i="10" s="1"/>
  <c r="F71" i="10"/>
  <c r="E71" i="10"/>
  <c r="D71" i="10"/>
  <c r="C71" i="11" s="1"/>
  <c r="C71" i="10"/>
  <c r="B71" i="11" s="1"/>
  <c r="B71" i="10"/>
  <c r="A71" i="10"/>
  <c r="A71" i="11" s="1"/>
  <c r="L70" i="10"/>
  <c r="G70" i="10"/>
  <c r="J70" i="10" s="1"/>
  <c r="F70" i="10"/>
  <c r="E70" i="10"/>
  <c r="D70" i="10"/>
  <c r="C70" i="11" s="1"/>
  <c r="C70" i="10"/>
  <c r="B70" i="11" s="1"/>
  <c r="B70" i="10"/>
  <c r="A70" i="10"/>
  <c r="A70" i="11" s="1"/>
  <c r="J69" i="10"/>
  <c r="G69" i="10"/>
  <c r="F69" i="10"/>
  <c r="E69" i="10"/>
  <c r="D69" i="10"/>
  <c r="C69" i="11" s="1"/>
  <c r="C69" i="10"/>
  <c r="B69" i="11" s="1"/>
  <c r="B69" i="10"/>
  <c r="A69" i="10"/>
  <c r="A69" i="11" s="1"/>
  <c r="L68" i="10"/>
  <c r="K68" i="10"/>
  <c r="M68" i="10" s="1"/>
  <c r="G68" i="10"/>
  <c r="J68" i="10" s="1"/>
  <c r="F68" i="10"/>
  <c r="E68" i="10"/>
  <c r="D68" i="10"/>
  <c r="C68" i="11" s="1"/>
  <c r="C68" i="10"/>
  <c r="B68" i="11" s="1"/>
  <c r="B68" i="10"/>
  <c r="A68" i="10"/>
  <c r="A68" i="11" s="1"/>
  <c r="G67" i="10"/>
  <c r="J67" i="10" s="1"/>
  <c r="F67" i="10"/>
  <c r="E67" i="10"/>
  <c r="D67" i="10"/>
  <c r="C67" i="11" s="1"/>
  <c r="C67" i="10"/>
  <c r="B67" i="11" s="1"/>
  <c r="B67" i="10"/>
  <c r="A67" i="10"/>
  <c r="A67" i="11" s="1"/>
  <c r="G66" i="10"/>
  <c r="J66" i="10" s="1"/>
  <c r="F66" i="10"/>
  <c r="E66" i="10"/>
  <c r="D66" i="10"/>
  <c r="C66" i="11" s="1"/>
  <c r="C66" i="10"/>
  <c r="B66" i="11" s="1"/>
  <c r="B66" i="10"/>
  <c r="A66" i="10"/>
  <c r="A66" i="11" s="1"/>
  <c r="G65" i="10"/>
  <c r="J65" i="10" s="1"/>
  <c r="F65" i="10"/>
  <c r="E65" i="10"/>
  <c r="D65" i="10"/>
  <c r="C65" i="11" s="1"/>
  <c r="C65" i="10"/>
  <c r="B65" i="11" s="1"/>
  <c r="B65" i="10"/>
  <c r="A65" i="10"/>
  <c r="K64" i="10"/>
  <c r="G64" i="10"/>
  <c r="J64" i="10" s="1"/>
  <c r="F64" i="10"/>
  <c r="E64" i="10"/>
  <c r="D64" i="10"/>
  <c r="C64" i="11" s="1"/>
  <c r="C64" i="10"/>
  <c r="B64" i="11" s="1"/>
  <c r="B64" i="10"/>
  <c r="A64" i="10"/>
  <c r="A64" i="11" s="1"/>
  <c r="G63" i="10"/>
  <c r="J63" i="10" s="1"/>
  <c r="F63" i="10"/>
  <c r="E63" i="10"/>
  <c r="D63" i="10"/>
  <c r="C63" i="10"/>
  <c r="B63" i="10"/>
  <c r="A63" i="10"/>
  <c r="A63" i="11" s="1"/>
  <c r="G62" i="10"/>
  <c r="J62" i="10" s="1"/>
  <c r="F62" i="10"/>
  <c r="E62" i="10"/>
  <c r="D62" i="10"/>
  <c r="C62" i="11" s="1"/>
  <c r="C62" i="10"/>
  <c r="B62" i="10"/>
  <c r="A62" i="10"/>
  <c r="A62" i="11" s="1"/>
  <c r="K61" i="10"/>
  <c r="J61" i="10"/>
  <c r="G61" i="10"/>
  <c r="F61" i="10"/>
  <c r="E61" i="10"/>
  <c r="D61" i="10"/>
  <c r="C61" i="10"/>
  <c r="B61" i="10"/>
  <c r="A61" i="10"/>
  <c r="A61" i="11" s="1"/>
  <c r="L60" i="10"/>
  <c r="J60" i="10"/>
  <c r="G60" i="10"/>
  <c r="F60" i="10"/>
  <c r="E60" i="10"/>
  <c r="D60" i="10"/>
  <c r="C60" i="11" s="1"/>
  <c r="C60" i="10"/>
  <c r="B60" i="10"/>
  <c r="A60" i="10"/>
  <c r="A60" i="11" s="1"/>
  <c r="K59" i="10"/>
  <c r="G59" i="10"/>
  <c r="J59" i="10" s="1"/>
  <c r="F59" i="10"/>
  <c r="E59" i="10"/>
  <c r="D59" i="10"/>
  <c r="C59" i="11" s="1"/>
  <c r="C59" i="10"/>
  <c r="B59" i="11" s="1"/>
  <c r="B59" i="10"/>
  <c r="A59" i="10"/>
  <c r="A59" i="11" s="1"/>
  <c r="J58" i="10"/>
  <c r="G58" i="10"/>
  <c r="F58" i="10"/>
  <c r="E58" i="10"/>
  <c r="D58" i="10"/>
  <c r="C58" i="10"/>
  <c r="B58" i="11" s="1"/>
  <c r="B58" i="10"/>
  <c r="A58" i="10"/>
  <c r="A58" i="11" s="1"/>
  <c r="J57" i="10"/>
  <c r="G57" i="10"/>
  <c r="F57" i="10"/>
  <c r="E57" i="10"/>
  <c r="D57" i="10"/>
  <c r="C57" i="11" s="1"/>
  <c r="C57" i="10"/>
  <c r="B57" i="11" s="1"/>
  <c r="B57" i="10"/>
  <c r="A57" i="10"/>
  <c r="A57" i="11" s="1"/>
  <c r="J56" i="10"/>
  <c r="G56" i="10"/>
  <c r="F56" i="10"/>
  <c r="E56" i="10"/>
  <c r="D56" i="10"/>
  <c r="C56" i="11" s="1"/>
  <c r="C56" i="10"/>
  <c r="B56" i="11" s="1"/>
  <c r="B56" i="10"/>
  <c r="A56" i="10"/>
  <c r="A56" i="11" s="1"/>
  <c r="K55" i="10"/>
  <c r="J55" i="10"/>
  <c r="G55" i="10"/>
  <c r="F55" i="10"/>
  <c r="E55" i="10"/>
  <c r="D55" i="10"/>
  <c r="C55" i="11" s="1"/>
  <c r="C55" i="10"/>
  <c r="B55" i="11" s="1"/>
  <c r="B55" i="10"/>
  <c r="A55" i="10"/>
  <c r="J54" i="10"/>
  <c r="G54" i="10"/>
  <c r="F54" i="10"/>
  <c r="E54" i="10"/>
  <c r="D54" i="10"/>
  <c r="C54" i="11" s="1"/>
  <c r="C54" i="10"/>
  <c r="B54" i="11" s="1"/>
  <c r="B54" i="10"/>
  <c r="A54" i="10"/>
  <c r="A54" i="11" s="1"/>
  <c r="K53" i="10"/>
  <c r="G53" i="10"/>
  <c r="J53" i="10" s="1"/>
  <c r="F53" i="10"/>
  <c r="E53" i="10"/>
  <c r="D53" i="10"/>
  <c r="C53" i="11" s="1"/>
  <c r="C53" i="10"/>
  <c r="B53" i="11" s="1"/>
  <c r="B53" i="10"/>
  <c r="A53" i="10"/>
  <c r="A53" i="11" s="1"/>
  <c r="F52" i="10"/>
  <c r="E52" i="10"/>
  <c r="D52" i="10"/>
  <c r="C52" i="11" s="1"/>
  <c r="C52" i="10"/>
  <c r="B52" i="10"/>
  <c r="A52" i="10"/>
  <c r="A52" i="11" s="1"/>
  <c r="L51" i="10"/>
  <c r="F51" i="10"/>
  <c r="E51" i="10"/>
  <c r="D51" i="10"/>
  <c r="C51" i="11" s="1"/>
  <c r="C51" i="10"/>
  <c r="B51" i="11" s="1"/>
  <c r="B51" i="10"/>
  <c r="A51" i="10"/>
  <c r="A51" i="11" s="1"/>
  <c r="F50" i="10"/>
  <c r="E50" i="10"/>
  <c r="D50" i="10"/>
  <c r="C50" i="11" s="1"/>
  <c r="C50" i="10"/>
  <c r="B50" i="10"/>
  <c r="A50" i="10"/>
  <c r="K49" i="10"/>
  <c r="G49" i="10"/>
  <c r="J49" i="10" s="1"/>
  <c r="F49" i="10"/>
  <c r="E49" i="10"/>
  <c r="D49" i="10"/>
  <c r="C49" i="11" s="1"/>
  <c r="C49" i="10"/>
  <c r="B49" i="11" s="1"/>
  <c r="B49" i="10"/>
  <c r="A49" i="10"/>
  <c r="A49" i="11" s="1"/>
  <c r="F48" i="10"/>
  <c r="E48" i="10"/>
  <c r="D48" i="10"/>
  <c r="C48" i="11" s="1"/>
  <c r="C48" i="10"/>
  <c r="B48" i="11" s="1"/>
  <c r="B48" i="10"/>
  <c r="A48" i="10"/>
  <c r="A48" i="11" s="1"/>
  <c r="M47" i="10"/>
  <c r="L47" i="10"/>
  <c r="K47" i="10"/>
  <c r="J47" i="10"/>
  <c r="F47" i="10"/>
  <c r="E47" i="10"/>
  <c r="D47" i="10"/>
  <c r="C47" i="11" s="1"/>
  <c r="C47" i="10"/>
  <c r="B47" i="10"/>
  <c r="A47" i="10"/>
  <c r="M46" i="10"/>
  <c r="L46" i="10"/>
  <c r="K46" i="10"/>
  <c r="F46" i="10"/>
  <c r="E46" i="10"/>
  <c r="D46" i="10"/>
  <c r="C46" i="11" s="1"/>
  <c r="C46" i="10"/>
  <c r="B46" i="11" s="1"/>
  <c r="B46" i="10"/>
  <c r="A46" i="10"/>
  <c r="A46" i="11" s="1"/>
  <c r="F45" i="10"/>
  <c r="E45" i="10"/>
  <c r="D45" i="10"/>
  <c r="C45" i="11" s="1"/>
  <c r="C45" i="10"/>
  <c r="B45" i="11" s="1"/>
  <c r="B45" i="10"/>
  <c r="A45" i="10"/>
  <c r="A45" i="11" s="1"/>
  <c r="F44" i="10"/>
  <c r="E44" i="10"/>
  <c r="D44" i="10"/>
  <c r="C44" i="11" s="1"/>
  <c r="C44" i="10"/>
  <c r="B44" i="10"/>
  <c r="A44" i="10"/>
  <c r="A44" i="11" s="1"/>
  <c r="G43" i="10"/>
  <c r="J43" i="10" s="1"/>
  <c r="F43" i="10"/>
  <c r="E43" i="10"/>
  <c r="D43" i="10"/>
  <c r="C43" i="11" s="1"/>
  <c r="C43" i="10"/>
  <c r="B43" i="11" s="1"/>
  <c r="B43" i="10"/>
  <c r="A43" i="10"/>
  <c r="A43" i="11" s="1"/>
  <c r="K42" i="10"/>
  <c r="G42" i="10"/>
  <c r="J42" i="10" s="1"/>
  <c r="F42" i="10"/>
  <c r="E42" i="10"/>
  <c r="D42" i="10"/>
  <c r="C42" i="10"/>
  <c r="B42" i="10"/>
  <c r="A42" i="10"/>
  <c r="A42" i="11" s="1"/>
  <c r="F41" i="10"/>
  <c r="E41" i="10"/>
  <c r="D41" i="10"/>
  <c r="C41" i="11" s="1"/>
  <c r="C41" i="10"/>
  <c r="B41" i="11" s="1"/>
  <c r="B41" i="10"/>
  <c r="A41" i="10"/>
  <c r="A41" i="11" s="1"/>
  <c r="L40" i="10"/>
  <c r="G40" i="10"/>
  <c r="J40" i="10" s="1"/>
  <c r="F40" i="10"/>
  <c r="E40" i="10"/>
  <c r="D40" i="10"/>
  <c r="C40" i="10"/>
  <c r="B40" i="10"/>
  <c r="A40" i="10"/>
  <c r="A40" i="11" s="1"/>
  <c r="L39" i="10"/>
  <c r="K39" i="10"/>
  <c r="M39" i="10" s="1"/>
  <c r="F39" i="10"/>
  <c r="E39" i="10"/>
  <c r="D39" i="10"/>
  <c r="C39" i="10"/>
  <c r="B39" i="11" s="1"/>
  <c r="B39" i="10"/>
  <c r="A39" i="10"/>
  <c r="A39" i="11" s="1"/>
  <c r="L38" i="10"/>
  <c r="J38" i="10"/>
  <c r="G38" i="10"/>
  <c r="F38" i="10"/>
  <c r="E38" i="10"/>
  <c r="D38" i="10"/>
  <c r="C38" i="11" s="1"/>
  <c r="C38" i="10"/>
  <c r="B38" i="11" s="1"/>
  <c r="B38" i="10"/>
  <c r="A38" i="10"/>
  <c r="A38" i="11" s="1"/>
  <c r="F37" i="10"/>
  <c r="E37" i="10"/>
  <c r="D37" i="10"/>
  <c r="C37" i="10"/>
  <c r="B37" i="11" s="1"/>
  <c r="B37" i="10"/>
  <c r="A37" i="10"/>
  <c r="A37" i="11" s="1"/>
  <c r="L36" i="10"/>
  <c r="K36" i="10"/>
  <c r="M36" i="10" s="1"/>
  <c r="J36" i="10"/>
  <c r="N36" i="10" s="1"/>
  <c r="F36" i="10"/>
  <c r="E36" i="10"/>
  <c r="D36" i="10"/>
  <c r="C36" i="11" s="1"/>
  <c r="C36" i="10"/>
  <c r="B36" i="11" s="1"/>
  <c r="B36" i="10"/>
  <c r="A36" i="10"/>
  <c r="A36" i="11" s="1"/>
  <c r="L35" i="10"/>
  <c r="K35" i="10"/>
  <c r="M35" i="10" s="1"/>
  <c r="F35" i="10"/>
  <c r="E35" i="10"/>
  <c r="D35" i="10"/>
  <c r="C35" i="11" s="1"/>
  <c r="C35" i="10"/>
  <c r="B35" i="10"/>
  <c r="A35" i="10"/>
  <c r="F34" i="10"/>
  <c r="E34" i="10"/>
  <c r="D34" i="10"/>
  <c r="C34" i="11" s="1"/>
  <c r="C34" i="10"/>
  <c r="B34" i="11" s="1"/>
  <c r="B34" i="10"/>
  <c r="A34" i="10"/>
  <c r="A34" i="11" s="1"/>
  <c r="K33" i="10"/>
  <c r="F33" i="10"/>
  <c r="E33" i="10"/>
  <c r="D33" i="10"/>
  <c r="C33" i="11" s="1"/>
  <c r="C33" i="10"/>
  <c r="B33" i="11" s="1"/>
  <c r="B33" i="10"/>
  <c r="A33" i="10"/>
  <c r="A33" i="11" s="1"/>
  <c r="J32" i="10"/>
  <c r="G32" i="10"/>
  <c r="F32" i="10"/>
  <c r="E32" i="10"/>
  <c r="D32" i="10"/>
  <c r="C32" i="11" s="1"/>
  <c r="C32" i="10"/>
  <c r="B32" i="10"/>
  <c r="A32" i="10"/>
  <c r="A32" i="11" s="1"/>
  <c r="K31" i="10"/>
  <c r="G31" i="10"/>
  <c r="J31" i="10" s="1"/>
  <c r="F31" i="10"/>
  <c r="E31" i="10"/>
  <c r="D31" i="10"/>
  <c r="C31" i="11" s="1"/>
  <c r="C31" i="10"/>
  <c r="B31" i="11" s="1"/>
  <c r="B31" i="10"/>
  <c r="A31" i="10"/>
  <c r="A31" i="11" s="1"/>
  <c r="F30" i="10"/>
  <c r="E30" i="10"/>
  <c r="D30" i="10"/>
  <c r="C30" i="10"/>
  <c r="B30" i="10"/>
  <c r="A30" i="10"/>
  <c r="A30" i="11" s="1"/>
  <c r="L29" i="10"/>
  <c r="J29" i="10"/>
  <c r="F29" i="10"/>
  <c r="E29" i="10"/>
  <c r="D29" i="10"/>
  <c r="C29" i="10"/>
  <c r="B29" i="11" s="1"/>
  <c r="B29" i="10"/>
  <c r="A29" i="10"/>
  <c r="A29" i="11" s="1"/>
  <c r="F28" i="10"/>
  <c r="E28" i="10"/>
  <c r="D28" i="10"/>
  <c r="C28" i="11" s="1"/>
  <c r="C28" i="10"/>
  <c r="B28" i="10"/>
  <c r="A28" i="10"/>
  <c r="A28" i="11" s="1"/>
  <c r="K27" i="10"/>
  <c r="G27" i="10"/>
  <c r="J27" i="10" s="1"/>
  <c r="F27" i="10"/>
  <c r="E27" i="10"/>
  <c r="D27" i="10"/>
  <c r="C27" i="11" s="1"/>
  <c r="C27" i="10"/>
  <c r="B27" i="10"/>
  <c r="A27" i="10"/>
  <c r="F26" i="10"/>
  <c r="E26" i="10"/>
  <c r="D26" i="10"/>
  <c r="C26" i="11" s="1"/>
  <c r="C26" i="10"/>
  <c r="B26" i="11" s="1"/>
  <c r="B26" i="10"/>
  <c r="A26" i="10"/>
  <c r="A26" i="11" s="1"/>
  <c r="K25" i="10"/>
  <c r="F25" i="10"/>
  <c r="E25" i="10"/>
  <c r="D25" i="10"/>
  <c r="C25" i="11" s="1"/>
  <c r="C25" i="10"/>
  <c r="B25" i="11" s="1"/>
  <c r="B25" i="10"/>
  <c r="A25" i="10"/>
  <c r="A25" i="11" s="1"/>
  <c r="L24" i="10"/>
  <c r="K24" i="10"/>
  <c r="M24" i="10" s="1"/>
  <c r="F24" i="10"/>
  <c r="E24" i="10"/>
  <c r="D24" i="10"/>
  <c r="C24" i="10"/>
  <c r="B24" i="11" s="1"/>
  <c r="B24" i="10"/>
  <c r="A24" i="10"/>
  <c r="A24" i="11" s="1"/>
  <c r="F23" i="10"/>
  <c r="E23" i="10"/>
  <c r="D23" i="10"/>
  <c r="C23" i="11" s="1"/>
  <c r="C23" i="10"/>
  <c r="B23" i="11" s="1"/>
  <c r="B23" i="10"/>
  <c r="A23" i="10"/>
  <c r="A23" i="11" s="1"/>
  <c r="F22" i="10"/>
  <c r="E22" i="10"/>
  <c r="D22" i="10"/>
  <c r="C22" i="11" s="1"/>
  <c r="C22" i="10"/>
  <c r="B22" i="10"/>
  <c r="A22" i="10"/>
  <c r="A22" i="11" s="1"/>
  <c r="K21" i="10"/>
  <c r="G21" i="10"/>
  <c r="J21" i="10" s="1"/>
  <c r="F21" i="10"/>
  <c r="E21" i="10"/>
  <c r="D21" i="10"/>
  <c r="C21" i="11" s="1"/>
  <c r="C21" i="10"/>
  <c r="B21" i="11" s="1"/>
  <c r="B21" i="10"/>
  <c r="A21" i="10"/>
  <c r="A21" i="11" s="1"/>
  <c r="F20" i="10"/>
  <c r="E20" i="10"/>
  <c r="D20" i="10"/>
  <c r="C20" i="11" s="1"/>
  <c r="C20" i="10"/>
  <c r="B20" i="11" s="1"/>
  <c r="B20" i="10"/>
  <c r="A20" i="10"/>
  <c r="A20" i="11" s="1"/>
  <c r="K19" i="10"/>
  <c r="F19" i="10"/>
  <c r="E19" i="10"/>
  <c r="D19" i="10"/>
  <c r="C19" i="11" s="1"/>
  <c r="C19" i="10"/>
  <c r="B19" i="10"/>
  <c r="A19" i="10"/>
  <c r="A19" i="11" s="1"/>
  <c r="G18" i="10"/>
  <c r="J18" i="10" s="1"/>
  <c r="F18" i="10"/>
  <c r="E18" i="10"/>
  <c r="D18" i="10"/>
  <c r="C18" i="11" s="1"/>
  <c r="C18" i="10"/>
  <c r="B18" i="10"/>
  <c r="A18" i="10"/>
  <c r="A18" i="11" s="1"/>
  <c r="F17" i="10"/>
  <c r="E17" i="10"/>
  <c r="D17" i="10"/>
  <c r="C17" i="11" s="1"/>
  <c r="C17" i="10"/>
  <c r="I17" i="10" s="1"/>
  <c r="B17" i="10"/>
  <c r="A17" i="10"/>
  <c r="L16" i="10"/>
  <c r="G16" i="10"/>
  <c r="J16" i="10" s="1"/>
  <c r="F16" i="10"/>
  <c r="E16" i="10"/>
  <c r="D16" i="10"/>
  <c r="C16" i="11" s="1"/>
  <c r="C16" i="10"/>
  <c r="B16" i="11" s="1"/>
  <c r="B16" i="10"/>
  <c r="A16" i="10"/>
  <c r="A16" i="11" s="1"/>
  <c r="F15" i="10"/>
  <c r="E15" i="10"/>
  <c r="D15" i="10"/>
  <c r="C15" i="10"/>
  <c r="B15" i="11" s="1"/>
  <c r="B15" i="10"/>
  <c r="A15" i="10"/>
  <c r="A15" i="11" s="1"/>
  <c r="K14" i="10"/>
  <c r="J14" i="10"/>
  <c r="F14" i="10"/>
  <c r="E14" i="10"/>
  <c r="D14" i="10"/>
  <c r="C14" i="11" s="1"/>
  <c r="C14" i="10"/>
  <c r="B14" i="11" s="1"/>
  <c r="B14" i="10"/>
  <c r="A14" i="10"/>
  <c r="A14" i="11" s="1"/>
  <c r="L13" i="10"/>
  <c r="K13" i="10"/>
  <c r="F13" i="10"/>
  <c r="E13" i="10"/>
  <c r="D13" i="10"/>
  <c r="C13" i="11" s="1"/>
  <c r="C13" i="10"/>
  <c r="B13" i="11" s="1"/>
  <c r="B13" i="10"/>
  <c r="A13" i="10"/>
  <c r="A13" i="11" s="1"/>
  <c r="G12" i="10"/>
  <c r="J12" i="10" s="1"/>
  <c r="F12" i="10"/>
  <c r="E12" i="10"/>
  <c r="D12" i="10"/>
  <c r="C12" i="11" s="1"/>
  <c r="C12" i="10"/>
  <c r="B12" i="11" s="1"/>
  <c r="B12" i="10"/>
  <c r="A12" i="10"/>
  <c r="A12" i="11" s="1"/>
  <c r="F11" i="10"/>
  <c r="E11" i="10"/>
  <c r="D11" i="10"/>
  <c r="C11" i="11" s="1"/>
  <c r="C11" i="10"/>
  <c r="B11" i="11" s="1"/>
  <c r="B11" i="10"/>
  <c r="A11" i="10"/>
  <c r="A11" i="11" s="1"/>
  <c r="J10" i="10"/>
  <c r="G10" i="10"/>
  <c r="F10" i="10"/>
  <c r="E10" i="10"/>
  <c r="D10" i="10"/>
  <c r="C10" i="11" s="1"/>
  <c r="C10" i="10"/>
  <c r="B10" i="11" s="1"/>
  <c r="B10" i="10"/>
  <c r="A10" i="10"/>
  <c r="A10" i="11" s="1"/>
  <c r="F9" i="10"/>
  <c r="E9" i="10"/>
  <c r="D9" i="10"/>
  <c r="C9" i="11" s="1"/>
  <c r="C9" i="10"/>
  <c r="B9" i="11" s="1"/>
  <c r="B9" i="10"/>
  <c r="A9" i="10"/>
  <c r="F8" i="10"/>
  <c r="E8" i="10"/>
  <c r="D8" i="10"/>
  <c r="C8" i="11" s="1"/>
  <c r="C8" i="10"/>
  <c r="B8" i="10"/>
  <c r="A8" i="10"/>
  <c r="A8" i="11" s="1"/>
  <c r="J7" i="10"/>
  <c r="F7" i="10"/>
  <c r="E7" i="10"/>
  <c r="D7" i="10"/>
  <c r="C7" i="11" s="1"/>
  <c r="C7" i="10"/>
  <c r="B7" i="10"/>
  <c r="A7" i="10"/>
  <c r="A7" i="11" s="1"/>
  <c r="F6" i="10"/>
  <c r="E6" i="10"/>
  <c r="D6" i="10"/>
  <c r="C6" i="11" s="1"/>
  <c r="C6" i="10"/>
  <c r="B6" i="11" s="1"/>
  <c r="B6" i="10"/>
  <c r="A6" i="10"/>
  <c r="K5" i="10"/>
  <c r="F5" i="10"/>
  <c r="E5" i="10"/>
  <c r="D5" i="10"/>
  <c r="C5" i="11" s="1"/>
  <c r="C5" i="10"/>
  <c r="B5" i="10"/>
  <c r="A5" i="10"/>
  <c r="F4" i="10"/>
  <c r="E4" i="10"/>
  <c r="D4" i="10"/>
  <c r="C4" i="11" s="1"/>
  <c r="C4" i="10"/>
  <c r="B4" i="10"/>
  <c r="A4" i="10"/>
  <c r="A4" i="11" s="1"/>
  <c r="L3" i="10"/>
  <c r="M3" i="10" s="1"/>
  <c r="K3" i="10"/>
  <c r="F3" i="10"/>
  <c r="E3" i="10"/>
  <c r="D3" i="10"/>
  <c r="C3" i="11" s="1"/>
  <c r="C3" i="10"/>
  <c r="B3" i="10"/>
  <c r="A3" i="10"/>
  <c r="M2" i="10"/>
  <c r="L2" i="10"/>
  <c r="K2" i="10"/>
  <c r="F2" i="10"/>
  <c r="E2" i="10"/>
  <c r="C2" i="12" s="1"/>
  <c r="D2" i="10"/>
  <c r="C2" i="11" s="1"/>
  <c r="C2" i="10"/>
  <c r="B2" i="11" s="1"/>
  <c r="B2" i="10"/>
  <c r="A2" i="10"/>
  <c r="D138" i="9"/>
  <c r="C138" i="9"/>
  <c r="B138" i="9"/>
  <c r="A138" i="9"/>
  <c r="F137" i="9"/>
  <c r="E137" i="9"/>
  <c r="D137" i="9"/>
  <c r="C137" i="9"/>
  <c r="B137" i="9"/>
  <c r="A137" i="9"/>
  <c r="H136" i="9"/>
  <c r="F136" i="9"/>
  <c r="E136" i="9"/>
  <c r="E133" i="11" s="1"/>
  <c r="D136" i="9"/>
  <c r="C136" i="9"/>
  <c r="B136" i="9"/>
  <c r="A136" i="9"/>
  <c r="F135" i="9"/>
  <c r="E135" i="9"/>
  <c r="D135" i="9"/>
  <c r="C135" i="9"/>
  <c r="B135" i="9"/>
  <c r="A135" i="9"/>
  <c r="F134" i="9"/>
  <c r="E134" i="9"/>
  <c r="D134" i="9"/>
  <c r="C134" i="9"/>
  <c r="B134" i="9"/>
  <c r="A134" i="9"/>
  <c r="F133" i="9"/>
  <c r="E133" i="9"/>
  <c r="D133" i="9"/>
  <c r="C133" i="9"/>
  <c r="B133" i="9"/>
  <c r="A133" i="9"/>
  <c r="F132" i="9"/>
  <c r="E132" i="9"/>
  <c r="E129" i="11" s="1"/>
  <c r="D132" i="9"/>
  <c r="C132" i="9"/>
  <c r="B132" i="9"/>
  <c r="A132" i="9"/>
  <c r="H131" i="9"/>
  <c r="F128" i="11" s="1"/>
  <c r="N128" i="11" s="1"/>
  <c r="O128" i="11" s="1"/>
  <c r="F131" i="9"/>
  <c r="E131" i="9"/>
  <c r="E128" i="11" s="1"/>
  <c r="D131" i="9"/>
  <c r="C131" i="9"/>
  <c r="B131" i="9"/>
  <c r="A131" i="9"/>
  <c r="F130" i="9"/>
  <c r="E130" i="9"/>
  <c r="E127" i="11" s="1"/>
  <c r="D130" i="9"/>
  <c r="C130" i="9"/>
  <c r="B130" i="9"/>
  <c r="A130" i="9"/>
  <c r="D129" i="9"/>
  <c r="C129" i="9"/>
  <c r="B129" i="9"/>
  <c r="A129" i="9"/>
  <c r="D128" i="9"/>
  <c r="C128" i="9"/>
  <c r="B128" i="9"/>
  <c r="A128" i="9"/>
  <c r="D127" i="9"/>
  <c r="C127" i="9"/>
  <c r="B127" i="9"/>
  <c r="A127" i="9"/>
  <c r="D126" i="9"/>
  <c r="C126" i="9"/>
  <c r="B126" i="9"/>
  <c r="A126" i="9"/>
  <c r="D125" i="9"/>
  <c r="C125" i="9"/>
  <c r="B125" i="9"/>
  <c r="A125" i="9"/>
  <c r="D124" i="9"/>
  <c r="C124" i="9"/>
  <c r="B124" i="9"/>
  <c r="A124" i="9"/>
  <c r="D123" i="9"/>
  <c r="C123" i="9"/>
  <c r="B123" i="9"/>
  <c r="A123" i="9"/>
  <c r="D122" i="9"/>
  <c r="C122" i="9"/>
  <c r="B122" i="9"/>
  <c r="A122" i="9"/>
  <c r="D121" i="9"/>
  <c r="C121" i="9"/>
  <c r="B121" i="9"/>
  <c r="A121" i="9"/>
  <c r="D120" i="9"/>
  <c r="C120" i="9"/>
  <c r="B120" i="9"/>
  <c r="A120" i="9"/>
  <c r="D119" i="9"/>
  <c r="C119" i="9"/>
  <c r="B119" i="9"/>
  <c r="A119" i="9"/>
  <c r="D118" i="9"/>
  <c r="C118" i="9"/>
  <c r="B118" i="9"/>
  <c r="A118" i="9"/>
  <c r="D117" i="9"/>
  <c r="C117" i="9"/>
  <c r="B117" i="9"/>
  <c r="A117" i="9"/>
  <c r="D116" i="9"/>
  <c r="C116" i="9"/>
  <c r="B116" i="9"/>
  <c r="A116" i="9"/>
  <c r="D115" i="9"/>
  <c r="C115" i="9"/>
  <c r="B115" i="9"/>
  <c r="A115" i="9"/>
  <c r="D114" i="9"/>
  <c r="C114" i="9"/>
  <c r="B114" i="9"/>
  <c r="A114" i="9"/>
  <c r="D113" i="9"/>
  <c r="C113" i="9"/>
  <c r="B113" i="9"/>
  <c r="A113" i="9"/>
  <c r="D112" i="9"/>
  <c r="C112" i="9"/>
  <c r="B112" i="9"/>
  <c r="A112" i="9"/>
  <c r="D111" i="9"/>
  <c r="C111" i="9"/>
  <c r="B111" i="9"/>
  <c r="A111" i="9"/>
  <c r="D110" i="9"/>
  <c r="C110" i="9"/>
  <c r="B110" i="9"/>
  <c r="A110" i="9"/>
  <c r="D109" i="9"/>
  <c r="C109" i="9"/>
  <c r="B109" i="9"/>
  <c r="A109" i="9"/>
  <c r="D108" i="9"/>
  <c r="C108" i="9"/>
  <c r="B108" i="9"/>
  <c r="A108" i="9"/>
  <c r="D107" i="9"/>
  <c r="C107" i="9"/>
  <c r="B107" i="9"/>
  <c r="A107" i="9"/>
  <c r="D106" i="9"/>
  <c r="C106" i="9"/>
  <c r="B106" i="9"/>
  <c r="A106" i="9"/>
  <c r="D105" i="9"/>
  <c r="C105" i="9"/>
  <c r="B105" i="9"/>
  <c r="A105" i="9"/>
  <c r="D104" i="9"/>
  <c r="C104" i="9"/>
  <c r="B104" i="9"/>
  <c r="A104" i="9"/>
  <c r="D103" i="9"/>
  <c r="C103" i="9"/>
  <c r="B103" i="9"/>
  <c r="A103" i="9"/>
  <c r="D102" i="9"/>
  <c r="C102" i="9"/>
  <c r="B102" i="9"/>
  <c r="A102" i="9"/>
  <c r="D101" i="9"/>
  <c r="C101" i="9"/>
  <c r="B101" i="9"/>
  <c r="A101" i="9"/>
  <c r="D100" i="9"/>
  <c r="C100" i="9"/>
  <c r="B100" i="9"/>
  <c r="A100" i="9"/>
  <c r="D99" i="9"/>
  <c r="C99" i="9"/>
  <c r="B99" i="9"/>
  <c r="A99" i="9"/>
  <c r="D98" i="9"/>
  <c r="C98" i="9"/>
  <c r="B98" i="9"/>
  <c r="A98" i="9"/>
  <c r="D97" i="9"/>
  <c r="C97" i="9"/>
  <c r="B97" i="9"/>
  <c r="A97" i="9"/>
  <c r="D96" i="9"/>
  <c r="C96" i="9"/>
  <c r="B96" i="9"/>
  <c r="A96" i="9"/>
  <c r="D95" i="9"/>
  <c r="C95" i="9"/>
  <c r="B95" i="9"/>
  <c r="A95" i="9"/>
  <c r="D94" i="9"/>
  <c r="C94" i="9"/>
  <c r="B94" i="9"/>
  <c r="A94" i="9"/>
  <c r="D93" i="9"/>
  <c r="C93" i="9"/>
  <c r="B93" i="9"/>
  <c r="A93" i="9"/>
  <c r="D92" i="9"/>
  <c r="C92" i="9"/>
  <c r="B92" i="9"/>
  <c r="A92" i="9"/>
  <c r="D91" i="9"/>
  <c r="C91" i="9"/>
  <c r="B91" i="9"/>
  <c r="A91" i="9"/>
  <c r="D90" i="9"/>
  <c r="C90" i="9"/>
  <c r="B90" i="9"/>
  <c r="A90" i="9"/>
  <c r="H89" i="9"/>
  <c r="F86" i="11" s="1"/>
  <c r="N86" i="11" s="1"/>
  <c r="O86" i="11" s="1"/>
  <c r="F89" i="9"/>
  <c r="E89" i="9"/>
  <c r="E86" i="11" s="1"/>
  <c r="D89" i="9"/>
  <c r="C89" i="9"/>
  <c r="B89" i="9"/>
  <c r="A89" i="9"/>
  <c r="H88" i="9"/>
  <c r="F85" i="11" s="1"/>
  <c r="N85" i="11" s="1"/>
  <c r="O85" i="11" s="1"/>
  <c r="F88" i="9"/>
  <c r="E88" i="9"/>
  <c r="E85" i="11" s="1"/>
  <c r="D88" i="9"/>
  <c r="C88" i="9"/>
  <c r="B88" i="9"/>
  <c r="A88" i="9"/>
  <c r="H87" i="9"/>
  <c r="F87" i="9"/>
  <c r="E87" i="9"/>
  <c r="E84" i="11" s="1"/>
  <c r="D87" i="9"/>
  <c r="C87" i="9"/>
  <c r="B87" i="9"/>
  <c r="A87" i="9"/>
  <c r="F86" i="9"/>
  <c r="E86" i="9"/>
  <c r="E83" i="11" s="1"/>
  <c r="D86" i="9"/>
  <c r="C86" i="9"/>
  <c r="B86" i="9"/>
  <c r="A86" i="9"/>
  <c r="H85" i="9"/>
  <c r="F82" i="11" s="1"/>
  <c r="N82" i="11" s="1"/>
  <c r="O82" i="11" s="1"/>
  <c r="F85" i="9"/>
  <c r="E85" i="9"/>
  <c r="E82" i="11" s="1"/>
  <c r="D85" i="9"/>
  <c r="C85" i="9"/>
  <c r="B85" i="9"/>
  <c r="A85" i="9"/>
  <c r="F84" i="9"/>
  <c r="E84" i="9"/>
  <c r="D84" i="9"/>
  <c r="C84" i="9"/>
  <c r="B84" i="9"/>
  <c r="A84" i="9"/>
  <c r="F83" i="9"/>
  <c r="E83" i="9"/>
  <c r="E80" i="11" s="1"/>
  <c r="D83" i="9"/>
  <c r="C83" i="9"/>
  <c r="B83" i="9"/>
  <c r="A83" i="9"/>
  <c r="H82" i="9"/>
  <c r="F79" i="11" s="1"/>
  <c r="N79" i="11" s="1"/>
  <c r="O79" i="11" s="1"/>
  <c r="F82" i="9"/>
  <c r="E82" i="9"/>
  <c r="D82" i="9"/>
  <c r="C82" i="9"/>
  <c r="B82" i="9"/>
  <c r="A82" i="9"/>
  <c r="H81" i="9"/>
  <c r="F81" i="9"/>
  <c r="E81" i="9"/>
  <c r="E78" i="11" s="1"/>
  <c r="D81" i="9"/>
  <c r="C81" i="9"/>
  <c r="B81" i="9"/>
  <c r="A81" i="9"/>
  <c r="F80" i="9"/>
  <c r="E80" i="9"/>
  <c r="H80" i="9" s="1"/>
  <c r="D80" i="9"/>
  <c r="C80" i="9"/>
  <c r="B80" i="9"/>
  <c r="A80" i="9"/>
  <c r="F79" i="9"/>
  <c r="E79" i="9"/>
  <c r="K76" i="10" s="1"/>
  <c r="D79" i="9"/>
  <c r="C79" i="9"/>
  <c r="B79" i="9"/>
  <c r="A79" i="9"/>
  <c r="H78" i="9"/>
  <c r="F78" i="9"/>
  <c r="E78" i="9"/>
  <c r="E75" i="11" s="1"/>
  <c r="D78" i="9"/>
  <c r="C78" i="9"/>
  <c r="B78" i="9"/>
  <c r="A78" i="9"/>
  <c r="F77" i="9"/>
  <c r="E77" i="9"/>
  <c r="D77" i="9"/>
  <c r="C77" i="9"/>
  <c r="B77" i="9"/>
  <c r="A77" i="9"/>
  <c r="F76" i="9"/>
  <c r="E76" i="9"/>
  <c r="D76" i="9"/>
  <c r="C76" i="9"/>
  <c r="B76" i="9"/>
  <c r="A76" i="9"/>
  <c r="F75" i="9"/>
  <c r="E75" i="9"/>
  <c r="D75" i="9"/>
  <c r="C75" i="9"/>
  <c r="B75" i="9"/>
  <c r="A75" i="9"/>
  <c r="F74" i="9"/>
  <c r="E74" i="9"/>
  <c r="D74" i="9"/>
  <c r="C74" i="9"/>
  <c r="B74" i="9"/>
  <c r="A74" i="9"/>
  <c r="H73" i="9"/>
  <c r="F70" i="11" s="1"/>
  <c r="N70" i="11" s="1"/>
  <c r="O70" i="11" s="1"/>
  <c r="F73" i="9"/>
  <c r="E73" i="9"/>
  <c r="E70" i="11" s="1"/>
  <c r="D73" i="9"/>
  <c r="C73" i="9"/>
  <c r="B73" i="9"/>
  <c r="A73" i="9"/>
  <c r="F72" i="9"/>
  <c r="E72" i="9"/>
  <c r="D72" i="9"/>
  <c r="C72" i="9"/>
  <c r="B72" i="9"/>
  <c r="A72" i="9"/>
  <c r="H71" i="9"/>
  <c r="F68" i="11" s="1"/>
  <c r="N68" i="11" s="1"/>
  <c r="O68" i="11" s="1"/>
  <c r="F71" i="9"/>
  <c r="E71" i="9"/>
  <c r="E68" i="11" s="1"/>
  <c r="D71" i="9"/>
  <c r="C71" i="9"/>
  <c r="B71" i="9"/>
  <c r="A71" i="9"/>
  <c r="H70" i="9"/>
  <c r="F70" i="9"/>
  <c r="E70" i="9"/>
  <c r="E67" i="11" s="1"/>
  <c r="D70" i="9"/>
  <c r="C70" i="9"/>
  <c r="B70" i="9"/>
  <c r="A70" i="9"/>
  <c r="F69" i="9"/>
  <c r="E69" i="9"/>
  <c r="D69" i="9"/>
  <c r="C69" i="9"/>
  <c r="B69" i="9"/>
  <c r="A69" i="9"/>
  <c r="F68" i="9"/>
  <c r="E68" i="9"/>
  <c r="E65" i="11" s="1"/>
  <c r="D68" i="9"/>
  <c r="C68" i="9"/>
  <c r="B68" i="9"/>
  <c r="A68" i="9"/>
  <c r="H67" i="9"/>
  <c r="F64" i="11" s="1"/>
  <c r="N64" i="11" s="1"/>
  <c r="O64" i="11" s="1"/>
  <c r="F67" i="9"/>
  <c r="E67" i="9"/>
  <c r="E64" i="11" s="1"/>
  <c r="D67" i="9"/>
  <c r="C67" i="9"/>
  <c r="B67" i="9"/>
  <c r="A67" i="9"/>
  <c r="F66" i="9"/>
  <c r="E66" i="9"/>
  <c r="E63" i="11" s="1"/>
  <c r="D66" i="9"/>
  <c r="C66" i="9"/>
  <c r="B66" i="9"/>
  <c r="A66" i="9"/>
  <c r="H65" i="9"/>
  <c r="F62" i="11" s="1"/>
  <c r="N62" i="11" s="1"/>
  <c r="O62" i="11" s="1"/>
  <c r="F65" i="9"/>
  <c r="E65" i="9"/>
  <c r="E62" i="11" s="1"/>
  <c r="D65" i="9"/>
  <c r="C65" i="9"/>
  <c r="B65" i="9"/>
  <c r="A65" i="9"/>
  <c r="F64" i="9"/>
  <c r="E64" i="9"/>
  <c r="E61" i="11" s="1"/>
  <c r="D64" i="9"/>
  <c r="C64" i="9"/>
  <c r="B64" i="9"/>
  <c r="A64" i="9"/>
  <c r="H63" i="9"/>
  <c r="F60" i="11" s="1"/>
  <c r="N60" i="11" s="1"/>
  <c r="O60" i="11" s="1"/>
  <c r="F63" i="9"/>
  <c r="E63" i="9"/>
  <c r="E60" i="11" s="1"/>
  <c r="D63" i="9"/>
  <c r="C63" i="9"/>
  <c r="B63" i="9"/>
  <c r="A63" i="9"/>
  <c r="F62" i="9"/>
  <c r="E62" i="9"/>
  <c r="E59" i="11" s="1"/>
  <c r="D62" i="9"/>
  <c r="C62" i="9"/>
  <c r="B62" i="9"/>
  <c r="A62" i="9"/>
  <c r="F61" i="9"/>
  <c r="E61" i="9"/>
  <c r="E58" i="11" s="1"/>
  <c r="D61" i="9"/>
  <c r="C61" i="9"/>
  <c r="B61" i="9"/>
  <c r="A61" i="9"/>
  <c r="F60" i="9"/>
  <c r="E60" i="9"/>
  <c r="E57" i="11" s="1"/>
  <c r="D60" i="9"/>
  <c r="C60" i="9"/>
  <c r="B60" i="9"/>
  <c r="A60" i="9"/>
  <c r="H59" i="9"/>
  <c r="F59" i="9"/>
  <c r="E59" i="9"/>
  <c r="E56" i="11" s="1"/>
  <c r="D59" i="9"/>
  <c r="C59" i="9"/>
  <c r="B59" i="9"/>
  <c r="A59" i="9"/>
  <c r="H58" i="9"/>
  <c r="F58" i="9"/>
  <c r="E58" i="9"/>
  <c r="E55" i="11" s="1"/>
  <c r="D58" i="9"/>
  <c r="C58" i="9"/>
  <c r="B58" i="9"/>
  <c r="A58" i="9"/>
  <c r="F57" i="9"/>
  <c r="E57" i="9"/>
  <c r="E54" i="11" s="1"/>
  <c r="D57" i="9"/>
  <c r="C57" i="9"/>
  <c r="B57" i="9"/>
  <c r="A57" i="9"/>
  <c r="I56" i="9"/>
  <c r="F56" i="9"/>
  <c r="E56" i="9"/>
  <c r="E53" i="11" s="1"/>
  <c r="D56" i="9"/>
  <c r="C56" i="9"/>
  <c r="B56" i="9"/>
  <c r="A56" i="9"/>
  <c r="I55" i="9"/>
  <c r="G52" i="10" s="1"/>
  <c r="J52" i="10" s="1"/>
  <c r="H55" i="9"/>
  <c r="F55" i="9"/>
  <c r="E55" i="9"/>
  <c r="E52" i="11" s="1"/>
  <c r="D55" i="9"/>
  <c r="C55" i="9"/>
  <c r="B55" i="9"/>
  <c r="A55" i="9"/>
  <c r="I54" i="9"/>
  <c r="G51" i="10" s="1"/>
  <c r="J51" i="10" s="1"/>
  <c r="H54" i="9"/>
  <c r="F51" i="11" s="1"/>
  <c r="N51" i="11" s="1"/>
  <c r="O51" i="11" s="1"/>
  <c r="F54" i="9"/>
  <c r="E54" i="9"/>
  <c r="E51" i="11" s="1"/>
  <c r="D54" i="9"/>
  <c r="C54" i="9"/>
  <c r="B54" i="9"/>
  <c r="A54" i="9"/>
  <c r="I53" i="9"/>
  <c r="G50" i="10" s="1"/>
  <c r="J50" i="10" s="1"/>
  <c r="H53" i="9"/>
  <c r="F53" i="9"/>
  <c r="E53" i="9"/>
  <c r="K50" i="10" s="1"/>
  <c r="D53" i="9"/>
  <c r="C53" i="9"/>
  <c r="B53" i="9"/>
  <c r="A53" i="9"/>
  <c r="I52" i="9"/>
  <c r="H52" i="9"/>
  <c r="F52" i="9"/>
  <c r="E52" i="9"/>
  <c r="E49" i="11" s="1"/>
  <c r="D52" i="9"/>
  <c r="C52" i="9"/>
  <c r="B52" i="9"/>
  <c r="A52" i="9"/>
  <c r="I51" i="9"/>
  <c r="G48" i="10" s="1"/>
  <c r="J48" i="10" s="1"/>
  <c r="F51" i="9"/>
  <c r="E51" i="9"/>
  <c r="D51" i="9"/>
  <c r="C51" i="9"/>
  <c r="B51" i="9"/>
  <c r="A51" i="9"/>
  <c r="I50" i="9"/>
  <c r="G47" i="10" s="1"/>
  <c r="H50" i="9"/>
  <c r="F47" i="11" s="1"/>
  <c r="N47" i="11" s="1"/>
  <c r="O47" i="11" s="1"/>
  <c r="F50" i="9"/>
  <c r="E50" i="9"/>
  <c r="D50" i="9"/>
  <c r="C50" i="9"/>
  <c r="B50" i="9"/>
  <c r="A50" i="9"/>
  <c r="I49" i="9"/>
  <c r="G46" i="10" s="1"/>
  <c r="J46" i="10" s="1"/>
  <c r="N46" i="10" s="1"/>
  <c r="H49" i="9"/>
  <c r="F49" i="9"/>
  <c r="E49" i="9"/>
  <c r="E46" i="11" s="1"/>
  <c r="D49" i="9"/>
  <c r="C49" i="9"/>
  <c r="B49" i="9"/>
  <c r="A49" i="9"/>
  <c r="I48" i="9"/>
  <c r="G45" i="10" s="1"/>
  <c r="J45" i="10" s="1"/>
  <c r="H48" i="9"/>
  <c r="F48" i="9"/>
  <c r="E48" i="9"/>
  <c r="D48" i="9"/>
  <c r="C48" i="9"/>
  <c r="B48" i="9"/>
  <c r="A48" i="9"/>
  <c r="I47" i="9"/>
  <c r="G44" i="10" s="1"/>
  <c r="J44" i="10" s="1"/>
  <c r="F47" i="9"/>
  <c r="E47" i="9"/>
  <c r="D47" i="9"/>
  <c r="C47" i="9"/>
  <c r="B47" i="9"/>
  <c r="A47" i="9"/>
  <c r="I46" i="9"/>
  <c r="F46" i="9"/>
  <c r="E46" i="9"/>
  <c r="D46" i="9"/>
  <c r="C46" i="9"/>
  <c r="B46" i="9"/>
  <c r="A46" i="9"/>
  <c r="I45" i="9"/>
  <c r="H45" i="9"/>
  <c r="F42" i="11" s="1"/>
  <c r="N42" i="11" s="1"/>
  <c r="O42" i="11" s="1"/>
  <c r="F45" i="9"/>
  <c r="E45" i="9"/>
  <c r="E42" i="11" s="1"/>
  <c r="D45" i="9"/>
  <c r="C45" i="9"/>
  <c r="B45" i="9"/>
  <c r="A45" i="9"/>
  <c r="I44" i="9"/>
  <c r="G41" i="10" s="1"/>
  <c r="J41" i="10" s="1"/>
  <c r="H44" i="9"/>
  <c r="L41" i="10" s="1"/>
  <c r="F44" i="9"/>
  <c r="E44" i="9"/>
  <c r="E41" i="11" s="1"/>
  <c r="D44" i="9"/>
  <c r="C44" i="9"/>
  <c r="B44" i="9"/>
  <c r="A44" i="9"/>
  <c r="I43" i="9"/>
  <c r="H43" i="9"/>
  <c r="F40" i="11" s="1"/>
  <c r="N40" i="11" s="1"/>
  <c r="O40" i="11" s="1"/>
  <c r="F43" i="9"/>
  <c r="E43" i="9"/>
  <c r="K40" i="10" s="1"/>
  <c r="M40" i="10" s="1"/>
  <c r="D43" i="9"/>
  <c r="C43" i="9"/>
  <c r="B43" i="9"/>
  <c r="A43" i="9"/>
  <c r="I42" i="9"/>
  <c r="G39" i="10" s="1"/>
  <c r="J39" i="10" s="1"/>
  <c r="N39" i="10" s="1"/>
  <c r="H42" i="9"/>
  <c r="F39" i="11" s="1"/>
  <c r="F42" i="9"/>
  <c r="E42" i="9"/>
  <c r="E39" i="11" s="1"/>
  <c r="D42" i="9"/>
  <c r="C42" i="9"/>
  <c r="B42" i="9"/>
  <c r="A42" i="9"/>
  <c r="I41" i="9"/>
  <c r="H41" i="9"/>
  <c r="F38" i="11" s="1"/>
  <c r="N38" i="11" s="1"/>
  <c r="O38" i="11" s="1"/>
  <c r="F41" i="9"/>
  <c r="E41" i="9"/>
  <c r="E38" i="11" s="1"/>
  <c r="D41" i="9"/>
  <c r="C41" i="9"/>
  <c r="B41" i="9"/>
  <c r="A41" i="9"/>
  <c r="I40" i="9"/>
  <c r="G37" i="10" s="1"/>
  <c r="J37" i="10" s="1"/>
  <c r="F40" i="9"/>
  <c r="E40" i="9"/>
  <c r="D40" i="9"/>
  <c r="C40" i="9"/>
  <c r="B40" i="9"/>
  <c r="A40" i="9"/>
  <c r="I39" i="9"/>
  <c r="G36" i="10" s="1"/>
  <c r="H39" i="9"/>
  <c r="F36" i="11" s="1"/>
  <c r="N36" i="11" s="1"/>
  <c r="O36" i="11" s="1"/>
  <c r="F39" i="9"/>
  <c r="E39" i="9"/>
  <c r="E36" i="11" s="1"/>
  <c r="D39" i="9"/>
  <c r="C39" i="9"/>
  <c r="B39" i="9"/>
  <c r="A39" i="9"/>
  <c r="I38" i="9"/>
  <c r="G35" i="10" s="1"/>
  <c r="J35" i="10" s="1"/>
  <c r="N35" i="10" s="1"/>
  <c r="H38" i="9"/>
  <c r="F35" i="11" s="1"/>
  <c r="N35" i="11" s="1"/>
  <c r="O35" i="11" s="1"/>
  <c r="F38" i="9"/>
  <c r="E38" i="9"/>
  <c r="E35" i="11" s="1"/>
  <c r="D38" i="9"/>
  <c r="C38" i="9"/>
  <c r="B38" i="9"/>
  <c r="A38" i="9"/>
  <c r="I37" i="9"/>
  <c r="G34" i="10" s="1"/>
  <c r="J34" i="10" s="1"/>
  <c r="F37" i="9"/>
  <c r="E37" i="9"/>
  <c r="E34" i="11" s="1"/>
  <c r="D37" i="9"/>
  <c r="C37" i="9"/>
  <c r="B37" i="9"/>
  <c r="A37" i="9"/>
  <c r="I36" i="9"/>
  <c r="G33" i="10" s="1"/>
  <c r="J33" i="10" s="1"/>
  <c r="F36" i="9"/>
  <c r="E36" i="9"/>
  <c r="D36" i="9"/>
  <c r="C36" i="9"/>
  <c r="B36" i="9"/>
  <c r="A36" i="9"/>
  <c r="I35" i="9"/>
  <c r="F35" i="9"/>
  <c r="E35" i="9"/>
  <c r="D35" i="9"/>
  <c r="C35" i="9"/>
  <c r="B35" i="9"/>
  <c r="A35" i="9"/>
  <c r="I34" i="9"/>
  <c r="F34" i="9"/>
  <c r="E34" i="9"/>
  <c r="E31" i="11" s="1"/>
  <c r="D34" i="9"/>
  <c r="C34" i="9"/>
  <c r="B34" i="9"/>
  <c r="A34" i="9"/>
  <c r="I33" i="9"/>
  <c r="G30" i="10" s="1"/>
  <c r="J30" i="10" s="1"/>
  <c r="F33" i="9"/>
  <c r="E33" i="9"/>
  <c r="E30" i="11" s="1"/>
  <c r="D33" i="9"/>
  <c r="C33" i="9"/>
  <c r="B33" i="9"/>
  <c r="A33" i="9"/>
  <c r="I32" i="9"/>
  <c r="G29" i="10" s="1"/>
  <c r="H32" i="9"/>
  <c r="F29" i="11" s="1"/>
  <c r="N29" i="11" s="1"/>
  <c r="O29" i="11" s="1"/>
  <c r="F32" i="9"/>
  <c r="E32" i="9"/>
  <c r="E29" i="11" s="1"/>
  <c r="D32" i="9"/>
  <c r="C32" i="9"/>
  <c r="B32" i="9"/>
  <c r="A32" i="9"/>
  <c r="I31" i="9"/>
  <c r="G28" i="10" s="1"/>
  <c r="J28" i="10" s="1"/>
  <c r="F31" i="9"/>
  <c r="E31" i="9"/>
  <c r="H31" i="9" s="1"/>
  <c r="D31" i="9"/>
  <c r="C31" i="9"/>
  <c r="B31" i="9"/>
  <c r="A31" i="9"/>
  <c r="I30" i="9"/>
  <c r="H30" i="9"/>
  <c r="F30" i="9"/>
  <c r="E30" i="9"/>
  <c r="D30" i="9"/>
  <c r="C30" i="9"/>
  <c r="B30" i="9"/>
  <c r="A30" i="9"/>
  <c r="I29" i="9"/>
  <c r="G26" i="10" s="1"/>
  <c r="J26" i="10" s="1"/>
  <c r="F29" i="9"/>
  <c r="E29" i="9"/>
  <c r="D29" i="9"/>
  <c r="C29" i="9"/>
  <c r="B29" i="9"/>
  <c r="A29" i="9"/>
  <c r="I28" i="9"/>
  <c r="G25" i="10" s="1"/>
  <c r="J25" i="10" s="1"/>
  <c r="H28" i="9"/>
  <c r="F25" i="11" s="1"/>
  <c r="N25" i="11" s="1"/>
  <c r="O25" i="11" s="1"/>
  <c r="F28" i="9"/>
  <c r="E28" i="9"/>
  <c r="D28" i="9"/>
  <c r="C28" i="9"/>
  <c r="B28" i="9"/>
  <c r="A28" i="9"/>
  <c r="I27" i="9"/>
  <c r="G24" i="10" s="1"/>
  <c r="J24" i="10" s="1"/>
  <c r="H27" i="9"/>
  <c r="F24" i="11" s="1"/>
  <c r="N24" i="11" s="1"/>
  <c r="O24" i="11" s="1"/>
  <c r="F27" i="9"/>
  <c r="E27" i="9"/>
  <c r="D27" i="9"/>
  <c r="C27" i="9"/>
  <c r="B27" i="9"/>
  <c r="A27" i="9"/>
  <c r="I26" i="9"/>
  <c r="G23" i="10" s="1"/>
  <c r="J23" i="10" s="1"/>
  <c r="F26" i="9"/>
  <c r="E26" i="9"/>
  <c r="D26" i="9"/>
  <c r="C26" i="9"/>
  <c r="B26" i="9"/>
  <c r="A26" i="9"/>
  <c r="I25" i="9"/>
  <c r="G22" i="10" s="1"/>
  <c r="J22" i="10" s="1"/>
  <c r="F25" i="9"/>
  <c r="E25" i="9"/>
  <c r="D25" i="9"/>
  <c r="C25" i="9"/>
  <c r="B25" i="9"/>
  <c r="A25" i="9"/>
  <c r="I24" i="9"/>
  <c r="F24" i="9"/>
  <c r="E24" i="9"/>
  <c r="H24" i="9" s="1"/>
  <c r="D24" i="9"/>
  <c r="C24" i="9"/>
  <c r="B24" i="9"/>
  <c r="A24" i="9"/>
  <c r="I23" i="9"/>
  <c r="G20" i="10" s="1"/>
  <c r="J20" i="10" s="1"/>
  <c r="F23" i="9"/>
  <c r="E23" i="9"/>
  <c r="K20" i="10" s="1"/>
  <c r="D23" i="9"/>
  <c r="C23" i="9"/>
  <c r="B23" i="9"/>
  <c r="A23" i="9"/>
  <c r="I22" i="9"/>
  <c r="G19" i="10" s="1"/>
  <c r="J19" i="10" s="1"/>
  <c r="F22" i="9"/>
  <c r="E22" i="9"/>
  <c r="E19" i="11" s="1"/>
  <c r="D22" i="9"/>
  <c r="C22" i="9"/>
  <c r="B22" i="9"/>
  <c r="A22" i="9"/>
  <c r="I21" i="9"/>
  <c r="H21" i="9"/>
  <c r="F18" i="11" s="1"/>
  <c r="N18" i="11" s="1"/>
  <c r="O18" i="11" s="1"/>
  <c r="F21" i="9"/>
  <c r="E21" i="9"/>
  <c r="E18" i="11" s="1"/>
  <c r="D21" i="9"/>
  <c r="C21" i="9"/>
  <c r="B21" i="9"/>
  <c r="A21" i="9"/>
  <c r="I20" i="9"/>
  <c r="G17" i="10" s="1"/>
  <c r="J17" i="10" s="1"/>
  <c r="F20" i="9"/>
  <c r="E20" i="9"/>
  <c r="E17" i="11" s="1"/>
  <c r="D20" i="9"/>
  <c r="C20" i="9"/>
  <c r="B20" i="9"/>
  <c r="A20" i="9"/>
  <c r="I19" i="9"/>
  <c r="H19" i="9"/>
  <c r="F16" i="11" s="1"/>
  <c r="N16" i="11" s="1"/>
  <c r="O16" i="11" s="1"/>
  <c r="F19" i="9"/>
  <c r="E19" i="9"/>
  <c r="E16" i="11" s="1"/>
  <c r="D19" i="9"/>
  <c r="C19" i="9"/>
  <c r="B19" i="9"/>
  <c r="A19" i="9"/>
  <c r="I18" i="9"/>
  <c r="G15" i="10" s="1"/>
  <c r="J15" i="10" s="1"/>
  <c r="F18" i="9"/>
  <c r="E18" i="9"/>
  <c r="D18" i="9"/>
  <c r="C18" i="9"/>
  <c r="B18" i="9"/>
  <c r="A18" i="9"/>
  <c r="I17" i="9"/>
  <c r="G14" i="10" s="1"/>
  <c r="H17" i="9"/>
  <c r="F14" i="11" s="1"/>
  <c r="N14" i="11" s="1"/>
  <c r="O14" i="11" s="1"/>
  <c r="F17" i="9"/>
  <c r="E17" i="9"/>
  <c r="D17" i="9"/>
  <c r="C17" i="9"/>
  <c r="B17" i="9"/>
  <c r="A17" i="9"/>
  <c r="I16" i="9"/>
  <c r="G13" i="10" s="1"/>
  <c r="J13" i="10" s="1"/>
  <c r="H16" i="9"/>
  <c r="F13" i="11" s="1"/>
  <c r="N13" i="11" s="1"/>
  <c r="O13" i="11" s="1"/>
  <c r="F16" i="9"/>
  <c r="E16" i="9"/>
  <c r="E13" i="11" s="1"/>
  <c r="D16" i="9"/>
  <c r="C16" i="9"/>
  <c r="B16" i="9"/>
  <c r="A16" i="9"/>
  <c r="I15" i="9"/>
  <c r="F15" i="9"/>
  <c r="E15" i="9"/>
  <c r="E12" i="11" s="1"/>
  <c r="D15" i="9"/>
  <c r="C15" i="9"/>
  <c r="B15" i="9"/>
  <c r="A15" i="9"/>
  <c r="I14" i="9"/>
  <c r="G11" i="10" s="1"/>
  <c r="J11" i="10" s="1"/>
  <c r="F14" i="9"/>
  <c r="E14" i="9"/>
  <c r="D14" i="9"/>
  <c r="C14" i="9"/>
  <c r="B14" i="9"/>
  <c r="A14" i="9"/>
  <c r="I13" i="9"/>
  <c r="F13" i="9"/>
  <c r="E13" i="9"/>
  <c r="D13" i="9"/>
  <c r="C13" i="9"/>
  <c r="B13" i="9"/>
  <c r="A13" i="9"/>
  <c r="I12" i="9"/>
  <c r="G9" i="10" s="1"/>
  <c r="J9" i="10" s="1"/>
  <c r="F12" i="9"/>
  <c r="E12" i="9"/>
  <c r="E9" i="11" s="1"/>
  <c r="D12" i="9"/>
  <c r="C12" i="9"/>
  <c r="B12" i="9"/>
  <c r="A12" i="9"/>
  <c r="I11" i="9"/>
  <c r="G8" i="10" s="1"/>
  <c r="J8" i="10" s="1"/>
  <c r="F11" i="9"/>
  <c r="E11" i="9"/>
  <c r="E8" i="11" s="1"/>
  <c r="D11" i="9"/>
  <c r="C11" i="9"/>
  <c r="B11" i="9"/>
  <c r="A11" i="9"/>
  <c r="I10" i="9"/>
  <c r="G7" i="10" s="1"/>
  <c r="H10" i="9"/>
  <c r="F7" i="11" s="1"/>
  <c r="N7" i="11" s="1"/>
  <c r="O7" i="11" s="1"/>
  <c r="F10" i="9"/>
  <c r="E10" i="9"/>
  <c r="K7" i="10" s="1"/>
  <c r="D10" i="9"/>
  <c r="C10" i="9"/>
  <c r="B10" i="9"/>
  <c r="A10" i="9"/>
  <c r="I9" i="9"/>
  <c r="G6" i="10" s="1"/>
  <c r="J6" i="10" s="1"/>
  <c r="F9" i="9"/>
  <c r="E9" i="9"/>
  <c r="H9" i="9" s="1"/>
  <c r="D9" i="9"/>
  <c r="C9" i="9"/>
  <c r="B9" i="9"/>
  <c r="A9" i="9"/>
  <c r="I8" i="9"/>
  <c r="G5" i="10" s="1"/>
  <c r="J5" i="10" s="1"/>
  <c r="H8" i="9"/>
  <c r="F8" i="9"/>
  <c r="E8" i="9"/>
  <c r="E5" i="11" s="1"/>
  <c r="D8" i="9"/>
  <c r="C8" i="9"/>
  <c r="B8" i="9"/>
  <c r="A8" i="9"/>
  <c r="I7" i="9"/>
  <c r="G4" i="10" s="1"/>
  <c r="J4" i="10" s="1"/>
  <c r="F7" i="9"/>
  <c r="E7" i="9"/>
  <c r="D7" i="9"/>
  <c r="C7" i="9"/>
  <c r="B7" i="9"/>
  <c r="A7" i="9"/>
  <c r="I6" i="9"/>
  <c r="G3" i="10" s="1"/>
  <c r="J3" i="10" s="1"/>
  <c r="N3" i="10" s="1"/>
  <c r="H6" i="9"/>
  <c r="F3" i="11" s="1"/>
  <c r="F6" i="9"/>
  <c r="E6" i="9"/>
  <c r="D6" i="9"/>
  <c r="C6" i="9"/>
  <c r="B6" i="9"/>
  <c r="J4" i="13" s="1"/>
  <c r="A6" i="9"/>
  <c r="I5" i="9"/>
  <c r="G2" i="10" s="1"/>
  <c r="J2" i="10" s="1"/>
  <c r="N2" i="10" s="1"/>
  <c r="H5" i="9"/>
  <c r="F2" i="11" s="1"/>
  <c r="N2" i="11" s="1"/>
  <c r="O2" i="11" s="1"/>
  <c r="F5" i="9"/>
  <c r="E5" i="9"/>
  <c r="D5" i="9"/>
  <c r="C5" i="9"/>
  <c r="B5" i="9"/>
  <c r="A5" i="9"/>
  <c r="J53" i="8"/>
  <c r="I53" i="8"/>
  <c r="H53" i="8"/>
  <c r="G53" i="8"/>
  <c r="F53" i="8"/>
  <c r="E53" i="8"/>
  <c r="K53" i="8" s="1"/>
  <c r="D53" i="8"/>
  <c r="C53" i="8"/>
  <c r="K52" i="8"/>
  <c r="J52" i="8"/>
  <c r="L52" i="8" s="1"/>
  <c r="I52" i="8"/>
  <c r="H52" i="8"/>
  <c r="G52" i="8"/>
  <c r="F52" i="8"/>
  <c r="E52" i="8"/>
  <c r="D52" i="8"/>
  <c r="C52" i="8"/>
  <c r="J51" i="8"/>
  <c r="L51" i="8" s="1"/>
  <c r="I51" i="8"/>
  <c r="H51" i="8"/>
  <c r="G51" i="8"/>
  <c r="F51" i="8"/>
  <c r="E51" i="8"/>
  <c r="K51" i="8" s="1"/>
  <c r="D51" i="8"/>
  <c r="C51" i="8"/>
  <c r="K50" i="8"/>
  <c r="J50" i="8"/>
  <c r="L50" i="8" s="1"/>
  <c r="I50" i="8"/>
  <c r="H50" i="8"/>
  <c r="G50" i="8"/>
  <c r="F50" i="8"/>
  <c r="E50" i="8"/>
  <c r="D50" i="8"/>
  <c r="C50" i="8"/>
  <c r="J49" i="8"/>
  <c r="I49" i="8"/>
  <c r="H49" i="8"/>
  <c r="G49" i="8"/>
  <c r="F49" i="8"/>
  <c r="E49" i="8"/>
  <c r="K49" i="8" s="1"/>
  <c r="D49" i="8"/>
  <c r="C49" i="8"/>
  <c r="K48" i="8"/>
  <c r="J48" i="8"/>
  <c r="L48" i="8" s="1"/>
  <c r="I48" i="8"/>
  <c r="H48" i="8"/>
  <c r="G48" i="8"/>
  <c r="F48" i="8"/>
  <c r="E48" i="8"/>
  <c r="D48" i="8"/>
  <c r="C48" i="8"/>
  <c r="J47" i="8"/>
  <c r="L47" i="8" s="1"/>
  <c r="I47" i="8"/>
  <c r="H47" i="8"/>
  <c r="G47" i="8"/>
  <c r="F47" i="8"/>
  <c r="E47" i="8"/>
  <c r="K47" i="8" s="1"/>
  <c r="D47" i="8"/>
  <c r="C47" i="8"/>
  <c r="K46" i="8"/>
  <c r="J46" i="8"/>
  <c r="L46" i="8" s="1"/>
  <c r="I46" i="8"/>
  <c r="H46" i="8"/>
  <c r="G46" i="8"/>
  <c r="F46" i="8"/>
  <c r="E46" i="8"/>
  <c r="D46" i="8"/>
  <c r="C46" i="8"/>
  <c r="J45" i="8"/>
  <c r="I45" i="8"/>
  <c r="H45" i="8"/>
  <c r="G45" i="8"/>
  <c r="F45" i="8"/>
  <c r="E45" i="8"/>
  <c r="K45" i="8" s="1"/>
  <c r="D45" i="8"/>
  <c r="C45" i="8"/>
  <c r="K44" i="8"/>
  <c r="J44" i="8"/>
  <c r="L44" i="8" s="1"/>
  <c r="I44" i="8"/>
  <c r="H44" i="8"/>
  <c r="G44" i="8"/>
  <c r="F44" i="8"/>
  <c r="E44" i="8"/>
  <c r="D44" i="8"/>
  <c r="C44" i="8"/>
  <c r="J43" i="8"/>
  <c r="I43" i="8"/>
  <c r="H43" i="8"/>
  <c r="G43" i="8"/>
  <c r="F43" i="8"/>
  <c r="E43" i="8"/>
  <c r="K43" i="8" s="1"/>
  <c r="D43" i="8"/>
  <c r="C43" i="8"/>
  <c r="K42" i="8"/>
  <c r="J42" i="8"/>
  <c r="L42" i="8" s="1"/>
  <c r="I42" i="8"/>
  <c r="H42" i="8"/>
  <c r="G42" i="8"/>
  <c r="F42" i="8"/>
  <c r="E42" i="8"/>
  <c r="D42" i="8"/>
  <c r="C42" i="8"/>
  <c r="J41" i="8"/>
  <c r="L41" i="8" s="1"/>
  <c r="I41" i="8"/>
  <c r="H41" i="8"/>
  <c r="G41" i="8"/>
  <c r="F41" i="8"/>
  <c r="E41" i="8"/>
  <c r="K41" i="8" s="1"/>
  <c r="D41" i="8"/>
  <c r="C41" i="8"/>
  <c r="K40" i="8"/>
  <c r="J40" i="8"/>
  <c r="L40" i="8" s="1"/>
  <c r="I40" i="8"/>
  <c r="H40" i="8"/>
  <c r="G40" i="8"/>
  <c r="F40" i="8"/>
  <c r="E40" i="8"/>
  <c r="D40" i="8"/>
  <c r="C40" i="8"/>
  <c r="J39" i="8"/>
  <c r="I39" i="8"/>
  <c r="H39" i="8"/>
  <c r="G39" i="8"/>
  <c r="F39" i="8"/>
  <c r="E39" i="8"/>
  <c r="K39" i="8" s="1"/>
  <c r="D39" i="8"/>
  <c r="C39" i="8"/>
  <c r="K38" i="8"/>
  <c r="J38" i="8"/>
  <c r="L38" i="8" s="1"/>
  <c r="I38" i="8"/>
  <c r="H38" i="8"/>
  <c r="G38" i="8"/>
  <c r="F38" i="8"/>
  <c r="E38" i="8"/>
  <c r="D38" i="8"/>
  <c r="C38" i="8"/>
  <c r="J37" i="8"/>
  <c r="I37" i="8"/>
  <c r="H37" i="8"/>
  <c r="G37" i="8"/>
  <c r="F37" i="8"/>
  <c r="E37" i="8"/>
  <c r="K37" i="8" s="1"/>
  <c r="D37" i="8"/>
  <c r="C37" i="8"/>
  <c r="K36" i="8"/>
  <c r="J36" i="8"/>
  <c r="L36" i="8" s="1"/>
  <c r="I36" i="8"/>
  <c r="H36" i="8"/>
  <c r="G36" i="8"/>
  <c r="F36" i="8"/>
  <c r="E36" i="8"/>
  <c r="D36" i="8"/>
  <c r="C36" i="8"/>
  <c r="J35" i="8"/>
  <c r="I35" i="8"/>
  <c r="H35" i="8"/>
  <c r="G35" i="8"/>
  <c r="F35" i="8"/>
  <c r="E35" i="8"/>
  <c r="K35" i="8" s="1"/>
  <c r="D35" i="8"/>
  <c r="C35" i="8"/>
  <c r="K34" i="8"/>
  <c r="J34" i="8"/>
  <c r="L34" i="8" s="1"/>
  <c r="I34" i="8"/>
  <c r="H34" i="8"/>
  <c r="G34" i="8"/>
  <c r="F34" i="8"/>
  <c r="E34" i="8"/>
  <c r="D34" i="8"/>
  <c r="C34" i="8"/>
  <c r="J33" i="8"/>
  <c r="L33" i="8" s="1"/>
  <c r="I33" i="8"/>
  <c r="H33" i="8"/>
  <c r="G33" i="8"/>
  <c r="F33" i="8"/>
  <c r="E33" i="8"/>
  <c r="K33" i="8" s="1"/>
  <c r="D33" i="8"/>
  <c r="C33" i="8"/>
  <c r="K32" i="8"/>
  <c r="J32" i="8"/>
  <c r="L32" i="8" s="1"/>
  <c r="I32" i="8"/>
  <c r="H32" i="8"/>
  <c r="G32" i="8"/>
  <c r="F32" i="8"/>
  <c r="E32" i="8"/>
  <c r="D32" i="8"/>
  <c r="C32" i="8"/>
  <c r="J31" i="8"/>
  <c r="I31" i="8"/>
  <c r="H31" i="8"/>
  <c r="G31" i="8"/>
  <c r="F31" i="8"/>
  <c r="E31" i="8"/>
  <c r="K31" i="8" s="1"/>
  <c r="D31" i="8"/>
  <c r="C31" i="8"/>
  <c r="K30" i="8"/>
  <c r="J30" i="8"/>
  <c r="L30" i="8" s="1"/>
  <c r="I30" i="8"/>
  <c r="H30" i="8"/>
  <c r="G30" i="8"/>
  <c r="F30" i="8"/>
  <c r="E30" i="8"/>
  <c r="D30" i="8"/>
  <c r="C30" i="8"/>
  <c r="J29" i="8"/>
  <c r="L29" i="8" s="1"/>
  <c r="I29" i="8"/>
  <c r="H29" i="8"/>
  <c r="G29" i="8"/>
  <c r="F29" i="8"/>
  <c r="E29" i="8"/>
  <c r="K29" i="8" s="1"/>
  <c r="D29" i="8"/>
  <c r="C29" i="8"/>
  <c r="K28" i="8"/>
  <c r="J28" i="8"/>
  <c r="L28" i="8" s="1"/>
  <c r="I28" i="8"/>
  <c r="H28" i="8"/>
  <c r="G28" i="8"/>
  <c r="F28" i="8"/>
  <c r="E28" i="8"/>
  <c r="D28" i="8"/>
  <c r="C28" i="8"/>
  <c r="J27" i="8"/>
  <c r="I27" i="8"/>
  <c r="H27" i="8"/>
  <c r="G27" i="8"/>
  <c r="F27" i="8"/>
  <c r="E27" i="8"/>
  <c r="K27" i="8" s="1"/>
  <c r="D27" i="8"/>
  <c r="C27" i="8"/>
  <c r="K26" i="8"/>
  <c r="J26" i="8"/>
  <c r="L26" i="8" s="1"/>
  <c r="I26" i="8"/>
  <c r="H26" i="8"/>
  <c r="G26" i="8"/>
  <c r="F26" i="8"/>
  <c r="E26" i="8"/>
  <c r="D26" i="8"/>
  <c r="C26" i="8"/>
  <c r="J25" i="8"/>
  <c r="I25" i="8"/>
  <c r="H25" i="8"/>
  <c r="G25" i="8"/>
  <c r="F25" i="8"/>
  <c r="E25" i="8"/>
  <c r="K25" i="8" s="1"/>
  <c r="D25" i="8"/>
  <c r="C25" i="8"/>
  <c r="K24" i="8"/>
  <c r="J24" i="8"/>
  <c r="L24" i="8" s="1"/>
  <c r="I24" i="8"/>
  <c r="H24" i="8"/>
  <c r="G24" i="8"/>
  <c r="F24" i="8"/>
  <c r="E24" i="8"/>
  <c r="D24" i="8"/>
  <c r="C24" i="8"/>
  <c r="J23" i="8"/>
  <c r="L23" i="8" s="1"/>
  <c r="I23" i="8"/>
  <c r="H23" i="8"/>
  <c r="G23" i="8"/>
  <c r="F23" i="8"/>
  <c r="E23" i="8"/>
  <c r="K23" i="8" s="1"/>
  <c r="D23" i="8"/>
  <c r="C23" i="8"/>
  <c r="K22" i="8"/>
  <c r="J22" i="8"/>
  <c r="L22" i="8" s="1"/>
  <c r="I22" i="8"/>
  <c r="H22" i="8"/>
  <c r="G22" i="8"/>
  <c r="F22" i="8"/>
  <c r="E22" i="8"/>
  <c r="D22" i="8"/>
  <c r="C22" i="8"/>
  <c r="J21" i="8"/>
  <c r="I21" i="8"/>
  <c r="H21" i="8"/>
  <c r="G21" i="8"/>
  <c r="F21" i="8"/>
  <c r="E21" i="8"/>
  <c r="K21" i="8" s="1"/>
  <c r="D21" i="8"/>
  <c r="C21" i="8"/>
  <c r="K20" i="8"/>
  <c r="J20" i="8"/>
  <c r="L20" i="8" s="1"/>
  <c r="I20" i="8"/>
  <c r="H20" i="8"/>
  <c r="G20" i="8"/>
  <c r="F20" i="8"/>
  <c r="E20" i="8"/>
  <c r="D20" i="8"/>
  <c r="C20" i="8"/>
  <c r="J19" i="8"/>
  <c r="I19" i="8"/>
  <c r="H19" i="8"/>
  <c r="G19" i="8"/>
  <c r="F19" i="8"/>
  <c r="E19" i="8"/>
  <c r="K19" i="8" s="1"/>
  <c r="D19" i="8"/>
  <c r="C19" i="8"/>
  <c r="K18" i="8"/>
  <c r="J18" i="8"/>
  <c r="L18" i="8" s="1"/>
  <c r="M18" i="8" s="1"/>
  <c r="I18" i="8"/>
  <c r="H18" i="8"/>
  <c r="G18" i="8"/>
  <c r="F18" i="8"/>
  <c r="E18" i="8"/>
  <c r="D18" i="8"/>
  <c r="C18" i="8"/>
  <c r="F135" i="5"/>
  <c r="C135" i="5"/>
  <c r="B135" i="5"/>
  <c r="A135" i="5"/>
  <c r="F134" i="5"/>
  <c r="C134" i="5"/>
  <c r="B134" i="5"/>
  <c r="A134" i="5"/>
  <c r="F133" i="5"/>
  <c r="C133" i="5"/>
  <c r="B133" i="5"/>
  <c r="A133" i="5"/>
  <c r="G132" i="5"/>
  <c r="F132" i="5"/>
  <c r="C132" i="5"/>
  <c r="B132" i="5"/>
  <c r="A132" i="5"/>
  <c r="F131" i="5"/>
  <c r="C131" i="5"/>
  <c r="B131" i="5"/>
  <c r="A131" i="5"/>
  <c r="F130" i="5"/>
  <c r="C130" i="5"/>
  <c r="B130" i="5"/>
  <c r="A130" i="5"/>
  <c r="G129" i="5"/>
  <c r="F129" i="5"/>
  <c r="C129" i="5"/>
  <c r="B129" i="5"/>
  <c r="A129" i="5"/>
  <c r="F128" i="5"/>
  <c r="G128" i="5" s="1"/>
  <c r="C128" i="5"/>
  <c r="B128" i="5"/>
  <c r="A128" i="5"/>
  <c r="F127" i="5"/>
  <c r="C127" i="5"/>
  <c r="B127" i="5"/>
  <c r="A127" i="5"/>
  <c r="F126" i="5"/>
  <c r="G126" i="5" s="1"/>
  <c r="C126" i="5"/>
  <c r="B126" i="5"/>
  <c r="A126" i="5"/>
  <c r="G125" i="5"/>
  <c r="F125" i="5"/>
  <c r="C125" i="5"/>
  <c r="B125" i="5"/>
  <c r="A125" i="5"/>
  <c r="G124" i="5"/>
  <c r="F124" i="5"/>
  <c r="C124" i="5"/>
  <c r="B124" i="5"/>
  <c r="A124" i="5"/>
  <c r="F123" i="5"/>
  <c r="C123" i="5"/>
  <c r="B123" i="5"/>
  <c r="A123" i="5"/>
  <c r="F122" i="5"/>
  <c r="C122" i="5"/>
  <c r="B122" i="5"/>
  <c r="A122" i="5"/>
  <c r="F121" i="5"/>
  <c r="C121" i="5"/>
  <c r="B121" i="5"/>
  <c r="A121" i="5"/>
  <c r="F120" i="5"/>
  <c r="C120" i="5"/>
  <c r="B120" i="5"/>
  <c r="A120" i="5"/>
  <c r="F119" i="5"/>
  <c r="G119" i="5" s="1"/>
  <c r="C119" i="5"/>
  <c r="B119" i="5"/>
  <c r="A119" i="5"/>
  <c r="F118" i="5"/>
  <c r="C118" i="5"/>
  <c r="B118" i="5"/>
  <c r="A118" i="5"/>
  <c r="F117" i="5"/>
  <c r="C117" i="5"/>
  <c r="B117" i="5"/>
  <c r="A117" i="5"/>
  <c r="F116" i="5"/>
  <c r="C116" i="5"/>
  <c r="B116" i="5"/>
  <c r="A116" i="5"/>
  <c r="F115" i="5"/>
  <c r="G115" i="5" s="1"/>
  <c r="C115" i="5"/>
  <c r="B115" i="5"/>
  <c r="A115" i="5"/>
  <c r="F114" i="5"/>
  <c r="C114" i="5"/>
  <c r="B114" i="5"/>
  <c r="A114" i="5"/>
  <c r="F113" i="5"/>
  <c r="C113" i="5"/>
  <c r="B113" i="5"/>
  <c r="A113" i="5"/>
  <c r="F112" i="5"/>
  <c r="C112" i="5"/>
  <c r="B112" i="5"/>
  <c r="A112" i="5"/>
  <c r="G111" i="5"/>
  <c r="F111" i="5"/>
  <c r="C111" i="5"/>
  <c r="B111" i="5"/>
  <c r="A111" i="5"/>
  <c r="G110" i="5"/>
  <c r="F110" i="5"/>
  <c r="C110" i="5"/>
  <c r="B110" i="5"/>
  <c r="A110" i="5"/>
  <c r="F109" i="5"/>
  <c r="C109" i="5"/>
  <c r="B109" i="5"/>
  <c r="A109" i="5"/>
  <c r="F108" i="5"/>
  <c r="C108" i="5"/>
  <c r="B108" i="5"/>
  <c r="A108" i="5"/>
  <c r="G107" i="5"/>
  <c r="F107" i="5"/>
  <c r="C107" i="5"/>
  <c r="B107" i="5"/>
  <c r="A107" i="5"/>
  <c r="G106" i="5"/>
  <c r="F106" i="5"/>
  <c r="C106" i="5"/>
  <c r="B106" i="5"/>
  <c r="A106" i="5"/>
  <c r="F105" i="5"/>
  <c r="C105" i="5"/>
  <c r="B105" i="5"/>
  <c r="A105" i="5"/>
  <c r="G104" i="5"/>
  <c r="F104" i="5"/>
  <c r="C104" i="5"/>
  <c r="B104" i="5"/>
  <c r="A104" i="5"/>
  <c r="G103" i="5"/>
  <c r="F103" i="5"/>
  <c r="C103" i="5"/>
  <c r="B103" i="5"/>
  <c r="A103" i="5"/>
  <c r="F102" i="5"/>
  <c r="C102" i="5"/>
  <c r="B102" i="5"/>
  <c r="A102" i="5"/>
  <c r="F101" i="5"/>
  <c r="C101" i="5"/>
  <c r="B101" i="5"/>
  <c r="A101" i="5"/>
  <c r="F100" i="5"/>
  <c r="C100" i="5"/>
  <c r="B100" i="5"/>
  <c r="A100" i="5"/>
  <c r="F99" i="5"/>
  <c r="C99" i="5"/>
  <c r="B99" i="5"/>
  <c r="A99" i="5"/>
  <c r="F98" i="5"/>
  <c r="C98" i="5"/>
  <c r="B98" i="5"/>
  <c r="A98" i="5"/>
  <c r="F97" i="5"/>
  <c r="G97" i="5" s="1"/>
  <c r="C97" i="5"/>
  <c r="B97" i="5"/>
  <c r="A97" i="5"/>
  <c r="F96" i="5"/>
  <c r="C96" i="5"/>
  <c r="B96" i="5"/>
  <c r="A96" i="5"/>
  <c r="F95" i="5"/>
  <c r="C95" i="5"/>
  <c r="B95" i="5"/>
  <c r="A95" i="5"/>
  <c r="F94" i="5"/>
  <c r="C94" i="5"/>
  <c r="B94" i="5"/>
  <c r="A94" i="5"/>
  <c r="G93" i="5"/>
  <c r="F93" i="5"/>
  <c r="C93" i="5"/>
  <c r="B93" i="5"/>
  <c r="A93" i="5"/>
  <c r="F92" i="5"/>
  <c r="G92" i="5" s="1"/>
  <c r="C92" i="5"/>
  <c r="B92" i="5"/>
  <c r="A92" i="5"/>
  <c r="F91" i="5"/>
  <c r="C91" i="5"/>
  <c r="B91" i="5"/>
  <c r="A91" i="5"/>
  <c r="F90" i="5"/>
  <c r="C90" i="5"/>
  <c r="B90" i="5"/>
  <c r="A90" i="5"/>
  <c r="F89" i="5"/>
  <c r="C89" i="5"/>
  <c r="B89" i="5"/>
  <c r="A89" i="5"/>
  <c r="G88" i="5"/>
  <c r="F88" i="5"/>
  <c r="C88" i="5"/>
  <c r="B88" i="5"/>
  <c r="A88" i="5"/>
  <c r="F87" i="5"/>
  <c r="C87" i="5"/>
  <c r="B87" i="5"/>
  <c r="A87" i="5"/>
  <c r="F86" i="5"/>
  <c r="C86" i="5"/>
  <c r="B86" i="5"/>
  <c r="A86" i="5"/>
  <c r="F85" i="5"/>
  <c r="C85" i="5"/>
  <c r="B85" i="5"/>
  <c r="A85" i="5"/>
  <c r="F84" i="5"/>
  <c r="G84" i="5" s="1"/>
  <c r="C84" i="5"/>
  <c r="B84" i="5"/>
  <c r="A84" i="5"/>
  <c r="G83" i="5"/>
  <c r="F83" i="5"/>
  <c r="C83" i="5"/>
  <c r="B83" i="5"/>
  <c r="A83" i="5"/>
  <c r="G82" i="5"/>
  <c r="F82" i="5"/>
  <c r="C82" i="5"/>
  <c r="B82" i="5"/>
  <c r="A82" i="5"/>
  <c r="F81" i="5"/>
  <c r="C81" i="5"/>
  <c r="B81" i="5"/>
  <c r="A81" i="5"/>
  <c r="F80" i="5"/>
  <c r="C80" i="5"/>
  <c r="B80" i="5"/>
  <c r="A80" i="5"/>
  <c r="F79" i="5"/>
  <c r="C79" i="5"/>
  <c r="B79" i="5"/>
  <c r="A79" i="5"/>
  <c r="F78" i="5"/>
  <c r="C78" i="5"/>
  <c r="B78" i="5"/>
  <c r="A78" i="5"/>
  <c r="G77" i="5"/>
  <c r="F77" i="5"/>
  <c r="C77" i="5"/>
  <c r="B77" i="5"/>
  <c r="A77" i="5"/>
  <c r="F76" i="5"/>
  <c r="C76" i="5"/>
  <c r="B76" i="5"/>
  <c r="A76" i="5"/>
  <c r="G75" i="5"/>
  <c r="F75" i="5"/>
  <c r="C75" i="5"/>
  <c r="B75" i="5"/>
  <c r="A75" i="5"/>
  <c r="F74" i="5"/>
  <c r="G74" i="5" s="1"/>
  <c r="C74" i="5"/>
  <c r="B74" i="5"/>
  <c r="A74" i="5"/>
  <c r="F73" i="5"/>
  <c r="C73" i="5"/>
  <c r="B73" i="5"/>
  <c r="A73" i="5"/>
  <c r="F72" i="5"/>
  <c r="C72" i="5"/>
  <c r="B72" i="5"/>
  <c r="A72" i="5"/>
  <c r="G71" i="5"/>
  <c r="F71" i="5"/>
  <c r="C71" i="5"/>
  <c r="B71" i="5"/>
  <c r="A71" i="5"/>
  <c r="F70" i="5"/>
  <c r="C70" i="5"/>
  <c r="B70" i="5"/>
  <c r="A70" i="5"/>
  <c r="F69" i="5"/>
  <c r="C69" i="5"/>
  <c r="B69" i="5"/>
  <c r="A69" i="5"/>
  <c r="G68" i="5"/>
  <c r="F68" i="5"/>
  <c r="C68" i="5"/>
  <c r="B68" i="5"/>
  <c r="A68" i="5"/>
  <c r="F67" i="5"/>
  <c r="C67" i="5"/>
  <c r="B67" i="5"/>
  <c r="A67" i="5"/>
  <c r="G66" i="5"/>
  <c r="F66" i="5"/>
  <c r="C66" i="5"/>
  <c r="B66" i="5"/>
  <c r="A66" i="5"/>
  <c r="G65" i="5"/>
  <c r="F65" i="5"/>
  <c r="C65" i="5"/>
  <c r="B65" i="5"/>
  <c r="A65" i="5"/>
  <c r="F64" i="5"/>
  <c r="C64" i="5"/>
  <c r="B64" i="5"/>
  <c r="A64" i="5"/>
  <c r="G63" i="5"/>
  <c r="F63" i="5"/>
  <c r="C63" i="5"/>
  <c r="B63" i="5"/>
  <c r="A63" i="5"/>
  <c r="F62" i="5"/>
  <c r="G62" i="5" s="1"/>
  <c r="C62" i="5"/>
  <c r="B62" i="5"/>
  <c r="A62" i="5"/>
  <c r="F61" i="5"/>
  <c r="C61" i="5"/>
  <c r="B61" i="5"/>
  <c r="A61" i="5"/>
  <c r="G60" i="5"/>
  <c r="F60" i="5"/>
  <c r="C60" i="5"/>
  <c r="B60" i="5"/>
  <c r="A60" i="5"/>
  <c r="F59" i="5"/>
  <c r="C59" i="5"/>
  <c r="B59" i="5"/>
  <c r="A59" i="5"/>
  <c r="F58" i="5"/>
  <c r="C58" i="5"/>
  <c r="B58" i="5"/>
  <c r="A58" i="5"/>
  <c r="F57" i="5"/>
  <c r="C57" i="5"/>
  <c r="B57" i="5"/>
  <c r="A57" i="5"/>
  <c r="G56" i="5"/>
  <c r="F56" i="5"/>
  <c r="C56" i="5"/>
  <c r="B56" i="5"/>
  <c r="A56" i="5"/>
  <c r="F55" i="5"/>
  <c r="C55" i="5"/>
  <c r="B55" i="5"/>
  <c r="A55" i="5"/>
  <c r="F54" i="5"/>
  <c r="C54" i="5"/>
  <c r="B54" i="5"/>
  <c r="A54" i="5"/>
  <c r="G53" i="5"/>
  <c r="F53" i="5"/>
  <c r="C53" i="5"/>
  <c r="B53" i="5"/>
  <c r="A53" i="5"/>
  <c r="G52" i="5"/>
  <c r="F52" i="5"/>
  <c r="C52" i="5"/>
  <c r="B52" i="5"/>
  <c r="A52" i="5"/>
  <c r="F51" i="5"/>
  <c r="C51" i="5"/>
  <c r="B51" i="5"/>
  <c r="A51" i="5"/>
  <c r="G50" i="5"/>
  <c r="F50" i="5"/>
  <c r="C50" i="5"/>
  <c r="B50" i="5"/>
  <c r="A50" i="5"/>
  <c r="G49" i="5"/>
  <c r="F49" i="5"/>
  <c r="C49" i="5"/>
  <c r="B49" i="5"/>
  <c r="A49" i="5"/>
  <c r="F48" i="5"/>
  <c r="C48" i="5"/>
  <c r="B48" i="5"/>
  <c r="A48" i="5"/>
  <c r="G47" i="5"/>
  <c r="F47" i="5"/>
  <c r="C47" i="5"/>
  <c r="B47" i="5"/>
  <c r="A47" i="5"/>
  <c r="F46" i="5"/>
  <c r="C46" i="5"/>
  <c r="B46" i="5"/>
  <c r="A46" i="5"/>
  <c r="F45" i="5"/>
  <c r="C45" i="5"/>
  <c r="B45" i="5"/>
  <c r="A45" i="5"/>
  <c r="G44" i="5"/>
  <c r="F44" i="5"/>
  <c r="C44" i="5"/>
  <c r="B44" i="5"/>
  <c r="A44" i="5"/>
  <c r="F43" i="5"/>
  <c r="G43" i="5" s="1"/>
  <c r="C43" i="5"/>
  <c r="B43" i="5"/>
  <c r="A43" i="5"/>
  <c r="F42" i="5"/>
  <c r="C42" i="5"/>
  <c r="B42" i="5"/>
  <c r="A42" i="5"/>
  <c r="G41" i="5"/>
  <c r="F41" i="5"/>
  <c r="C41" i="5"/>
  <c r="B41" i="5"/>
  <c r="A41" i="5"/>
  <c r="F40" i="5"/>
  <c r="C40" i="5"/>
  <c r="B40" i="5"/>
  <c r="A40" i="5"/>
  <c r="F39" i="5"/>
  <c r="G39" i="5" s="1"/>
  <c r="C39" i="5"/>
  <c r="B39" i="5"/>
  <c r="A39" i="5"/>
  <c r="F38" i="5"/>
  <c r="C38" i="5"/>
  <c r="B38" i="5"/>
  <c r="A38" i="5"/>
  <c r="F37" i="5"/>
  <c r="C37" i="5"/>
  <c r="B37" i="5"/>
  <c r="A37" i="5"/>
  <c r="F36" i="5"/>
  <c r="C36" i="5"/>
  <c r="B36" i="5"/>
  <c r="A36" i="5"/>
  <c r="F35" i="5"/>
  <c r="C35" i="5"/>
  <c r="B35" i="5"/>
  <c r="A35" i="5"/>
  <c r="F34" i="5"/>
  <c r="G34" i="5" s="1"/>
  <c r="C34" i="5"/>
  <c r="B34" i="5"/>
  <c r="A34" i="5"/>
  <c r="G33" i="5"/>
  <c r="F33" i="5"/>
  <c r="C33" i="5"/>
  <c r="B33" i="5"/>
  <c r="A33" i="5"/>
  <c r="F32" i="5"/>
  <c r="C32" i="5"/>
  <c r="B32" i="5"/>
  <c r="A32" i="5"/>
  <c r="G31" i="5"/>
  <c r="F31" i="5"/>
  <c r="C31" i="5"/>
  <c r="B31" i="5"/>
  <c r="A31" i="5"/>
  <c r="F30" i="5"/>
  <c r="G30" i="5" s="1"/>
  <c r="C30" i="5"/>
  <c r="B30" i="5"/>
  <c r="A30" i="5"/>
  <c r="G29" i="5"/>
  <c r="F29" i="5"/>
  <c r="C29" i="5"/>
  <c r="B29" i="5"/>
  <c r="A29" i="5"/>
  <c r="F28" i="5"/>
  <c r="C28" i="5"/>
  <c r="B28" i="5"/>
  <c r="A28" i="5"/>
  <c r="F27" i="5"/>
  <c r="C27" i="5"/>
  <c r="B27" i="5"/>
  <c r="A27" i="5"/>
  <c r="F26" i="5"/>
  <c r="C26" i="5"/>
  <c r="B26" i="5"/>
  <c r="A26" i="5"/>
  <c r="F25" i="5"/>
  <c r="G25" i="5" s="1"/>
  <c r="C25" i="5"/>
  <c r="B25" i="5"/>
  <c r="A25" i="5"/>
  <c r="G24" i="5"/>
  <c r="F24" i="5"/>
  <c r="C24" i="5"/>
  <c r="B24" i="5"/>
  <c r="A24" i="5"/>
  <c r="F23" i="5"/>
  <c r="C23" i="5"/>
  <c r="B23" i="5"/>
  <c r="A23" i="5"/>
  <c r="F22" i="5"/>
  <c r="G22" i="5" s="1"/>
  <c r="C22" i="5"/>
  <c r="B22" i="5"/>
  <c r="A22" i="5"/>
  <c r="F21" i="5"/>
  <c r="G21" i="5" s="1"/>
  <c r="C21" i="5"/>
  <c r="B21" i="5"/>
  <c r="A21" i="5"/>
  <c r="I29" i="10" s="1"/>
  <c r="F20" i="5"/>
  <c r="C20" i="5"/>
  <c r="B20" i="5"/>
  <c r="A20" i="5"/>
  <c r="F19" i="5"/>
  <c r="C19" i="5"/>
  <c r="B19" i="5"/>
  <c r="A19" i="5"/>
  <c r="F18" i="5"/>
  <c r="C18" i="5"/>
  <c r="B18" i="5"/>
  <c r="A18" i="5"/>
  <c r="G17" i="5"/>
  <c r="F17" i="5"/>
  <c r="C17" i="5"/>
  <c r="B17" i="5"/>
  <c r="A17" i="5"/>
  <c r="F16" i="5"/>
  <c r="C16" i="5"/>
  <c r="B16" i="5"/>
  <c r="A16" i="5"/>
  <c r="F15" i="5"/>
  <c r="C15" i="5"/>
  <c r="B15" i="5"/>
  <c r="A15" i="5"/>
  <c r="F14" i="5"/>
  <c r="C14" i="5"/>
  <c r="B14" i="5"/>
  <c r="A14" i="5"/>
  <c r="F13" i="5"/>
  <c r="C13" i="5"/>
  <c r="B13" i="5"/>
  <c r="A13" i="5"/>
  <c r="G12" i="5"/>
  <c r="F12" i="5"/>
  <c r="C12" i="5"/>
  <c r="B12" i="5"/>
  <c r="A12" i="5"/>
  <c r="F11" i="5"/>
  <c r="C11" i="5"/>
  <c r="B11" i="5"/>
  <c r="A11" i="5"/>
  <c r="F10" i="5"/>
  <c r="C10" i="5"/>
  <c r="B10" i="5"/>
  <c r="A10" i="5"/>
  <c r="F9" i="5"/>
  <c r="C9" i="5"/>
  <c r="B9" i="5"/>
  <c r="A9" i="5"/>
  <c r="G8" i="5"/>
  <c r="F8" i="5"/>
  <c r="C8" i="5"/>
  <c r="B8" i="5"/>
  <c r="A8" i="5"/>
  <c r="F7" i="5"/>
  <c r="G7" i="5" s="1"/>
  <c r="C7" i="5"/>
  <c r="B7" i="5"/>
  <c r="A7" i="5"/>
  <c r="F6" i="5"/>
  <c r="C6" i="5"/>
  <c r="B6" i="5"/>
  <c r="A6" i="5"/>
  <c r="F5" i="5"/>
  <c r="C5" i="5"/>
  <c r="B5" i="5"/>
  <c r="A5" i="5"/>
  <c r="F4" i="5"/>
  <c r="C4" i="5"/>
  <c r="B4" i="5"/>
  <c r="A4" i="5"/>
  <c r="I87" i="10" s="1"/>
  <c r="G3" i="5"/>
  <c r="F3" i="5"/>
  <c r="C3" i="5"/>
  <c r="B3" i="5"/>
  <c r="A3" i="5"/>
  <c r="I95" i="10" s="1"/>
  <c r="F2" i="5"/>
  <c r="C2" i="5"/>
  <c r="B2" i="5"/>
  <c r="A2" i="5"/>
  <c r="O138" i="4"/>
  <c r="G135" i="5" s="1"/>
  <c r="N138" i="4"/>
  <c r="I138" i="4"/>
  <c r="J138" i="4" s="1"/>
  <c r="C138" i="4"/>
  <c r="B138" i="4"/>
  <c r="A138" i="4"/>
  <c r="O137" i="4"/>
  <c r="G134" i="5" s="1"/>
  <c r="N137" i="4"/>
  <c r="J137" i="4"/>
  <c r="I137" i="4"/>
  <c r="C137" i="4"/>
  <c r="B137" i="4"/>
  <c r="A137" i="4"/>
  <c r="O136" i="4"/>
  <c r="G133" i="5" s="1"/>
  <c r="N136" i="4"/>
  <c r="J136" i="4"/>
  <c r="I136" i="4"/>
  <c r="C136" i="4"/>
  <c r="B136" i="4"/>
  <c r="A136" i="4"/>
  <c r="O135" i="4"/>
  <c r="N135" i="4"/>
  <c r="J135" i="4"/>
  <c r="I135" i="4"/>
  <c r="C135" i="4"/>
  <c r="B135" i="4"/>
  <c r="A135" i="4"/>
  <c r="O134" i="4"/>
  <c r="G131" i="5" s="1"/>
  <c r="N134" i="4"/>
  <c r="I134" i="4"/>
  <c r="J134" i="4" s="1"/>
  <c r="C134" i="4"/>
  <c r="B134" i="4"/>
  <c r="A134" i="4"/>
  <c r="O133" i="4"/>
  <c r="G130" i="5" s="1"/>
  <c r="N133" i="4"/>
  <c r="J133" i="4"/>
  <c r="I133" i="4"/>
  <c r="C133" i="4"/>
  <c r="B133" i="4"/>
  <c r="A133" i="4"/>
  <c r="O132" i="4"/>
  <c r="N132" i="4"/>
  <c r="J132" i="4"/>
  <c r="I132" i="4"/>
  <c r="C132" i="4"/>
  <c r="B132" i="4"/>
  <c r="A132" i="4"/>
  <c r="O131" i="4"/>
  <c r="N131" i="4"/>
  <c r="J131" i="4"/>
  <c r="I131" i="4"/>
  <c r="C131" i="4"/>
  <c r="B131" i="4"/>
  <c r="A131" i="4"/>
  <c r="O130" i="4"/>
  <c r="G127" i="5" s="1"/>
  <c r="N130" i="4"/>
  <c r="I130" i="4"/>
  <c r="J130" i="4" s="1"/>
  <c r="C130" i="4"/>
  <c r="B130" i="4"/>
  <c r="A130" i="4"/>
  <c r="O129" i="4"/>
  <c r="N129" i="4"/>
  <c r="I129" i="4"/>
  <c r="J129" i="4" s="1"/>
  <c r="C129" i="4"/>
  <c r="B129" i="4"/>
  <c r="A129" i="4"/>
  <c r="O128" i="4"/>
  <c r="N128" i="4"/>
  <c r="J128" i="4"/>
  <c r="I128" i="4"/>
  <c r="C128" i="4"/>
  <c r="B128" i="4"/>
  <c r="A128" i="4"/>
  <c r="O127" i="4"/>
  <c r="N127" i="4"/>
  <c r="J127" i="4"/>
  <c r="I127" i="4"/>
  <c r="C127" i="4"/>
  <c r="B127" i="4"/>
  <c r="A127" i="4"/>
  <c r="O126" i="4"/>
  <c r="G123" i="5" s="1"/>
  <c r="N126" i="4"/>
  <c r="J126" i="4"/>
  <c r="I126" i="4"/>
  <c r="C126" i="4"/>
  <c r="B126" i="4"/>
  <c r="A126" i="4"/>
  <c r="O125" i="4"/>
  <c r="G122" i="5" s="1"/>
  <c r="N125" i="4"/>
  <c r="I125" i="4"/>
  <c r="J125" i="4" s="1"/>
  <c r="C125" i="4"/>
  <c r="B125" i="4"/>
  <c r="A125" i="4"/>
  <c r="O124" i="4"/>
  <c r="G121" i="5" s="1"/>
  <c r="N124" i="4"/>
  <c r="I124" i="4"/>
  <c r="J124" i="4" s="1"/>
  <c r="C124" i="4"/>
  <c r="B124" i="4"/>
  <c r="A124" i="4"/>
  <c r="O123" i="4"/>
  <c r="N123" i="4"/>
  <c r="J123" i="4"/>
  <c r="I123" i="4"/>
  <c r="C123" i="4"/>
  <c r="B123" i="4"/>
  <c r="A123" i="4"/>
  <c r="O122" i="4"/>
  <c r="N122" i="4"/>
  <c r="J122" i="4"/>
  <c r="I122" i="4"/>
  <c r="C122" i="4"/>
  <c r="B122" i="4"/>
  <c r="A122" i="4"/>
  <c r="O121" i="4"/>
  <c r="G118" i="5" s="1"/>
  <c r="N121" i="4"/>
  <c r="I121" i="4"/>
  <c r="J121" i="4" s="1"/>
  <c r="C121" i="4"/>
  <c r="B121" i="4"/>
  <c r="A121" i="4"/>
  <c r="O120" i="4"/>
  <c r="G117" i="5" s="1"/>
  <c r="N120" i="4"/>
  <c r="I120" i="4"/>
  <c r="J120" i="4" s="1"/>
  <c r="C120" i="4"/>
  <c r="B120" i="4"/>
  <c r="A120" i="4"/>
  <c r="O119" i="4"/>
  <c r="G116" i="5" s="1"/>
  <c r="N119" i="4"/>
  <c r="I119" i="4"/>
  <c r="J119" i="4" s="1"/>
  <c r="C119" i="4"/>
  <c r="B119" i="4"/>
  <c r="A119" i="4"/>
  <c r="O118" i="4"/>
  <c r="N118" i="4"/>
  <c r="J118" i="4"/>
  <c r="I118" i="4"/>
  <c r="C118" i="4"/>
  <c r="B118" i="4"/>
  <c r="A118" i="4"/>
  <c r="O117" i="4"/>
  <c r="G114" i="5" s="1"/>
  <c r="N117" i="4"/>
  <c r="J117" i="4"/>
  <c r="I117" i="4"/>
  <c r="C117" i="4"/>
  <c r="B117" i="4"/>
  <c r="A117" i="4"/>
  <c r="O116" i="4"/>
  <c r="G113" i="5" s="1"/>
  <c r="N116" i="4"/>
  <c r="J116" i="4"/>
  <c r="I116" i="4"/>
  <c r="C116" i="4"/>
  <c r="B116" i="4"/>
  <c r="A116" i="4"/>
  <c r="O115" i="4"/>
  <c r="G112" i="5" s="1"/>
  <c r="N115" i="4"/>
  <c r="I115" i="4"/>
  <c r="J115" i="4" s="1"/>
  <c r="C115" i="4"/>
  <c r="B115" i="4"/>
  <c r="A115" i="4"/>
  <c r="O114" i="4"/>
  <c r="N114" i="4"/>
  <c r="J114" i="4"/>
  <c r="I114" i="4"/>
  <c r="C114" i="4"/>
  <c r="B114" i="4"/>
  <c r="A114" i="4"/>
  <c r="O113" i="4"/>
  <c r="N113" i="4"/>
  <c r="J113" i="4"/>
  <c r="I113" i="4"/>
  <c r="C113" i="4"/>
  <c r="B113" i="4"/>
  <c r="A113" i="4"/>
  <c r="O112" i="4"/>
  <c r="G109" i="5" s="1"/>
  <c r="N112" i="4"/>
  <c r="J112" i="4"/>
  <c r="I112" i="4"/>
  <c r="C112" i="4"/>
  <c r="B112" i="4"/>
  <c r="A112" i="4"/>
  <c r="O111" i="4"/>
  <c r="G108" i="5" s="1"/>
  <c r="N111" i="4"/>
  <c r="I111" i="4"/>
  <c r="J111" i="4" s="1"/>
  <c r="C111" i="4"/>
  <c r="B111" i="4"/>
  <c r="A111" i="4"/>
  <c r="O110" i="4"/>
  <c r="N110" i="4"/>
  <c r="I110" i="4"/>
  <c r="J110" i="4" s="1"/>
  <c r="C110" i="4"/>
  <c r="B110" i="4"/>
  <c r="A110" i="4"/>
  <c r="O109" i="4"/>
  <c r="N109" i="4"/>
  <c r="I109" i="4"/>
  <c r="J109" i="4" s="1"/>
  <c r="C109" i="4"/>
  <c r="B109" i="4"/>
  <c r="A109" i="4"/>
  <c r="O108" i="4"/>
  <c r="G105" i="5" s="1"/>
  <c r="N108" i="4"/>
  <c r="I108" i="4"/>
  <c r="J108" i="4" s="1"/>
  <c r="C108" i="4"/>
  <c r="B108" i="4"/>
  <c r="A108" i="4"/>
  <c r="O107" i="4"/>
  <c r="N107" i="4"/>
  <c r="I107" i="4"/>
  <c r="J107" i="4" s="1"/>
  <c r="C107" i="4"/>
  <c r="B107" i="4"/>
  <c r="A107" i="4"/>
  <c r="O106" i="4"/>
  <c r="N106" i="4"/>
  <c r="I106" i="4"/>
  <c r="J106" i="4" s="1"/>
  <c r="C106" i="4"/>
  <c r="B106" i="4"/>
  <c r="A106" i="4"/>
  <c r="O105" i="4"/>
  <c r="G102" i="5" s="1"/>
  <c r="N105" i="4"/>
  <c r="I105" i="4"/>
  <c r="J105" i="4" s="1"/>
  <c r="C105" i="4"/>
  <c r="B105" i="4"/>
  <c r="A105" i="4"/>
  <c r="O104" i="4"/>
  <c r="N104" i="4"/>
  <c r="J104" i="4"/>
  <c r="I104" i="4"/>
  <c r="C104" i="4"/>
  <c r="B104" i="4"/>
  <c r="A104" i="4"/>
  <c r="O103" i="4"/>
  <c r="G100" i="5" s="1"/>
  <c r="N103" i="4"/>
  <c r="J103" i="4"/>
  <c r="I103" i="4"/>
  <c r="C103" i="4"/>
  <c r="B103" i="4"/>
  <c r="A103" i="4"/>
  <c r="O102" i="4"/>
  <c r="G99" i="5" s="1"/>
  <c r="N102" i="4"/>
  <c r="I102" i="4"/>
  <c r="J102" i="4" s="1"/>
  <c r="C102" i="4"/>
  <c r="B102" i="4"/>
  <c r="A102" i="4"/>
  <c r="O101" i="4"/>
  <c r="G98" i="5" s="1"/>
  <c r="N101" i="4"/>
  <c r="I101" i="4"/>
  <c r="J101" i="4" s="1"/>
  <c r="C101" i="4"/>
  <c r="B101" i="4"/>
  <c r="A101" i="4"/>
  <c r="O100" i="4"/>
  <c r="N100" i="4"/>
  <c r="I100" i="4"/>
  <c r="J100" i="4" s="1"/>
  <c r="C100" i="4"/>
  <c r="B100" i="4"/>
  <c r="A100" i="4"/>
  <c r="O99" i="4"/>
  <c r="G96" i="5" s="1"/>
  <c r="N99" i="4"/>
  <c r="J99" i="4"/>
  <c r="I99" i="4"/>
  <c r="C99" i="4"/>
  <c r="B99" i="4"/>
  <c r="A99" i="4"/>
  <c r="O98" i="4"/>
  <c r="G95" i="5" s="1"/>
  <c r="N98" i="4"/>
  <c r="J98" i="4"/>
  <c r="I98" i="4"/>
  <c r="C98" i="4"/>
  <c r="B98" i="4"/>
  <c r="A98" i="4"/>
  <c r="O97" i="4"/>
  <c r="G94" i="5" s="1"/>
  <c r="N97" i="4"/>
  <c r="J97" i="4"/>
  <c r="I97" i="4"/>
  <c r="C97" i="4"/>
  <c r="B97" i="4"/>
  <c r="A97" i="4"/>
  <c r="O96" i="4"/>
  <c r="N96" i="4"/>
  <c r="I96" i="4"/>
  <c r="J96" i="4" s="1"/>
  <c r="C96" i="4"/>
  <c r="B96" i="4"/>
  <c r="A96" i="4"/>
  <c r="O95" i="4"/>
  <c r="N95" i="4"/>
  <c r="J95" i="4"/>
  <c r="I95" i="4"/>
  <c r="C95" i="4"/>
  <c r="B95" i="4"/>
  <c r="A95" i="4"/>
  <c r="O94" i="4"/>
  <c r="G91" i="5" s="1"/>
  <c r="N94" i="4"/>
  <c r="J94" i="4"/>
  <c r="I94" i="4"/>
  <c r="C94" i="4"/>
  <c r="B94" i="4"/>
  <c r="A94" i="4"/>
  <c r="O93" i="4"/>
  <c r="G90" i="5" s="1"/>
  <c r="N93" i="4"/>
  <c r="J93" i="4"/>
  <c r="I93" i="4"/>
  <c r="C93" i="4"/>
  <c r="B93" i="4"/>
  <c r="A93" i="4"/>
  <c r="O92" i="4"/>
  <c r="G89" i="5" s="1"/>
  <c r="N92" i="4"/>
  <c r="I92" i="4"/>
  <c r="J92" i="4" s="1"/>
  <c r="C92" i="4"/>
  <c r="B92" i="4"/>
  <c r="A92" i="4"/>
  <c r="O91" i="4"/>
  <c r="N91" i="4"/>
  <c r="I91" i="4"/>
  <c r="J91" i="4" s="1"/>
  <c r="C91" i="4"/>
  <c r="B91" i="4"/>
  <c r="A91" i="4"/>
  <c r="O90" i="4"/>
  <c r="G87" i="5" s="1"/>
  <c r="N90" i="4"/>
  <c r="I90" i="4"/>
  <c r="J90" i="4" s="1"/>
  <c r="C90" i="4"/>
  <c r="B90" i="4"/>
  <c r="A90" i="4"/>
  <c r="O89" i="4"/>
  <c r="G86" i="5" s="1"/>
  <c r="N89" i="4"/>
  <c r="I89" i="4"/>
  <c r="J89" i="4" s="1"/>
  <c r="C89" i="4"/>
  <c r="B89" i="4"/>
  <c r="A89" i="4"/>
  <c r="O88" i="4"/>
  <c r="G85" i="5" s="1"/>
  <c r="N88" i="4"/>
  <c r="J88" i="4"/>
  <c r="I88" i="4"/>
  <c r="C88" i="4"/>
  <c r="B88" i="4"/>
  <c r="A88" i="4"/>
  <c r="O87" i="4"/>
  <c r="N87" i="4"/>
  <c r="I87" i="4"/>
  <c r="J87" i="4" s="1"/>
  <c r="C87" i="4"/>
  <c r="B87" i="4"/>
  <c r="A87" i="4"/>
  <c r="O86" i="4"/>
  <c r="N86" i="4"/>
  <c r="J86" i="4"/>
  <c r="I86" i="4"/>
  <c r="C86" i="4"/>
  <c r="B86" i="4"/>
  <c r="A86" i="4"/>
  <c r="O85" i="4"/>
  <c r="N85" i="4"/>
  <c r="I85" i="4"/>
  <c r="J85" i="4" s="1"/>
  <c r="C85" i="4"/>
  <c r="B85" i="4"/>
  <c r="A85" i="4"/>
  <c r="O84" i="4"/>
  <c r="G81" i="5" s="1"/>
  <c r="N84" i="4"/>
  <c r="J84" i="4"/>
  <c r="I84" i="4"/>
  <c r="C84" i="4"/>
  <c r="B84" i="4"/>
  <c r="A84" i="4"/>
  <c r="O83" i="4"/>
  <c r="G80" i="5" s="1"/>
  <c r="N83" i="4"/>
  <c r="I83" i="4"/>
  <c r="J83" i="4" s="1"/>
  <c r="C83" i="4"/>
  <c r="B83" i="4"/>
  <c r="A83" i="4"/>
  <c r="O82" i="4"/>
  <c r="G79" i="5" s="1"/>
  <c r="N82" i="4"/>
  <c r="J82" i="4"/>
  <c r="I82" i="4"/>
  <c r="C82" i="4"/>
  <c r="B82" i="4"/>
  <c r="A82" i="4"/>
  <c r="O81" i="4"/>
  <c r="G78" i="5" s="1"/>
  <c r="N81" i="4"/>
  <c r="I81" i="4"/>
  <c r="J81" i="4" s="1"/>
  <c r="C81" i="4"/>
  <c r="B81" i="4"/>
  <c r="A81" i="4"/>
  <c r="O80" i="4"/>
  <c r="N80" i="4"/>
  <c r="J80" i="4"/>
  <c r="I80" i="4"/>
  <c r="C80" i="4"/>
  <c r="B80" i="4"/>
  <c r="A80" i="4"/>
  <c r="O79" i="4"/>
  <c r="G76" i="5" s="1"/>
  <c r="N79" i="4"/>
  <c r="J79" i="4"/>
  <c r="I79" i="4"/>
  <c r="C79" i="4"/>
  <c r="B79" i="4"/>
  <c r="A79" i="4"/>
  <c r="O78" i="4"/>
  <c r="N78" i="4"/>
  <c r="J78" i="4"/>
  <c r="I78" i="4"/>
  <c r="C78" i="4"/>
  <c r="B78" i="4"/>
  <c r="A78" i="4"/>
  <c r="O77" i="4"/>
  <c r="N77" i="4"/>
  <c r="I77" i="4"/>
  <c r="J77" i="4" s="1"/>
  <c r="C77" i="4"/>
  <c r="B77" i="4"/>
  <c r="A77" i="4"/>
  <c r="O76" i="4"/>
  <c r="G73" i="5" s="1"/>
  <c r="N76" i="4"/>
  <c r="J76" i="4"/>
  <c r="I76" i="4"/>
  <c r="C76" i="4"/>
  <c r="B76" i="4"/>
  <c r="A76" i="4"/>
  <c r="O75" i="4"/>
  <c r="G72" i="5" s="1"/>
  <c r="N75" i="4"/>
  <c r="J75" i="4"/>
  <c r="I75" i="4"/>
  <c r="C75" i="4"/>
  <c r="B75" i="4"/>
  <c r="A75" i="4"/>
  <c r="O74" i="4"/>
  <c r="N74" i="4"/>
  <c r="J74" i="4"/>
  <c r="I74" i="4"/>
  <c r="C74" i="4"/>
  <c r="B74" i="4"/>
  <c r="A74" i="4"/>
  <c r="O73" i="4"/>
  <c r="G70" i="5" s="1"/>
  <c r="N73" i="4"/>
  <c r="I73" i="4"/>
  <c r="J73" i="4" s="1"/>
  <c r="C73" i="4"/>
  <c r="B73" i="4"/>
  <c r="A73" i="4"/>
  <c r="O72" i="4"/>
  <c r="G69" i="5" s="1"/>
  <c r="N72" i="4"/>
  <c r="I72" i="4"/>
  <c r="J72" i="4" s="1"/>
  <c r="C72" i="4"/>
  <c r="B72" i="4"/>
  <c r="A72" i="4"/>
  <c r="O71" i="4"/>
  <c r="N71" i="4"/>
  <c r="I71" i="4"/>
  <c r="J71" i="4" s="1"/>
  <c r="C71" i="4"/>
  <c r="B71" i="4"/>
  <c r="A71" i="4"/>
  <c r="O70" i="4"/>
  <c r="G67" i="5" s="1"/>
  <c r="N70" i="4"/>
  <c r="I70" i="4"/>
  <c r="J70" i="4" s="1"/>
  <c r="C70" i="4"/>
  <c r="B70" i="4"/>
  <c r="A70" i="4"/>
  <c r="O69" i="4"/>
  <c r="N69" i="4"/>
  <c r="J69" i="4"/>
  <c r="I69" i="4"/>
  <c r="C69" i="4"/>
  <c r="B69" i="4"/>
  <c r="A69" i="4"/>
  <c r="O68" i="4"/>
  <c r="N68" i="4"/>
  <c r="I68" i="4"/>
  <c r="J68" i="4" s="1"/>
  <c r="C68" i="4"/>
  <c r="B68" i="4"/>
  <c r="A68" i="4"/>
  <c r="O67" i="4"/>
  <c r="G64" i="5" s="1"/>
  <c r="N67" i="4"/>
  <c r="J67" i="4"/>
  <c r="I67" i="4"/>
  <c r="C67" i="4"/>
  <c r="B67" i="4"/>
  <c r="A67" i="4"/>
  <c r="O66" i="4"/>
  <c r="N66" i="4"/>
  <c r="I66" i="4"/>
  <c r="J66" i="4" s="1"/>
  <c r="C66" i="4"/>
  <c r="B66" i="4"/>
  <c r="A66" i="4"/>
  <c r="O65" i="4"/>
  <c r="N65" i="4"/>
  <c r="I65" i="4"/>
  <c r="J65" i="4" s="1"/>
  <c r="C65" i="4"/>
  <c r="B65" i="4"/>
  <c r="A65" i="4"/>
  <c r="O64" i="4"/>
  <c r="G61" i="5" s="1"/>
  <c r="N64" i="4"/>
  <c r="I64" i="4"/>
  <c r="J64" i="4" s="1"/>
  <c r="C64" i="4"/>
  <c r="B64" i="4"/>
  <c r="A64" i="4"/>
  <c r="O63" i="4"/>
  <c r="N63" i="4"/>
  <c r="I63" i="4"/>
  <c r="J63" i="4" s="1"/>
  <c r="C63" i="4"/>
  <c r="B63" i="4"/>
  <c r="A63" i="4"/>
  <c r="O62" i="4"/>
  <c r="G59" i="5" s="1"/>
  <c r="N62" i="4"/>
  <c r="I62" i="4"/>
  <c r="J62" i="4" s="1"/>
  <c r="C62" i="4"/>
  <c r="B62" i="4"/>
  <c r="A62" i="4"/>
  <c r="O61" i="4"/>
  <c r="G58" i="5" s="1"/>
  <c r="N61" i="4"/>
  <c r="J61" i="4"/>
  <c r="I61" i="4"/>
  <c r="C61" i="4"/>
  <c r="B61" i="4"/>
  <c r="A61" i="4"/>
  <c r="O60" i="4"/>
  <c r="G57" i="5" s="1"/>
  <c r="N60" i="4"/>
  <c r="J60" i="4"/>
  <c r="I60" i="4"/>
  <c r="C60" i="4"/>
  <c r="B60" i="4"/>
  <c r="A60" i="4"/>
  <c r="O59" i="4"/>
  <c r="N59" i="4"/>
  <c r="J59" i="4"/>
  <c r="I59" i="4"/>
  <c r="C59" i="4"/>
  <c r="B59" i="4"/>
  <c r="A59" i="4"/>
  <c r="O58" i="4"/>
  <c r="G55" i="5" s="1"/>
  <c r="N58" i="4"/>
  <c r="I58" i="4"/>
  <c r="J58" i="4" s="1"/>
  <c r="C58" i="4"/>
  <c r="B58" i="4"/>
  <c r="A58" i="4"/>
  <c r="O57" i="4"/>
  <c r="G54" i="5" s="1"/>
  <c r="N57" i="4"/>
  <c r="J57" i="4"/>
  <c r="I57" i="4"/>
  <c r="C57" i="4"/>
  <c r="B57" i="4"/>
  <c r="A57" i="4"/>
  <c r="O56" i="4"/>
  <c r="N56" i="4"/>
  <c r="J56" i="4"/>
  <c r="I56" i="4"/>
  <c r="C56" i="4"/>
  <c r="B56" i="4"/>
  <c r="A56" i="4"/>
  <c r="O55" i="4"/>
  <c r="N55" i="4"/>
  <c r="J55" i="4"/>
  <c r="I55" i="4"/>
  <c r="C55" i="4"/>
  <c r="B55" i="4"/>
  <c r="A55" i="4"/>
  <c r="O54" i="4"/>
  <c r="G51" i="5" s="1"/>
  <c r="N54" i="4"/>
  <c r="I54" i="4"/>
  <c r="J54" i="4" s="1"/>
  <c r="C54" i="4"/>
  <c r="B54" i="4"/>
  <c r="A54" i="4"/>
  <c r="O53" i="4"/>
  <c r="N53" i="4"/>
  <c r="I53" i="4"/>
  <c r="J53" i="4" s="1"/>
  <c r="C53" i="4"/>
  <c r="B53" i="4"/>
  <c r="A53" i="4"/>
  <c r="O52" i="4"/>
  <c r="N52" i="4"/>
  <c r="I52" i="4"/>
  <c r="J52" i="4" s="1"/>
  <c r="C52" i="4"/>
  <c r="B52" i="4"/>
  <c r="A52" i="4"/>
  <c r="O51" i="4"/>
  <c r="G48" i="5" s="1"/>
  <c r="N51" i="4"/>
  <c r="I51" i="4"/>
  <c r="J51" i="4" s="1"/>
  <c r="C51" i="4"/>
  <c r="B51" i="4"/>
  <c r="A51" i="4"/>
  <c r="O50" i="4"/>
  <c r="N50" i="4"/>
  <c r="J50" i="4"/>
  <c r="I50" i="4"/>
  <c r="C50" i="4"/>
  <c r="B50" i="4"/>
  <c r="A50" i="4"/>
  <c r="O49" i="4"/>
  <c r="G46" i="5" s="1"/>
  <c r="N49" i="4"/>
  <c r="I49" i="4"/>
  <c r="J49" i="4" s="1"/>
  <c r="C49" i="4"/>
  <c r="B49" i="4"/>
  <c r="A49" i="4"/>
  <c r="O48" i="4"/>
  <c r="G45" i="5" s="1"/>
  <c r="N48" i="4"/>
  <c r="J48" i="4"/>
  <c r="I48" i="4"/>
  <c r="C48" i="4"/>
  <c r="B48" i="4"/>
  <c r="A48" i="4"/>
  <c r="O47" i="4"/>
  <c r="N47" i="4"/>
  <c r="I47" i="4"/>
  <c r="J47" i="4" s="1"/>
  <c r="C47" i="4"/>
  <c r="B47" i="4"/>
  <c r="A47" i="4"/>
  <c r="O46" i="4"/>
  <c r="N46" i="4"/>
  <c r="I46" i="4"/>
  <c r="J46" i="4" s="1"/>
  <c r="C46" i="4"/>
  <c r="B46" i="4"/>
  <c r="A46" i="4"/>
  <c r="O45" i="4"/>
  <c r="G42" i="5" s="1"/>
  <c r="N45" i="4"/>
  <c r="I45" i="4"/>
  <c r="J45" i="4" s="1"/>
  <c r="C45" i="4"/>
  <c r="B45" i="4"/>
  <c r="A45" i="4"/>
  <c r="O44" i="4"/>
  <c r="N44" i="4"/>
  <c r="J44" i="4"/>
  <c r="I44" i="4"/>
  <c r="C44" i="4"/>
  <c r="B44" i="4"/>
  <c r="A44" i="4"/>
  <c r="O43" i="4"/>
  <c r="G40" i="5" s="1"/>
  <c r="N43" i="4"/>
  <c r="J43" i="4"/>
  <c r="I43" i="4"/>
  <c r="C43" i="4"/>
  <c r="B43" i="4"/>
  <c r="A43" i="4"/>
  <c r="O42" i="4"/>
  <c r="N42" i="4"/>
  <c r="I42" i="4"/>
  <c r="J42" i="4" s="1"/>
  <c r="C42" i="4"/>
  <c r="B42" i="4"/>
  <c r="A42" i="4"/>
  <c r="O41" i="4"/>
  <c r="G38" i="5" s="1"/>
  <c r="N41" i="4"/>
  <c r="I41" i="4"/>
  <c r="J41" i="4" s="1"/>
  <c r="C41" i="4"/>
  <c r="B41" i="4"/>
  <c r="A41" i="4"/>
  <c r="O40" i="4"/>
  <c r="G37" i="5" s="1"/>
  <c r="N40" i="4"/>
  <c r="J40" i="4"/>
  <c r="I40" i="4"/>
  <c r="C40" i="4"/>
  <c r="B40" i="4"/>
  <c r="A40" i="4"/>
  <c r="O39" i="4"/>
  <c r="G36" i="5" s="1"/>
  <c r="N39" i="4"/>
  <c r="I39" i="4"/>
  <c r="J39" i="4" s="1"/>
  <c r="C39" i="4"/>
  <c r="B39" i="4"/>
  <c r="A39" i="4"/>
  <c r="O38" i="4"/>
  <c r="G35" i="5" s="1"/>
  <c r="N38" i="4"/>
  <c r="J38" i="4"/>
  <c r="I38" i="4"/>
  <c r="C38" i="4"/>
  <c r="B38" i="4"/>
  <c r="A38" i="4"/>
  <c r="O37" i="4"/>
  <c r="N37" i="4"/>
  <c r="J37" i="4"/>
  <c r="I37" i="4"/>
  <c r="C37" i="4"/>
  <c r="B37" i="4"/>
  <c r="A37" i="4"/>
  <c r="O36" i="4"/>
  <c r="N36" i="4"/>
  <c r="J36" i="4"/>
  <c r="I36" i="4"/>
  <c r="C36" i="4"/>
  <c r="B36" i="4"/>
  <c r="A36" i="4"/>
  <c r="O35" i="4"/>
  <c r="G32" i="5" s="1"/>
  <c r="N35" i="4"/>
  <c r="I35" i="4"/>
  <c r="J35" i="4" s="1"/>
  <c r="C35" i="4"/>
  <c r="B35" i="4"/>
  <c r="A35" i="4"/>
  <c r="O34" i="4"/>
  <c r="N34" i="4"/>
  <c r="I34" i="4"/>
  <c r="J34" i="4" s="1"/>
  <c r="C34" i="4"/>
  <c r="B34" i="4"/>
  <c r="A34" i="4"/>
  <c r="O33" i="4"/>
  <c r="N33" i="4"/>
  <c r="I33" i="4"/>
  <c r="J33" i="4" s="1"/>
  <c r="C33" i="4"/>
  <c r="B33" i="4"/>
  <c r="A33" i="4"/>
  <c r="O32" i="4"/>
  <c r="N32" i="4"/>
  <c r="I32" i="4"/>
  <c r="J32" i="4" s="1"/>
  <c r="C32" i="4"/>
  <c r="B32" i="4"/>
  <c r="A32" i="4"/>
  <c r="O31" i="4"/>
  <c r="G28" i="5" s="1"/>
  <c r="N31" i="4"/>
  <c r="J31" i="4"/>
  <c r="I31" i="4"/>
  <c r="C31" i="4"/>
  <c r="B31" i="4"/>
  <c r="A31" i="4"/>
  <c r="O30" i="4"/>
  <c r="G27" i="5" s="1"/>
  <c r="N30" i="4"/>
  <c r="I30" i="4"/>
  <c r="J30" i="4" s="1"/>
  <c r="C30" i="4"/>
  <c r="B30" i="4"/>
  <c r="A30" i="4"/>
  <c r="O29" i="4"/>
  <c r="G26" i="5" s="1"/>
  <c r="N29" i="4"/>
  <c r="J29" i="4"/>
  <c r="I29" i="4"/>
  <c r="C29" i="4"/>
  <c r="B29" i="4"/>
  <c r="A29" i="4"/>
  <c r="O28" i="4"/>
  <c r="N28" i="4"/>
  <c r="I28" i="4"/>
  <c r="J28" i="4" s="1"/>
  <c r="C28" i="4"/>
  <c r="B28" i="4"/>
  <c r="A28" i="4"/>
  <c r="O27" i="4"/>
  <c r="N27" i="4"/>
  <c r="I27" i="4"/>
  <c r="J27" i="4" s="1"/>
  <c r="C27" i="4"/>
  <c r="B27" i="4"/>
  <c r="A27" i="4"/>
  <c r="O26" i="4"/>
  <c r="G23" i="5" s="1"/>
  <c r="N26" i="4"/>
  <c r="I26" i="4"/>
  <c r="J26" i="4" s="1"/>
  <c r="C26" i="4"/>
  <c r="B26" i="4"/>
  <c r="A26" i="4"/>
  <c r="O25" i="4"/>
  <c r="N25" i="4"/>
  <c r="J25" i="4"/>
  <c r="I25" i="4"/>
  <c r="C25" i="4"/>
  <c r="B25" i="4"/>
  <c r="A25" i="4"/>
  <c r="O24" i="4"/>
  <c r="N24" i="4"/>
  <c r="J24" i="4"/>
  <c r="I24" i="4"/>
  <c r="C24" i="4"/>
  <c r="B24" i="4"/>
  <c r="A24" i="4"/>
  <c r="O23" i="4"/>
  <c r="G20" i="5" s="1"/>
  <c r="N23" i="4"/>
  <c r="I23" i="4"/>
  <c r="J23" i="4" s="1"/>
  <c r="C23" i="4"/>
  <c r="B23" i="4"/>
  <c r="A23" i="4"/>
  <c r="O22" i="4"/>
  <c r="G19" i="5" s="1"/>
  <c r="N22" i="4"/>
  <c r="I22" i="4"/>
  <c r="J22" i="4" s="1"/>
  <c r="C22" i="4"/>
  <c r="B22" i="4"/>
  <c r="A22" i="4"/>
  <c r="O21" i="4"/>
  <c r="G18" i="5" s="1"/>
  <c r="N21" i="4"/>
  <c r="I21" i="4"/>
  <c r="J21" i="4" s="1"/>
  <c r="C21" i="4"/>
  <c r="B21" i="4"/>
  <c r="A21" i="4"/>
  <c r="O20" i="4"/>
  <c r="N20" i="4"/>
  <c r="J20" i="4"/>
  <c r="I20" i="4"/>
  <c r="C20" i="4"/>
  <c r="B20" i="4"/>
  <c r="A20" i="4"/>
  <c r="O19" i="4"/>
  <c r="G16" i="5" s="1"/>
  <c r="N19" i="4"/>
  <c r="I19" i="4"/>
  <c r="J19" i="4" s="1"/>
  <c r="C19" i="4"/>
  <c r="B19" i="4"/>
  <c r="A19" i="4"/>
  <c r="O18" i="4"/>
  <c r="G15" i="5" s="1"/>
  <c r="N18" i="4"/>
  <c r="J18" i="4"/>
  <c r="I18" i="4"/>
  <c r="C18" i="4"/>
  <c r="B18" i="4"/>
  <c r="A18" i="4"/>
  <c r="O17" i="4"/>
  <c r="G14" i="5" s="1"/>
  <c r="I14" i="10" s="1"/>
  <c r="N17" i="4"/>
  <c r="J17" i="4"/>
  <c r="I17" i="4"/>
  <c r="C17" i="4"/>
  <c r="B17" i="4"/>
  <c r="A17" i="4"/>
  <c r="O16" i="4"/>
  <c r="G13" i="5" s="1"/>
  <c r="N16" i="4"/>
  <c r="J16" i="4"/>
  <c r="I16" i="4"/>
  <c r="C16" i="4"/>
  <c r="B16" i="4"/>
  <c r="A16" i="4"/>
  <c r="O15" i="4"/>
  <c r="N15" i="4"/>
  <c r="I15" i="4"/>
  <c r="J15" i="4" s="1"/>
  <c r="C15" i="4"/>
  <c r="B15" i="4"/>
  <c r="A15" i="4"/>
  <c r="O14" i="4"/>
  <c r="G11" i="5" s="1"/>
  <c r="N14" i="4"/>
  <c r="I14" i="4"/>
  <c r="J14" i="4" s="1"/>
  <c r="C14" i="4"/>
  <c r="B14" i="4"/>
  <c r="A14" i="4"/>
  <c r="O13" i="4"/>
  <c r="G10" i="5" s="1"/>
  <c r="N13" i="4"/>
  <c r="I13" i="4"/>
  <c r="J13" i="4" s="1"/>
  <c r="C13" i="4"/>
  <c r="B13" i="4"/>
  <c r="A13" i="4"/>
  <c r="O12" i="4"/>
  <c r="G9" i="5" s="1"/>
  <c r="N12" i="4"/>
  <c r="J12" i="4"/>
  <c r="I12" i="4"/>
  <c r="C12" i="4"/>
  <c r="B12" i="4"/>
  <c r="A12" i="4"/>
  <c r="O11" i="4"/>
  <c r="N11" i="4"/>
  <c r="I11" i="4"/>
  <c r="J11" i="4" s="1"/>
  <c r="C11" i="4"/>
  <c r="B11" i="4"/>
  <c r="A11" i="4"/>
  <c r="O10" i="4"/>
  <c r="N10" i="4"/>
  <c r="J10" i="4"/>
  <c r="I10" i="4"/>
  <c r="C10" i="4"/>
  <c r="B10" i="4"/>
  <c r="A10" i="4"/>
  <c r="O9" i="4"/>
  <c r="G6" i="5" s="1"/>
  <c r="N9" i="4"/>
  <c r="I9" i="4"/>
  <c r="J9" i="4" s="1"/>
  <c r="C9" i="4"/>
  <c r="B9" i="4"/>
  <c r="A9" i="4"/>
  <c r="O8" i="4"/>
  <c r="G5" i="5" s="1"/>
  <c r="N8" i="4"/>
  <c r="I8" i="4"/>
  <c r="J8" i="4" s="1"/>
  <c r="C8" i="4"/>
  <c r="B8" i="4"/>
  <c r="A8" i="4"/>
  <c r="O7" i="4"/>
  <c r="G4" i="5" s="1"/>
  <c r="N7" i="4"/>
  <c r="I7" i="4"/>
  <c r="J7" i="4" s="1"/>
  <c r="C7" i="4"/>
  <c r="B7" i="4"/>
  <c r="A7" i="4"/>
  <c r="O6" i="4"/>
  <c r="N6" i="4"/>
  <c r="J6" i="4"/>
  <c r="I6" i="4"/>
  <c r="C6" i="4"/>
  <c r="B6" i="4"/>
  <c r="A6" i="4"/>
  <c r="O5" i="4"/>
  <c r="G2" i="5" s="1"/>
  <c r="N5" i="4"/>
  <c r="J5" i="4"/>
  <c r="I5" i="4"/>
  <c r="C5" i="4"/>
  <c r="B5" i="4"/>
  <c r="A5" i="4"/>
  <c r="N68" i="10" l="1"/>
  <c r="L31" i="8"/>
  <c r="M21" i="10"/>
  <c r="L39" i="8"/>
  <c r="N85" i="10"/>
  <c r="M19" i="8"/>
  <c r="M20" i="8" s="1"/>
  <c r="L49" i="8"/>
  <c r="L21" i="8"/>
  <c r="L6" i="10"/>
  <c r="F6" i="11"/>
  <c r="N6" i="11" s="1"/>
  <c r="O6" i="11" s="1"/>
  <c r="F77" i="11"/>
  <c r="N77" i="11" s="1"/>
  <c r="O77" i="11" s="1"/>
  <c r="L77" i="10"/>
  <c r="C3" i="12"/>
  <c r="B10" i="17"/>
  <c r="N24" i="10"/>
  <c r="J105" i="11"/>
  <c r="I105" i="11"/>
  <c r="J28" i="11"/>
  <c r="I28" i="11"/>
  <c r="L37" i="8"/>
  <c r="L19" i="8"/>
  <c r="L45" i="8"/>
  <c r="I7" i="10"/>
  <c r="N104" i="10"/>
  <c r="J2" i="11"/>
  <c r="I2" i="11"/>
  <c r="L27" i="8"/>
  <c r="L53" i="8"/>
  <c r="L28" i="10"/>
  <c r="F28" i="11"/>
  <c r="N28" i="11" s="1"/>
  <c r="O28" i="11" s="1"/>
  <c r="N67" i="10"/>
  <c r="N13" i="10"/>
  <c r="N51" i="10"/>
  <c r="I4" i="10"/>
  <c r="L35" i="8"/>
  <c r="L43" i="8"/>
  <c r="L25" i="8"/>
  <c r="I76" i="10"/>
  <c r="I42" i="10"/>
  <c r="B134" i="11"/>
  <c r="I134" i="10"/>
  <c r="J58" i="11"/>
  <c r="I58" i="11"/>
  <c r="H11" i="9"/>
  <c r="H66" i="9"/>
  <c r="G9" i="13"/>
  <c r="H9" i="13" s="1"/>
  <c r="I9" i="13" s="1"/>
  <c r="M9" i="13" s="1"/>
  <c r="N40" i="10"/>
  <c r="K83" i="10"/>
  <c r="I131" i="10"/>
  <c r="E20" i="11"/>
  <c r="I24" i="11"/>
  <c r="J24" i="11"/>
  <c r="J35" i="11"/>
  <c r="I35" i="11"/>
  <c r="J53" i="11"/>
  <c r="I53" i="11"/>
  <c r="J85" i="11"/>
  <c r="I85" i="11"/>
  <c r="G3" i="14"/>
  <c r="H3" i="14" s="1"/>
  <c r="I3" i="14" s="1"/>
  <c r="B114" i="11"/>
  <c r="I114" i="10"/>
  <c r="I31" i="10"/>
  <c r="B98" i="11"/>
  <c r="I98" i="10"/>
  <c r="H34" i="9"/>
  <c r="H37" i="9"/>
  <c r="H40" i="9"/>
  <c r="E37" i="11"/>
  <c r="H60" i="9"/>
  <c r="C17" i="19"/>
  <c r="L14" i="10"/>
  <c r="M14" i="10" s="1"/>
  <c r="N14" i="10" s="1"/>
  <c r="I23" i="10"/>
  <c r="I27" i="10"/>
  <c r="I68" i="10"/>
  <c r="I70" i="10"/>
  <c r="N108" i="10"/>
  <c r="I110" i="10"/>
  <c r="J48" i="11"/>
  <c r="J63" i="11"/>
  <c r="I63" i="11"/>
  <c r="I33" i="10"/>
  <c r="E9" i="16"/>
  <c r="D9" i="16"/>
  <c r="C9" i="16"/>
  <c r="H20" i="9"/>
  <c r="E23" i="11"/>
  <c r="K23" i="10"/>
  <c r="H86" i="9"/>
  <c r="E132" i="11"/>
  <c r="K132" i="10"/>
  <c r="H135" i="9"/>
  <c r="I6" i="10"/>
  <c r="K12" i="10"/>
  <c r="I55" i="10"/>
  <c r="K57" i="10"/>
  <c r="B77" i="11"/>
  <c r="I77" i="10"/>
  <c r="B96" i="11"/>
  <c r="I96" i="10"/>
  <c r="I102" i="10"/>
  <c r="I106" i="10"/>
  <c r="N116" i="10"/>
  <c r="I118" i="10"/>
  <c r="J6" i="11"/>
  <c r="I6" i="11"/>
  <c r="N110" i="11"/>
  <c r="O110" i="11" s="1"/>
  <c r="H23" i="9"/>
  <c r="H26" i="9"/>
  <c r="E26" i="11"/>
  <c r="K26" i="10"/>
  <c r="H29" i="9"/>
  <c r="E43" i="11"/>
  <c r="H46" i="9"/>
  <c r="F67" i="11"/>
  <c r="N67" i="11" s="1"/>
  <c r="O67" i="11" s="1"/>
  <c r="L67" i="10"/>
  <c r="H83" i="9"/>
  <c r="I10" i="10"/>
  <c r="I21" i="10"/>
  <c r="B62" i="11"/>
  <c r="I62" i="10"/>
  <c r="B84" i="11"/>
  <c r="I84" i="10"/>
  <c r="I100" i="10"/>
  <c r="B121" i="11"/>
  <c r="I121" i="10"/>
  <c r="J40" i="11"/>
  <c r="I40" i="11"/>
  <c r="I76" i="11"/>
  <c r="J76" i="11"/>
  <c r="I100" i="11"/>
  <c r="L5" i="10"/>
  <c r="M5" i="10" s="1"/>
  <c r="N5" i="10" s="1"/>
  <c r="F5" i="11"/>
  <c r="N5" i="11" s="1"/>
  <c r="O5" i="11" s="1"/>
  <c r="I90" i="10"/>
  <c r="B4" i="11"/>
  <c r="I32" i="11"/>
  <c r="J32" i="11"/>
  <c r="E77" i="11"/>
  <c r="K77" i="10"/>
  <c r="M77" i="10" s="1"/>
  <c r="L25" i="10"/>
  <c r="M25" i="10" s="1"/>
  <c r="N25" i="10" s="1"/>
  <c r="I21" i="11"/>
  <c r="J21" i="11"/>
  <c r="E74" i="11"/>
  <c r="H77" i="9"/>
  <c r="H132" i="9"/>
  <c r="I2" i="10"/>
  <c r="I45" i="10"/>
  <c r="N47" i="10"/>
  <c r="I49" i="10"/>
  <c r="I60" i="10"/>
  <c r="I86" i="10"/>
  <c r="I94" i="10"/>
  <c r="K127" i="10"/>
  <c r="I135" i="10"/>
  <c r="B135" i="11"/>
  <c r="J17" i="11"/>
  <c r="E21" i="11"/>
  <c r="J45" i="11"/>
  <c r="I45" i="11"/>
  <c r="I87" i="11"/>
  <c r="J87" i="11"/>
  <c r="J93" i="11"/>
  <c r="I93" i="11"/>
  <c r="H12" i="9"/>
  <c r="H15" i="9"/>
  <c r="E15" i="11"/>
  <c r="H18" i="9"/>
  <c r="E32" i="11"/>
  <c r="K32" i="10"/>
  <c r="H35" i="9"/>
  <c r="F49" i="11"/>
  <c r="N49" i="11" s="1"/>
  <c r="O49" i="11" s="1"/>
  <c r="L49" i="10"/>
  <c r="M49" i="10" s="1"/>
  <c r="N49" i="10" s="1"/>
  <c r="H64" i="9"/>
  <c r="K17" i="10"/>
  <c r="B28" i="11"/>
  <c r="I28" i="10"/>
  <c r="K34" i="10"/>
  <c r="I64" i="10"/>
  <c r="N77" i="10"/>
  <c r="J7" i="11"/>
  <c r="I25" i="11"/>
  <c r="G2" i="13"/>
  <c r="H2" i="13" s="1"/>
  <c r="I2" i="13" s="1"/>
  <c r="D4" i="17" s="1"/>
  <c r="D5" i="17" s="1"/>
  <c r="D22" i="19" s="1"/>
  <c r="G11" i="14"/>
  <c r="H11" i="14" s="1"/>
  <c r="I11" i="14" s="1"/>
  <c r="L45" i="10"/>
  <c r="F45" i="11"/>
  <c r="N45" i="11" s="1"/>
  <c r="O45" i="11" s="1"/>
  <c r="I8" i="10"/>
  <c r="B8" i="11"/>
  <c r="D16" i="19" s="1"/>
  <c r="N21" i="10"/>
  <c r="N38" i="10"/>
  <c r="I53" i="10"/>
  <c r="J110" i="11"/>
  <c r="L79" i="10"/>
  <c r="H61" i="9"/>
  <c r="E71" i="11"/>
  <c r="K71" i="10"/>
  <c r="I73" i="10"/>
  <c r="L86" i="10"/>
  <c r="M86" i="10" s="1"/>
  <c r="N86" i="10" s="1"/>
  <c r="F41" i="11"/>
  <c r="N41" i="11" s="1"/>
  <c r="O41" i="11" s="1"/>
  <c r="E11" i="11"/>
  <c r="H14" i="9"/>
  <c r="E48" i="11"/>
  <c r="K48" i="10"/>
  <c r="H51" i="9"/>
  <c r="K8" i="10"/>
  <c r="B30" i="11"/>
  <c r="I30" i="10"/>
  <c r="F52" i="11"/>
  <c r="N52" i="11" s="1"/>
  <c r="O52" i="11" s="1"/>
  <c r="L52" i="10"/>
  <c r="F55" i="11"/>
  <c r="N55" i="11" s="1"/>
  <c r="O55" i="11" s="1"/>
  <c r="L55" i="10"/>
  <c r="M55" i="10" s="1"/>
  <c r="N55" i="10" s="1"/>
  <c r="E81" i="11"/>
  <c r="H84" i="9"/>
  <c r="F84" i="11"/>
  <c r="N84" i="11" s="1"/>
  <c r="O84" i="11" s="1"/>
  <c r="L84" i="10"/>
  <c r="B22" i="11"/>
  <c r="I22" i="10"/>
  <c r="I32" i="10"/>
  <c r="I43" i="10"/>
  <c r="L62" i="10"/>
  <c r="L64" i="10"/>
  <c r="M64" i="10" s="1"/>
  <c r="N64" i="10" s="1"/>
  <c r="I75" i="10"/>
  <c r="B103" i="11"/>
  <c r="I103" i="10"/>
  <c r="J29" i="11"/>
  <c r="I29" i="11"/>
  <c r="J41" i="11"/>
  <c r="I41" i="11"/>
  <c r="E4" i="11"/>
  <c r="K4" i="10"/>
  <c r="H7" i="9"/>
  <c r="F21" i="11"/>
  <c r="N21" i="11" s="1"/>
  <c r="O21" i="11" s="1"/>
  <c r="L21" i="10"/>
  <c r="H74" i="9"/>
  <c r="F133" i="11"/>
  <c r="N133" i="11" s="1"/>
  <c r="O133" i="11" s="1"/>
  <c r="L133" i="10"/>
  <c r="K30" i="10"/>
  <c r="K41" i="10"/>
  <c r="M41" i="10" s="1"/>
  <c r="N41" i="10" s="1"/>
  <c r="K43" i="10"/>
  <c r="B52" i="11"/>
  <c r="I52" i="10"/>
  <c r="J14" i="11"/>
  <c r="I14" i="11"/>
  <c r="J122" i="11"/>
  <c r="I122" i="11"/>
  <c r="E28" i="11"/>
  <c r="K28" i="10"/>
  <c r="M28" i="10" s="1"/>
  <c r="N28" i="10" s="1"/>
  <c r="L42" i="10"/>
  <c r="M42" i="10" s="1"/>
  <c r="N42" i="10" s="1"/>
  <c r="J3" i="11"/>
  <c r="I3" i="11"/>
  <c r="K6" i="10"/>
  <c r="E6" i="11"/>
  <c r="I36" i="10"/>
  <c r="I51" i="10"/>
  <c r="I47" i="10"/>
  <c r="E44" i="11"/>
  <c r="K44" i="10"/>
  <c r="H47" i="9"/>
  <c r="E130" i="11"/>
  <c r="K130" i="10"/>
  <c r="M13" i="10"/>
  <c r="K15" i="10"/>
  <c r="I24" i="10"/>
  <c r="I39" i="10"/>
  <c r="M75" i="10"/>
  <c r="N75" i="10" s="1"/>
  <c r="B89" i="11"/>
  <c r="I89" i="10"/>
  <c r="I97" i="10"/>
  <c r="B97" i="11"/>
  <c r="N119" i="10"/>
  <c r="J22" i="11"/>
  <c r="I22" i="11"/>
  <c r="I46" i="11"/>
  <c r="J46" i="11"/>
  <c r="J56" i="11"/>
  <c r="I56" i="11"/>
  <c r="J78" i="11"/>
  <c r="I78" i="11"/>
  <c r="J115" i="11"/>
  <c r="I115" i="11"/>
  <c r="G10" i="13"/>
  <c r="H10" i="13" s="1"/>
  <c r="I10" i="13" s="1"/>
  <c r="M10" i="13" s="1"/>
  <c r="I129" i="10"/>
  <c r="K2" i="14"/>
  <c r="J2" i="14"/>
  <c r="L2" i="14" s="1"/>
  <c r="K6" i="14"/>
  <c r="K5" i="13"/>
  <c r="K11" i="13"/>
  <c r="J3" i="14"/>
  <c r="L3" i="14" s="1"/>
  <c r="K9" i="14"/>
  <c r="K8" i="13"/>
  <c r="K7" i="14"/>
  <c r="J4" i="14"/>
  <c r="K3" i="13"/>
  <c r="J11" i="13"/>
  <c r="J3" i="13"/>
  <c r="L3" i="13" s="1"/>
  <c r="J9" i="14"/>
  <c r="J8" i="13"/>
  <c r="J6" i="14"/>
  <c r="L6" i="14" s="1"/>
  <c r="J5" i="13"/>
  <c r="K3" i="14"/>
  <c r="K11" i="14"/>
  <c r="K10" i="13"/>
  <c r="J11" i="14"/>
  <c r="L11" i="14" s="1"/>
  <c r="J10" i="13"/>
  <c r="L10" i="13" s="1"/>
  <c r="K2" i="13"/>
  <c r="K4" i="13"/>
  <c r="L4" i="13" s="1"/>
  <c r="K10" i="14"/>
  <c r="K7" i="13"/>
  <c r="J10" i="14"/>
  <c r="L10" i="14" s="1"/>
  <c r="J7" i="13"/>
  <c r="L7" i="13" s="1"/>
  <c r="K5" i="14"/>
  <c r="J5" i="14"/>
  <c r="J2" i="13"/>
  <c r="K8" i="14"/>
  <c r="K6" i="13"/>
  <c r="J8" i="14"/>
  <c r="L8" i="14" s="1"/>
  <c r="J6" i="13"/>
  <c r="L6" i="13" s="1"/>
  <c r="K4" i="14"/>
  <c r="K9" i="13"/>
  <c r="J9" i="13"/>
  <c r="L9" i="13" s="1"/>
  <c r="K10" i="10"/>
  <c r="H13" i="9"/>
  <c r="E10" i="11"/>
  <c r="L27" i="10"/>
  <c r="M27" i="10" s="1"/>
  <c r="N27" i="10" s="1"/>
  <c r="F27" i="11"/>
  <c r="N27" i="11" s="1"/>
  <c r="O27" i="11" s="1"/>
  <c r="H68" i="9"/>
  <c r="H133" i="9"/>
  <c r="K56" i="10"/>
  <c r="N103" i="10"/>
  <c r="N107" i="10"/>
  <c r="I111" i="10"/>
  <c r="I117" i="10"/>
  <c r="I130" i="10"/>
  <c r="I50" i="10"/>
  <c r="B50" i="11"/>
  <c r="H36" i="9"/>
  <c r="E33" i="11"/>
  <c r="F75" i="11"/>
  <c r="N75" i="11" s="1"/>
  <c r="O75" i="11" s="1"/>
  <c r="L75" i="10"/>
  <c r="H130" i="9"/>
  <c r="I11" i="10"/>
  <c r="B44" i="11"/>
  <c r="I44" i="10"/>
  <c r="I54" i="10"/>
  <c r="K58" i="10"/>
  <c r="I67" i="10"/>
  <c r="I80" i="10"/>
  <c r="I101" i="10"/>
  <c r="N117" i="10"/>
  <c r="J11" i="11"/>
  <c r="J42" i="11"/>
  <c r="I42" i="11"/>
  <c r="I51" i="11"/>
  <c r="I25" i="10"/>
  <c r="B18" i="11"/>
  <c r="I18" i="10"/>
  <c r="I26" i="10"/>
  <c r="I35" i="10"/>
  <c r="I58" i="10"/>
  <c r="I71" i="10"/>
  <c r="J83" i="11"/>
  <c r="I83" i="11"/>
  <c r="N98" i="11"/>
  <c r="O98" i="11" s="1"/>
  <c r="H98" i="11"/>
  <c r="H33" i="9"/>
  <c r="F50" i="11"/>
  <c r="N50" i="11" s="1"/>
  <c r="O50" i="11" s="1"/>
  <c r="L50" i="10"/>
  <c r="M50" i="10" s="1"/>
  <c r="N50" i="10" s="1"/>
  <c r="H62" i="9"/>
  <c r="E72" i="11"/>
  <c r="K72" i="10"/>
  <c r="I9" i="10"/>
  <c r="K11" i="10"/>
  <c r="I20" i="10"/>
  <c r="K52" i="10"/>
  <c r="M52" i="10" s="1"/>
  <c r="N52" i="10" s="1"/>
  <c r="I61" i="10"/>
  <c r="B61" i="11"/>
  <c r="I83" i="10"/>
  <c r="I128" i="10"/>
  <c r="I133" i="10"/>
  <c r="I30" i="11"/>
  <c r="J7" i="14"/>
  <c r="K63" i="10"/>
  <c r="K73" i="10"/>
  <c r="E73" i="11"/>
  <c r="H76" i="9"/>
  <c r="J27" i="11"/>
  <c r="J75" i="11"/>
  <c r="I75" i="11"/>
  <c r="F78" i="11"/>
  <c r="N78" i="11" s="1"/>
  <c r="O78" i="11" s="1"/>
  <c r="L78" i="10"/>
  <c r="M78" i="10" s="1"/>
  <c r="N78" i="10" s="1"/>
  <c r="F56" i="11"/>
  <c r="N56" i="11" s="1"/>
  <c r="O56" i="11" s="1"/>
  <c r="L56" i="10"/>
  <c r="E69" i="11"/>
  <c r="K69" i="10"/>
  <c r="K37" i="10"/>
  <c r="N93" i="10"/>
  <c r="B120" i="11"/>
  <c r="I124" i="10"/>
  <c r="J73" i="11"/>
  <c r="I73" i="11"/>
  <c r="K22" i="10"/>
  <c r="H25" i="9"/>
  <c r="H56" i="9"/>
  <c r="H75" i="9"/>
  <c r="E79" i="11"/>
  <c r="K79" i="10"/>
  <c r="M79" i="10" s="1"/>
  <c r="N79" i="10" s="1"/>
  <c r="I3" i="10"/>
  <c r="L7" i="10"/>
  <c r="M7" i="10" s="1"/>
  <c r="N7" i="10" s="1"/>
  <c r="K9" i="10"/>
  <c r="L18" i="10"/>
  <c r="I40" i="10"/>
  <c r="B40" i="11"/>
  <c r="I48" i="10"/>
  <c r="I65" i="10"/>
  <c r="I72" i="10"/>
  <c r="B72" i="11"/>
  <c r="I93" i="10"/>
  <c r="J19" i="11"/>
  <c r="I19" i="11"/>
  <c r="I46" i="10"/>
  <c r="K80" i="10"/>
  <c r="G101" i="5"/>
  <c r="G120" i="5"/>
  <c r="I120" i="10" s="1"/>
  <c r="I92" i="10"/>
  <c r="I85" i="10"/>
  <c r="I63" i="10"/>
  <c r="I41" i="10"/>
  <c r="I19" i="10"/>
  <c r="I81" i="10"/>
  <c r="I59" i="10"/>
  <c r="I37" i="10"/>
  <c r="I15" i="10"/>
  <c r="I116" i="10"/>
  <c r="I109" i="10"/>
  <c r="I107" i="10"/>
  <c r="I69" i="10"/>
  <c r="I112" i="10"/>
  <c r="H22" i="9"/>
  <c r="K45" i="10"/>
  <c r="E45" i="11"/>
  <c r="K66" i="10"/>
  <c r="H69" i="9"/>
  <c r="H72" i="9"/>
  <c r="H134" i="9"/>
  <c r="E131" i="11"/>
  <c r="I5" i="10"/>
  <c r="K65" i="10"/>
  <c r="K85" i="10"/>
  <c r="M85" i="10" s="1"/>
  <c r="J38" i="11"/>
  <c r="J68" i="11"/>
  <c r="I68" i="11"/>
  <c r="G5" i="13"/>
  <c r="H5" i="13" s="1"/>
  <c r="I5" i="13" s="1"/>
  <c r="J47" i="11"/>
  <c r="I47" i="11"/>
  <c r="N115" i="11"/>
  <c r="O115" i="11" s="1"/>
  <c r="E2" i="12"/>
  <c r="D12" i="15"/>
  <c r="C12" i="15"/>
  <c r="E12" i="15" s="1"/>
  <c r="E15" i="16"/>
  <c r="D15" i="16"/>
  <c r="F15" i="16" s="1"/>
  <c r="C15" i="16"/>
  <c r="J55" i="11"/>
  <c r="I55" i="11"/>
  <c r="N93" i="11"/>
  <c r="O93" i="11" s="1"/>
  <c r="I95" i="11"/>
  <c r="G8" i="14"/>
  <c r="H8" i="14" s="1"/>
  <c r="I8" i="14" s="1"/>
  <c r="M8" i="14" s="1"/>
  <c r="I16" i="10"/>
  <c r="I38" i="10"/>
  <c r="K70" i="10"/>
  <c r="M70" i="10" s="1"/>
  <c r="N70" i="10" s="1"/>
  <c r="I82" i="10"/>
  <c r="I119" i="10"/>
  <c r="I132" i="10"/>
  <c r="I20" i="11"/>
  <c r="J72" i="11"/>
  <c r="I72" i="11"/>
  <c r="J120" i="11"/>
  <c r="E23" i="16"/>
  <c r="D23" i="16"/>
  <c r="F23" i="16" s="1"/>
  <c r="B91" i="11"/>
  <c r="I91" i="10"/>
  <c r="J89" i="11"/>
  <c r="I89" i="11"/>
  <c r="N111" i="11"/>
  <c r="O111" i="11" s="1"/>
  <c r="J128" i="11"/>
  <c r="I128" i="11"/>
  <c r="D29" i="16"/>
  <c r="E29" i="16"/>
  <c r="E37" i="16"/>
  <c r="D37" i="16"/>
  <c r="C37" i="16"/>
  <c r="K134" i="10"/>
  <c r="E134" i="11"/>
  <c r="K16" i="10"/>
  <c r="M16" i="10" s="1"/>
  <c r="N16" i="10" s="1"/>
  <c r="K38" i="10"/>
  <c r="M38" i="10" s="1"/>
  <c r="K60" i="10"/>
  <c r="M60" i="10" s="1"/>
  <c r="N60" i="10" s="1"/>
  <c r="K82" i="10"/>
  <c r="M82" i="10" s="1"/>
  <c r="N82" i="10" s="1"/>
  <c r="B127" i="11"/>
  <c r="I127" i="10"/>
  <c r="J8" i="11"/>
  <c r="I8" i="11"/>
  <c r="J16" i="11"/>
  <c r="I16" i="11"/>
  <c r="J50" i="11"/>
  <c r="I50" i="11"/>
  <c r="I64" i="11"/>
  <c r="J111" i="11"/>
  <c r="I118" i="11"/>
  <c r="D10" i="16"/>
  <c r="C10" i="16"/>
  <c r="E10" i="16"/>
  <c r="C29" i="16"/>
  <c r="B27" i="19"/>
  <c r="C8" i="19"/>
  <c r="E40" i="11"/>
  <c r="E50" i="11"/>
  <c r="J67" i="11"/>
  <c r="I67" i="11"/>
  <c r="N89" i="11"/>
  <c r="O89" i="11" s="1"/>
  <c r="I134" i="11"/>
  <c r="H57" i="9"/>
  <c r="H79" i="9"/>
  <c r="H137" i="9"/>
  <c r="I123" i="10"/>
  <c r="J10" i="11"/>
  <c r="I12" i="11"/>
  <c r="I33" i="11"/>
  <c r="J84" i="11"/>
  <c r="I84" i="11"/>
  <c r="I106" i="11"/>
  <c r="G5" i="14"/>
  <c r="H5" i="14" s="1"/>
  <c r="I5" i="14" s="1"/>
  <c r="I13" i="10"/>
  <c r="I57" i="10"/>
  <c r="K67" i="10"/>
  <c r="M67" i="10" s="1"/>
  <c r="I79" i="10"/>
  <c r="I105" i="10"/>
  <c r="I125" i="10"/>
  <c r="I96" i="11"/>
  <c r="J121" i="11"/>
  <c r="I121" i="11"/>
  <c r="C24" i="16"/>
  <c r="C52" i="16"/>
  <c r="E52" i="16"/>
  <c r="D52" i="16"/>
  <c r="F52" i="16" s="1"/>
  <c r="K18" i="10"/>
  <c r="K62" i="10"/>
  <c r="I74" i="10"/>
  <c r="K84" i="10"/>
  <c r="M84" i="10" s="1"/>
  <c r="N84" i="10" s="1"/>
  <c r="N91" i="10"/>
  <c r="M123" i="10"/>
  <c r="N123" i="10" s="1"/>
  <c r="P2" i="11"/>
  <c r="E76" i="11"/>
  <c r="N106" i="11"/>
  <c r="O106" i="11" s="1"/>
  <c r="I109" i="11"/>
  <c r="J109" i="11"/>
  <c r="J126" i="11"/>
  <c r="I126" i="11"/>
  <c r="D5" i="15"/>
  <c r="E5" i="15" s="1"/>
  <c r="G7" i="16"/>
  <c r="G8" i="16" s="1"/>
  <c r="E24" i="16"/>
  <c r="F24" i="16" s="1"/>
  <c r="I88" i="10"/>
  <c r="B88" i="11"/>
  <c r="D18" i="19" s="1"/>
  <c r="J79" i="11"/>
  <c r="I79" i="11"/>
  <c r="J94" i="11"/>
  <c r="I94" i="11"/>
  <c r="J99" i="11"/>
  <c r="I99" i="11"/>
  <c r="J104" i="11"/>
  <c r="I104" i="11"/>
  <c r="G7" i="13"/>
  <c r="H7" i="13" s="1"/>
  <c r="I7" i="13" s="1"/>
  <c r="G11" i="13"/>
  <c r="H11" i="13" s="1"/>
  <c r="I11" i="13" s="1"/>
  <c r="N109" i="11"/>
  <c r="O109" i="11" s="1"/>
  <c r="G3" i="13"/>
  <c r="H3" i="13" s="1"/>
  <c r="I3" i="13" s="1"/>
  <c r="M3" i="13" s="1"/>
  <c r="C18" i="16"/>
  <c r="D32" i="16"/>
  <c r="C32" i="16"/>
  <c r="E32" i="16"/>
  <c r="D53" i="16"/>
  <c r="F53" i="16" s="1"/>
  <c r="G10" i="14"/>
  <c r="H10" i="14" s="1"/>
  <c r="I10" i="14" s="1"/>
  <c r="M10" i="14" s="1"/>
  <c r="G7" i="14"/>
  <c r="H7" i="14" s="1"/>
  <c r="I7" i="14" s="1"/>
  <c r="G6" i="13"/>
  <c r="H6" i="13" s="1"/>
  <c r="I6" i="13" s="1"/>
  <c r="M6" i="13" s="1"/>
  <c r="G4" i="14"/>
  <c r="H4" i="14" s="1"/>
  <c r="I4" i="14" s="1"/>
  <c r="A2" i="11"/>
  <c r="J62" i="11"/>
  <c r="I62" i="11"/>
  <c r="N99" i="11"/>
  <c r="O99" i="11" s="1"/>
  <c r="E18" i="16"/>
  <c r="F18" i="16" s="1"/>
  <c r="N87" i="11"/>
  <c r="O87" i="11" s="1"/>
  <c r="J112" i="11"/>
  <c r="I112" i="11"/>
  <c r="I65" i="11"/>
  <c r="J65" i="11"/>
  <c r="N90" i="11"/>
  <c r="O90" i="11" s="1"/>
  <c r="G4" i="13"/>
  <c r="H4" i="13" s="1"/>
  <c r="I4" i="13" s="1"/>
  <c r="G2" i="14"/>
  <c r="H2" i="14" s="1"/>
  <c r="I2" i="14" s="1"/>
  <c r="E4" i="17" s="1"/>
  <c r="E5" i="17" s="1"/>
  <c r="E22" i="19" s="1"/>
  <c r="E7" i="15"/>
  <c r="I122" i="10"/>
  <c r="K54" i="10"/>
  <c r="I66" i="10"/>
  <c r="I115" i="10"/>
  <c r="I126" i="10"/>
  <c r="K133" i="10"/>
  <c r="M133" i="10" s="1"/>
  <c r="N133" i="10" s="1"/>
  <c r="E7" i="11"/>
  <c r="J54" i="11"/>
  <c r="J57" i="11"/>
  <c r="I57" i="11"/>
  <c r="J82" i="11"/>
  <c r="I82" i="11"/>
  <c r="N94" i="11"/>
  <c r="O94" i="11" s="1"/>
  <c r="J107" i="11"/>
  <c r="I107" i="11"/>
  <c r="N122" i="11"/>
  <c r="O122" i="11" s="1"/>
  <c r="G6" i="14"/>
  <c r="H6" i="14" s="1"/>
  <c r="I6" i="14" s="1"/>
  <c r="M6" i="14" s="1"/>
  <c r="J34" i="11"/>
  <c r="I34" i="11"/>
  <c r="J97" i="11"/>
  <c r="I97" i="11"/>
  <c r="J102" i="11"/>
  <c r="I102" i="11"/>
  <c r="F40" i="16"/>
  <c r="I12" i="10"/>
  <c r="I34" i="10"/>
  <c r="I56" i="10"/>
  <c r="I78" i="10"/>
  <c r="I104" i="10"/>
  <c r="B108" i="11"/>
  <c r="I108" i="10"/>
  <c r="I113" i="10"/>
  <c r="J74" i="11"/>
  <c r="J124" i="11"/>
  <c r="I124" i="11"/>
  <c r="E34" i="16"/>
  <c r="D34" i="16"/>
  <c r="F34" i="16" s="1"/>
  <c r="J39" i="11"/>
  <c r="I39" i="11"/>
  <c r="J77" i="11"/>
  <c r="I77" i="11"/>
  <c r="N100" i="11"/>
  <c r="O100" i="11" s="1"/>
  <c r="B115" i="11"/>
  <c r="N117" i="11"/>
  <c r="O117" i="11" s="1"/>
  <c r="H117" i="11"/>
  <c r="C34" i="16"/>
  <c r="K29" i="10"/>
  <c r="M29" i="10" s="1"/>
  <c r="N29" i="10" s="1"/>
  <c r="K51" i="10"/>
  <c r="M51" i="10" s="1"/>
  <c r="I99" i="10"/>
  <c r="M124" i="10"/>
  <c r="N124" i="10" s="1"/>
  <c r="J52" i="11"/>
  <c r="I52" i="11"/>
  <c r="J60" i="11"/>
  <c r="I60" i="11"/>
  <c r="N95" i="11"/>
  <c r="O95" i="11" s="1"/>
  <c r="N105" i="11"/>
  <c r="O105" i="11" s="1"/>
  <c r="F8" i="16"/>
  <c r="F14" i="16"/>
  <c r="D42" i="16"/>
  <c r="F42" i="16" s="1"/>
  <c r="C42" i="16"/>
  <c r="G8" i="13"/>
  <c r="H8" i="13" s="1"/>
  <c r="I8" i="13" s="1"/>
  <c r="G9" i="14"/>
  <c r="H9" i="14" s="1"/>
  <c r="I9" i="14" s="1"/>
  <c r="C20" i="16"/>
  <c r="N126" i="11"/>
  <c r="O126" i="11" s="1"/>
  <c r="F20" i="16"/>
  <c r="E45" i="16"/>
  <c r="D45" i="16"/>
  <c r="F45" i="16" s="1"/>
  <c r="C35" i="16"/>
  <c r="C45" i="16"/>
  <c r="J119" i="11"/>
  <c r="C2" i="15"/>
  <c r="D9" i="15"/>
  <c r="C9" i="15"/>
  <c r="E9" i="15" s="1"/>
  <c r="D30" i="16"/>
  <c r="F30" i="16" s="1"/>
  <c r="E35" i="16"/>
  <c r="F35" i="16" s="1"/>
  <c r="C40" i="16"/>
  <c r="N104" i="11"/>
  <c r="O104" i="11" s="1"/>
  <c r="D21" i="16"/>
  <c r="C21" i="16"/>
  <c r="E30" i="16"/>
  <c r="E40" i="16"/>
  <c r="E56" i="16"/>
  <c r="D56" i="16"/>
  <c r="F56" i="16" s="1"/>
  <c r="E21" i="16"/>
  <c r="C26" i="16"/>
  <c r="C56" i="16"/>
  <c r="E10" i="15"/>
  <c r="I132" i="11"/>
  <c r="D2" i="12"/>
  <c r="F2" i="12" s="1"/>
  <c r="E3" i="15"/>
  <c r="E12" i="16"/>
  <c r="D12" i="16"/>
  <c r="F36" i="16"/>
  <c r="E46" i="16"/>
  <c r="F46" i="16" s="1"/>
  <c r="E51" i="16"/>
  <c r="F51" i="16" s="1"/>
  <c r="F41" i="16"/>
  <c r="F57" i="16"/>
  <c r="C13" i="16"/>
  <c r="C43" i="16"/>
  <c r="C54" i="16"/>
  <c r="D43" i="16"/>
  <c r="F43" i="16" s="1"/>
  <c r="D54" i="16"/>
  <c r="F54" i="16" s="1"/>
  <c r="C4" i="17" l="1"/>
  <c r="F3" i="12"/>
  <c r="F15" i="11"/>
  <c r="N15" i="11" s="1"/>
  <c r="O15" i="11" s="1"/>
  <c r="L15" i="10"/>
  <c r="M15" i="10" s="1"/>
  <c r="N15" i="10" s="1"/>
  <c r="F26" i="11"/>
  <c r="N26" i="11" s="1"/>
  <c r="O26" i="11" s="1"/>
  <c r="L26" i="10"/>
  <c r="E16" i="19"/>
  <c r="M21" i="8"/>
  <c r="M22" i="8" s="1"/>
  <c r="M23" i="8" s="1"/>
  <c r="M24" i="8" s="1"/>
  <c r="M25" i="8" s="1"/>
  <c r="M26" i="8" s="1"/>
  <c r="M27" i="8" s="1"/>
  <c r="M28" i="8" s="1"/>
  <c r="M29" i="8" s="1"/>
  <c r="M30" i="8" s="1"/>
  <c r="M31" i="8" s="1"/>
  <c r="M32" i="8" s="1"/>
  <c r="M33" i="8" s="1"/>
  <c r="M34" i="8" s="1"/>
  <c r="M35" i="8" s="1"/>
  <c r="M36" i="8" s="1"/>
  <c r="M37" i="8" s="1"/>
  <c r="M38" i="8" s="1"/>
  <c r="M39" i="8" s="1"/>
  <c r="M40" i="8" s="1"/>
  <c r="M41" i="8" s="1"/>
  <c r="M42" i="8" s="1"/>
  <c r="M43" i="8" s="1"/>
  <c r="M44" i="8" s="1"/>
  <c r="M45" i="8" s="1"/>
  <c r="M46" i="8" s="1"/>
  <c r="M47" i="8" s="1"/>
  <c r="M48" i="8" s="1"/>
  <c r="M49" i="8" s="1"/>
  <c r="M50" i="8" s="1"/>
  <c r="M51" i="8" s="1"/>
  <c r="M52" i="8" s="1"/>
  <c r="M53" i="8" s="1"/>
  <c r="F12" i="16"/>
  <c r="C14" i="15"/>
  <c r="E2" i="15"/>
  <c r="E14" i="15" s="1"/>
  <c r="M56" i="10"/>
  <c r="N56" i="10" s="1"/>
  <c r="M26" i="10"/>
  <c r="N26" i="10" s="1"/>
  <c r="L83" i="10"/>
  <c r="M83" i="10" s="1"/>
  <c r="N83" i="10" s="1"/>
  <c r="F83" i="11"/>
  <c r="N83" i="11" s="1"/>
  <c r="O83" i="11" s="1"/>
  <c r="C16" i="19"/>
  <c r="F9" i="11"/>
  <c r="N9" i="11" s="1"/>
  <c r="O9" i="11" s="1"/>
  <c r="L9" i="10"/>
  <c r="M9" i="10" s="1"/>
  <c r="N9" i="10" s="1"/>
  <c r="L23" i="10"/>
  <c r="M23" i="10" s="1"/>
  <c r="N23" i="10" s="1"/>
  <c r="F23" i="11"/>
  <c r="N23" i="11" s="1"/>
  <c r="O23" i="11" s="1"/>
  <c r="M134" i="10"/>
  <c r="N134" i="10" s="1"/>
  <c r="F72" i="11"/>
  <c r="N72" i="11" s="1"/>
  <c r="O72" i="11" s="1"/>
  <c r="L72" i="10"/>
  <c r="D14" i="15"/>
  <c r="M11" i="14"/>
  <c r="L20" i="10"/>
  <c r="M20" i="10" s="1"/>
  <c r="N20" i="10" s="1"/>
  <c r="F20" i="11"/>
  <c r="N20" i="11" s="1"/>
  <c r="O20" i="11" s="1"/>
  <c r="F17" i="11"/>
  <c r="N17" i="11" s="1"/>
  <c r="O17" i="11" s="1"/>
  <c r="L17" i="10"/>
  <c r="E17" i="19"/>
  <c r="C18" i="19"/>
  <c r="M8" i="10"/>
  <c r="N8" i="10" s="1"/>
  <c r="M11" i="10"/>
  <c r="N11" i="10" s="1"/>
  <c r="L12" i="10"/>
  <c r="M12" i="10" s="1"/>
  <c r="N12" i="10" s="1"/>
  <c r="F12" i="11"/>
  <c r="N12" i="11" s="1"/>
  <c r="O12" i="11" s="1"/>
  <c r="F65" i="11"/>
  <c r="N65" i="11" s="1"/>
  <c r="O65" i="11" s="1"/>
  <c r="L65" i="10"/>
  <c r="M65" i="10" s="1"/>
  <c r="N65" i="10" s="1"/>
  <c r="F74" i="11"/>
  <c r="N74" i="11" s="1"/>
  <c r="O74" i="11" s="1"/>
  <c r="L74" i="10"/>
  <c r="M74" i="10" s="1"/>
  <c r="N74" i="10" s="1"/>
  <c r="F73" i="11"/>
  <c r="N73" i="11" s="1"/>
  <c r="O73" i="11" s="1"/>
  <c r="L73" i="10"/>
  <c r="J117" i="11"/>
  <c r="I117" i="11"/>
  <c r="F37" i="16"/>
  <c r="F22" i="11"/>
  <c r="N22" i="11" s="1"/>
  <c r="O22" i="11" s="1"/>
  <c r="L22" i="10"/>
  <c r="I98" i="11"/>
  <c r="J98" i="11"/>
  <c r="M130" i="10"/>
  <c r="N130" i="10" s="1"/>
  <c r="F9" i="16"/>
  <c r="G9" i="16" s="1"/>
  <c r="G10" i="16" s="1"/>
  <c r="G11" i="16" s="1"/>
  <c r="G12" i="16" s="1"/>
  <c r="G13" i="16" s="1"/>
  <c r="G14" i="16" s="1"/>
  <c r="G15" i="16" s="1"/>
  <c r="G16" i="16" s="1"/>
  <c r="G17" i="16" s="1"/>
  <c r="G18" i="16" s="1"/>
  <c r="G19" i="16" s="1"/>
  <c r="G20" i="16" s="1"/>
  <c r="G21" i="16" s="1"/>
  <c r="G22" i="16" s="1"/>
  <c r="G23" i="16" s="1"/>
  <c r="G24" i="16" s="1"/>
  <c r="G25" i="16" s="1"/>
  <c r="G26" i="16" s="1"/>
  <c r="G27" i="16" s="1"/>
  <c r="G28" i="16" s="1"/>
  <c r="G29" i="16" s="1"/>
  <c r="G30" i="16" s="1"/>
  <c r="G31" i="16" s="1"/>
  <c r="G32" i="16" s="1"/>
  <c r="G33" i="16" s="1"/>
  <c r="G34" i="16" s="1"/>
  <c r="G35" i="16" s="1"/>
  <c r="G36" i="16" s="1"/>
  <c r="G37" i="16" s="1"/>
  <c r="G38" i="16" s="1"/>
  <c r="G39" i="16" s="1"/>
  <c r="G40" i="16" s="1"/>
  <c r="G41" i="16" s="1"/>
  <c r="G42" i="16" s="1"/>
  <c r="G43" i="16" s="1"/>
  <c r="G44" i="16" s="1"/>
  <c r="G45" i="16" s="1"/>
  <c r="G46" i="16" s="1"/>
  <c r="G47" i="16" s="1"/>
  <c r="G48" i="16" s="1"/>
  <c r="G49" i="16" s="1"/>
  <c r="G50" i="16" s="1"/>
  <c r="G51" i="16" s="1"/>
  <c r="G52" i="16" s="1"/>
  <c r="G53" i="16" s="1"/>
  <c r="G54" i="16" s="1"/>
  <c r="G55" i="16" s="1"/>
  <c r="G56" i="16" s="1"/>
  <c r="G57" i="16" s="1"/>
  <c r="E18" i="19"/>
  <c r="L11" i="10"/>
  <c r="F11" i="11"/>
  <c r="N11" i="11" s="1"/>
  <c r="O11" i="11" s="1"/>
  <c r="F32" i="16"/>
  <c r="L131" i="10"/>
  <c r="M131" i="10" s="1"/>
  <c r="N131" i="10" s="1"/>
  <c r="F131" i="11"/>
  <c r="N131" i="11" s="1"/>
  <c r="O131" i="11" s="1"/>
  <c r="M22" i="10"/>
  <c r="N22" i="10" s="1"/>
  <c r="M73" i="10"/>
  <c r="N73" i="10" s="1"/>
  <c r="M43" i="10"/>
  <c r="N43" i="10" s="1"/>
  <c r="F57" i="11"/>
  <c r="N57" i="11" s="1"/>
  <c r="O57" i="11" s="1"/>
  <c r="L57" i="10"/>
  <c r="F48" i="11"/>
  <c r="N48" i="11" s="1"/>
  <c r="O48" i="11" s="1"/>
  <c r="L48" i="10"/>
  <c r="M48" i="10" s="1"/>
  <c r="N48" i="10" s="1"/>
  <c r="M72" i="10"/>
  <c r="N72" i="10" s="1"/>
  <c r="L59" i="10"/>
  <c r="M59" i="10" s="1"/>
  <c r="N59" i="10" s="1"/>
  <c r="F59" i="11"/>
  <c r="N59" i="11" s="1"/>
  <c r="O59" i="11" s="1"/>
  <c r="F130" i="11"/>
  <c r="N130" i="11" s="1"/>
  <c r="O130" i="11" s="1"/>
  <c r="L130" i="10"/>
  <c r="D17" i="19"/>
  <c r="L30" i="10"/>
  <c r="M30" i="10" s="1"/>
  <c r="N30" i="10" s="1"/>
  <c r="F30" i="11"/>
  <c r="N30" i="11" s="1"/>
  <c r="O30" i="11" s="1"/>
  <c r="M5" i="14"/>
  <c r="F69" i="11"/>
  <c r="N69" i="11" s="1"/>
  <c r="O69" i="11" s="1"/>
  <c r="L69" i="10"/>
  <c r="M63" i="10"/>
  <c r="N63" i="10" s="1"/>
  <c r="F10" i="11"/>
  <c r="N10" i="11" s="1"/>
  <c r="O10" i="11" s="1"/>
  <c r="L10" i="10"/>
  <c r="M10" i="10" s="1"/>
  <c r="N10" i="10" s="1"/>
  <c r="F44" i="11"/>
  <c r="N44" i="11" s="1"/>
  <c r="O44" i="11" s="1"/>
  <c r="L44" i="10"/>
  <c r="M44" i="10" s="1"/>
  <c r="N44" i="10" s="1"/>
  <c r="F32" i="11"/>
  <c r="N32" i="11" s="1"/>
  <c r="O32" i="11" s="1"/>
  <c r="L32" i="10"/>
  <c r="M32" i="10" s="1"/>
  <c r="N32" i="10" s="1"/>
  <c r="M2" i="14"/>
  <c r="F10" i="16"/>
  <c r="F29" i="16"/>
  <c r="F66" i="11"/>
  <c r="N66" i="11" s="1"/>
  <c r="O66" i="11" s="1"/>
  <c r="L66" i="10"/>
  <c r="L5" i="13"/>
  <c r="F37" i="11"/>
  <c r="N37" i="11" s="1"/>
  <c r="O37" i="11" s="1"/>
  <c r="L37" i="10"/>
  <c r="F53" i="11"/>
  <c r="N53" i="11" s="1"/>
  <c r="O53" i="11" s="1"/>
  <c r="L53" i="10"/>
  <c r="M53" i="10" s="1"/>
  <c r="N53" i="10" s="1"/>
  <c r="L34" i="10"/>
  <c r="M34" i="10" s="1"/>
  <c r="N34" i="10" s="1"/>
  <c r="F34" i="11"/>
  <c r="N34" i="11" s="1"/>
  <c r="O34" i="11" s="1"/>
  <c r="M132" i="10"/>
  <c r="N132" i="10" s="1"/>
  <c r="M4" i="13"/>
  <c r="L7" i="14"/>
  <c r="M7" i="14" s="1"/>
  <c r="F127" i="11"/>
  <c r="N127" i="11" s="1"/>
  <c r="O127" i="11" s="1"/>
  <c r="L127" i="10"/>
  <c r="M127" i="10" s="1"/>
  <c r="N127" i="10" s="1"/>
  <c r="L129" i="10"/>
  <c r="M129" i="10" s="1"/>
  <c r="N129" i="10" s="1"/>
  <c r="F129" i="11"/>
  <c r="N129" i="11" s="1"/>
  <c r="O129" i="11" s="1"/>
  <c r="M7" i="13"/>
  <c r="M45" i="10"/>
  <c r="N45" i="10" s="1"/>
  <c r="L9" i="14"/>
  <c r="F71" i="11"/>
  <c r="N71" i="11" s="1"/>
  <c r="O71" i="11" s="1"/>
  <c r="L71" i="10"/>
  <c r="M71" i="10"/>
  <c r="N71" i="10" s="1"/>
  <c r="L8" i="10"/>
  <c r="F8" i="11"/>
  <c r="N8" i="11" s="1"/>
  <c r="O8" i="11" s="1"/>
  <c r="F132" i="11"/>
  <c r="N132" i="11" s="1"/>
  <c r="O132" i="11" s="1"/>
  <c r="L132" i="10"/>
  <c r="F43" i="11"/>
  <c r="N43" i="11" s="1"/>
  <c r="O43" i="11" s="1"/>
  <c r="L43" i="10"/>
  <c r="M9" i="14"/>
  <c r="M66" i="10"/>
  <c r="N66" i="10" s="1"/>
  <c r="B13" i="17"/>
  <c r="E10" i="17"/>
  <c r="E13" i="17" s="1"/>
  <c r="L33" i="10"/>
  <c r="M33" i="10" s="1"/>
  <c r="N33" i="10" s="1"/>
  <c r="F33" i="11"/>
  <c r="N33" i="11" s="1"/>
  <c r="O33" i="11" s="1"/>
  <c r="L11" i="13"/>
  <c r="F58" i="11"/>
  <c r="N58" i="11" s="1"/>
  <c r="O58" i="11" s="1"/>
  <c r="L58" i="10"/>
  <c r="M58" i="10" s="1"/>
  <c r="N58" i="10" s="1"/>
  <c r="D3" i="12"/>
  <c r="B11" i="17"/>
  <c r="E11" i="17" s="1"/>
  <c r="M54" i="10"/>
  <c r="N54" i="10" s="1"/>
  <c r="M11" i="13"/>
  <c r="F31" i="11"/>
  <c r="N31" i="11" s="1"/>
  <c r="O31" i="11" s="1"/>
  <c r="L31" i="10"/>
  <c r="M31" i="10" s="1"/>
  <c r="N31" i="10" s="1"/>
  <c r="C23" i="19"/>
  <c r="F23" i="19" s="1"/>
  <c r="C7" i="19"/>
  <c r="M37" i="10"/>
  <c r="N37" i="10" s="1"/>
  <c r="F4" i="11"/>
  <c r="N4" i="11" s="1"/>
  <c r="O4" i="11" s="1"/>
  <c r="L4" i="10"/>
  <c r="M4" i="10" s="1"/>
  <c r="N4" i="10" s="1"/>
  <c r="M17" i="10"/>
  <c r="N17" i="10" s="1"/>
  <c r="M5" i="13"/>
  <c r="L8" i="13"/>
  <c r="M8" i="13" s="1"/>
  <c r="L81" i="10"/>
  <c r="M81" i="10" s="1"/>
  <c r="N81" i="10" s="1"/>
  <c r="F81" i="11"/>
  <c r="N81" i="11" s="1"/>
  <c r="O81" i="11" s="1"/>
  <c r="F63" i="11"/>
  <c r="N63" i="11" s="1"/>
  <c r="O63" i="11" s="1"/>
  <c r="L63" i="10"/>
  <c r="F19" i="11"/>
  <c r="N19" i="11" s="1"/>
  <c r="O19" i="11" s="1"/>
  <c r="L19" i="10"/>
  <c r="M19" i="10" s="1"/>
  <c r="N19" i="10" s="1"/>
  <c r="M62" i="10"/>
  <c r="N62" i="10" s="1"/>
  <c r="F21" i="16"/>
  <c r="M18" i="10"/>
  <c r="N18" i="10" s="1"/>
  <c r="F134" i="11"/>
  <c r="N134" i="11" s="1"/>
  <c r="O134" i="11" s="1"/>
  <c r="L134" i="10"/>
  <c r="L4" i="14"/>
  <c r="M4" i="14" s="1"/>
  <c r="F61" i="11"/>
  <c r="N61" i="11" s="1"/>
  <c r="O61" i="11" s="1"/>
  <c r="L61" i="10"/>
  <c r="M61" i="10" s="1"/>
  <c r="N61" i="10" s="1"/>
  <c r="M57" i="10"/>
  <c r="N57" i="10" s="1"/>
  <c r="B12" i="17"/>
  <c r="E12" i="17" s="1"/>
  <c r="E3" i="12"/>
  <c r="M69" i="10"/>
  <c r="N69" i="10" s="1"/>
  <c r="L2" i="13"/>
  <c r="M2" i="13" s="1"/>
  <c r="M6" i="10"/>
  <c r="N6" i="10" s="1"/>
  <c r="F80" i="11"/>
  <c r="N80" i="11" s="1"/>
  <c r="O80" i="11" s="1"/>
  <c r="L80" i="10"/>
  <c r="M80" i="10" s="1"/>
  <c r="N80" i="10" s="1"/>
  <c r="M3" i="14"/>
  <c r="L76" i="10"/>
  <c r="M76" i="10" s="1"/>
  <c r="N76" i="10" s="1"/>
  <c r="F76" i="11"/>
  <c r="N76" i="11" s="1"/>
  <c r="O76" i="11" s="1"/>
  <c r="L54" i="10"/>
  <c r="F54" i="11"/>
  <c r="N54" i="11" s="1"/>
  <c r="O54" i="11" s="1"/>
  <c r="L5" i="14"/>
  <c r="C9" i="19" l="1"/>
  <c r="C5" i="17"/>
  <c r="C22" i="19" s="1"/>
  <c r="F4" i="17"/>
  <c r="F5" i="17" s="1"/>
  <c r="F22" i="19" l="1"/>
  <c r="C6" i="19"/>
</calcChain>
</file>

<file path=xl/sharedStrings.xml><?xml version="1.0" encoding="utf-8"?>
<sst xmlns="http://schemas.openxmlformats.org/spreadsheetml/2006/main" count="1730" uniqueCount="530">
  <si>
    <t>Cropfort — Coffee Field OS Template (Plain, Farm-Agnostic)</t>
  </si>
  <si>
    <t>Purpose</t>
  </si>
  <si>
    <t>This is Cropfort's own standard operating template — blank, reusable for any farm on the platform. It is not specific to any owner, manager, or field operator; those identities are filled in when the template is instantiated for a real farm. The activity taxonomy (Tier 1 Core / Tier 2 Projects / Tier 3 Interventions) is Cropfort's own product standard and stays in the template as-is.</t>
  </si>
  <si>
    <t>Sheet Map, in the order they are used</t>
  </si>
  <si>
    <t>Activity List</t>
  </si>
  <si>
    <t>The full activity taxonomy, tier-tagged. Add, edit or re-tier activities here — every other sheet reads from this.</t>
  </si>
  <si>
    <t>Master</t>
  </si>
  <si>
    <t>Farm name, Term Start Date (drives every date on the workbook), and the block registry — hectares, variety, planting date, tree count. Fill this in first.</t>
  </si>
  <si>
    <t>Benchmark Rate Survey</t>
  </si>
  <si>
    <t>Two-adjacent-farm rate survey per activity. Lock the survey once entered; the average shows as a light-shade recommendation; override it and route for approval by the mandated person at the owning company. Approved rates feed the Labor Rate Card directly.</t>
  </si>
  <si>
    <t>Labor Rate Card</t>
  </si>
  <si>
    <t>Final piece rate per activity: Benchmark Approved Rate if one exists, otherwise mandays-norm x wage rate entered directly.</t>
  </si>
  <si>
    <t>Material Rate Card</t>
  </si>
  <si>
    <t>Standing price list for material inputs.</t>
  </si>
  <si>
    <t>Outsourced Services Rate Card</t>
  </si>
  <si>
    <t>Standing indicative price list for third-party services.</t>
  </si>
  <si>
    <t>Fee Schedule</t>
  </si>
  <si>
    <t>What the farm owner pays Cropfort's manager — separate from the farm's own operating costs. Confirmed (Core) and Elective (Tier 2/3) lines, each elective with its own activation month, spread over a 3-year, 36-month vision.</t>
  </si>
  <si>
    <t>Annual Election</t>
  </si>
  <si>
    <t>Elect activities for the year. Tier 1 has a Core bundle tick electing all at once, overridable row by row; Tier 2/3 have no bundle and no default — elected one by one, only after the commercial agreement for that work is settled outside the platform. Assign a Planned Duration in days to narrow the default seasonal window.</t>
  </si>
  <si>
    <t>Activity Plan</t>
  </si>
  <si>
    <t>Magnitude of work per block: tick (read from Election) and Planned Qty, the actual quantity needed. Drives every cost sheet.</t>
  </si>
  <si>
    <t>Supervisor Progress</t>
  </si>
  <si>
    <t>Weekly % complete against Planned Qty, resting on the daily Field Ticket record. Automatic shortfall rollover at window close; a stall flag after two consecutive weeks with no movement.</t>
  </si>
  <si>
    <t>Labor Budget / Material Budget / Service Budget</t>
  </si>
  <si>
    <t>Cost rollups from the Activity Plan, by block and tier.</t>
  </si>
  <si>
    <t>Monthly Cost Summary</t>
  </si>
  <si>
    <t>Materials and services spread across the months each activity's window touches — an honest monthly figure, not fabricated daily precision.</t>
  </si>
  <si>
    <t>Weekly Cash Flow</t>
  </si>
  <si>
    <t>The farm owner's cash-planning dashboard: real weekly labor cost plus each month's input/service cost split evenly across that month's weeks. Sized to help plan how much needs to sit in the Project Account.</t>
  </si>
  <si>
    <t>Total Budget Summary</t>
  </si>
  <si>
    <t>The farm's own operating cost total, by block and by tier.</t>
  </si>
  <si>
    <t>Calendar - Block 1</t>
  </si>
  <si>
    <t>365-day view for this block. Shading is live conditional formatting reading the Annual Election sheet — one tab like this per block.</t>
  </si>
  <si>
    <t>Monthly Client Report</t>
  </si>
  <si>
    <t>The client-facing monthly report template: executive summary, progress vs. plan, budget vs. actual, risk register, look-ahead, field observations, and a standing assurance note under the Cropfort Process Assurance Protocol™, distinguishing the manager's own dashboard from independently verifiable facts.</t>
  </si>
  <si>
    <t>Color Legend</t>
  </si>
  <si>
    <t>Blue text on yellow fill = required input, not yet filled in.</t>
  </si>
  <si>
    <t>Black text on light blue fill = a suggested/recommended figure (e.g. the benchmark average) — read it, then decide.</t>
  </si>
  <si>
    <t>Green text = formula link pulled from another sheet. Do not overtype.</t>
  </si>
  <si>
    <t>Grey fill = locked/historical once approved.</t>
  </si>
  <si>
    <t>What this template deliberately does not do</t>
  </si>
  <si>
    <t>1.  It cannot generate a new block's Calendar tab or Election rows on its own when a row is added to Master — plain formulas can't create new sheets or rows; ask for the workbook to be regenerated, or copy the existing block's tabs and repoint the formulas.</t>
  </si>
  <si>
    <t>2.  It cannot truly lock a cell after Benchmark survey data is entered — 'Survey Locked' is a documented convention, not enforced protection. Apply Excel's own sheet protection to those columns if hard enforcement is needed.</t>
  </si>
  <si>
    <t>3.  Rollover in Supervisor Progress calculates the shortfall and flags it; it does not create the follow-up plan entry automatically — that still needs a new Election/Activity Plan row added by hand.</t>
  </si>
  <si>
    <t>4.  The Monthly Client Report's narrative fields are placeholders for a person (or an AI drafting pass a person reviews) to fill in — the sheet does not write prose on its own.</t>
  </si>
  <si>
    <t>Activity ID</t>
  </si>
  <si>
    <t>Tier</t>
  </si>
  <si>
    <t>Category</t>
  </si>
  <si>
    <t>Activity Name</t>
  </si>
  <si>
    <t>Unit of Measure</t>
  </si>
  <si>
    <t>Source / Notes</t>
  </si>
  <si>
    <t>Default Tick</t>
  </si>
  <si>
    <t>T1-001</t>
  </si>
  <si>
    <t>Tier 1 — Core Services</t>
  </si>
  <si>
    <t>Nursery</t>
  </si>
  <si>
    <t>Land Clearing</t>
  </si>
  <si>
    <t>ha</t>
  </si>
  <si>
    <t>Cropfort Core Services standard</t>
  </si>
  <si>
    <t>Y</t>
  </si>
  <si>
    <t>T1-002</t>
  </si>
  <si>
    <t>Tree Felling</t>
  </si>
  <si>
    <t>T1-003</t>
  </si>
  <si>
    <t>Soil Heaping</t>
  </si>
  <si>
    <t>m3</t>
  </si>
  <si>
    <t>T1-004</t>
  </si>
  <si>
    <t>Polytube Cutting</t>
  </si>
  <si>
    <t>kg</t>
  </si>
  <si>
    <t>T1-005</t>
  </si>
  <si>
    <t>Polytube Filling</t>
  </si>
  <si>
    <t>seedling</t>
  </si>
  <si>
    <t>T1-006</t>
  </si>
  <si>
    <t>Seedbed Preparation</t>
  </si>
  <si>
    <t>bed</t>
  </si>
  <si>
    <t>T1-007</t>
  </si>
  <si>
    <t>Polytube Arranging</t>
  </si>
  <si>
    <t>T1-008</t>
  </si>
  <si>
    <t>Seed Sowing</t>
  </si>
  <si>
    <t>T1-009</t>
  </si>
  <si>
    <t>Mulch Material Preparation</t>
  </si>
  <si>
    <t>T1-010</t>
  </si>
  <si>
    <t>Mulch Application</t>
  </si>
  <si>
    <t>T1-011</t>
  </si>
  <si>
    <t>Shade Material Preparation</t>
  </si>
  <si>
    <t>T1-012</t>
  </si>
  <si>
    <t>Shade Construction</t>
  </si>
  <si>
    <t>T1-013</t>
  </si>
  <si>
    <t>Mulch Removal</t>
  </si>
  <si>
    <t>T1-014</t>
  </si>
  <si>
    <t>Nursery Weeding</t>
  </si>
  <si>
    <t>T1-015</t>
  </si>
  <si>
    <t>Shade Thinning</t>
  </si>
  <si>
    <t>T1-016</t>
  </si>
  <si>
    <t>Shade Removal</t>
  </si>
  <si>
    <t>T1-017</t>
  </si>
  <si>
    <t>Young Coffee</t>
  </si>
  <si>
    <t>Hoeing (Young Coffee)</t>
  </si>
  <si>
    <t>tree</t>
  </si>
  <si>
    <t>T1-018</t>
  </si>
  <si>
    <t>Fertilizing (Young Coffee)</t>
  </si>
  <si>
    <t>T1-019</t>
  </si>
  <si>
    <t>Ring Weeding of Seedlings</t>
  </si>
  <si>
    <t>T1-020</t>
  </si>
  <si>
    <t>Shade Tree Regulation</t>
  </si>
  <si>
    <t>T1-021</t>
  </si>
  <si>
    <t>Compost Preparation</t>
  </si>
  <si>
    <t>T1-022</t>
  </si>
  <si>
    <t>Ridge Construction</t>
  </si>
  <si>
    <t>meter</t>
  </si>
  <si>
    <t>T1-023</t>
  </si>
  <si>
    <t>Matured Coffee</t>
  </si>
  <si>
    <t>Manual Weeding</t>
  </si>
  <si>
    <t>T1-024</t>
  </si>
  <si>
    <t>Chemical Weeding</t>
  </si>
  <si>
    <t>T1-025</t>
  </si>
  <si>
    <t>Pruning (Matured Coffee)</t>
  </si>
  <si>
    <t>T1-026</t>
  </si>
  <si>
    <t>Topping (Matured Coffee)</t>
  </si>
  <si>
    <t>T1-027</t>
  </si>
  <si>
    <t>Handling and Desuckering</t>
  </si>
  <si>
    <t>T1-028</t>
  </si>
  <si>
    <t>Coffee Tree Support/Staking</t>
  </si>
  <si>
    <t>T1-029</t>
  </si>
  <si>
    <t>Watchman Tower (Matured Block)</t>
  </si>
  <si>
    <t>tower</t>
  </si>
  <si>
    <t>T1-030</t>
  </si>
  <si>
    <t>Infilling</t>
  </si>
  <si>
    <t>Infill Peg Preparation</t>
  </si>
  <si>
    <t>planting point</t>
  </si>
  <si>
    <t>T1-031</t>
  </si>
  <si>
    <t>Infill Layout and Pegging</t>
  </si>
  <si>
    <t>T1-032</t>
  </si>
  <si>
    <t>Infill Hole Digging</t>
  </si>
  <si>
    <t>T1-033</t>
  </si>
  <si>
    <t>Infill Hole Refilling</t>
  </si>
  <si>
    <t>T1-034</t>
  </si>
  <si>
    <t>Infill Watchman Tower Prep</t>
  </si>
  <si>
    <t>T1-035</t>
  </si>
  <si>
    <t>Infill Seedling Transport</t>
  </si>
  <si>
    <t>T1-036</t>
  </si>
  <si>
    <t>Infill Planting</t>
  </si>
  <si>
    <t>T1-037</t>
  </si>
  <si>
    <t>Picking &amp; Related</t>
  </si>
  <si>
    <t>Harvest Watchman Tower Prep</t>
  </si>
  <si>
    <t>T1-038</t>
  </si>
  <si>
    <t>Drying Bed Material Prep and Transport</t>
  </si>
  <si>
    <t>T1-039</t>
  </si>
  <si>
    <t>Drying Bed Site Cleaning</t>
  </si>
  <si>
    <t>T1-040</t>
  </si>
  <si>
    <t>Drying Bed Construction</t>
  </si>
  <si>
    <t>T1-041</t>
  </si>
  <si>
    <t>Selective Picking, Red Cherry</t>
  </si>
  <si>
    <t>T1-042</t>
  </si>
  <si>
    <t>Cherry Drying on Bed</t>
  </si>
  <si>
    <t>T1-043</t>
  </si>
  <si>
    <t>Drying Bed Maintenance</t>
  </si>
  <si>
    <t>T1-044</t>
  </si>
  <si>
    <t>Weighing and Arranging Dry Coffee</t>
  </si>
  <si>
    <t>jute bag</t>
  </si>
  <si>
    <t>T1-045</t>
  </si>
  <si>
    <t>Loading Dry Coffee, Farm 1 to 2</t>
  </si>
  <si>
    <t>T1-046</t>
  </si>
  <si>
    <t>Loading Dry Coffee, Farm to Hulling</t>
  </si>
  <si>
    <t>T1-047</t>
  </si>
  <si>
    <t>Transport Vehicle Rental</t>
  </si>
  <si>
    <t>T1-048</t>
  </si>
  <si>
    <t>Unloading Dry Coffee at Hulling</t>
  </si>
  <si>
    <t>T1-049</t>
  </si>
  <si>
    <t>Hulling of Dry Coffee (incl. VAT)</t>
  </si>
  <si>
    <t>T1-050</t>
  </si>
  <si>
    <t>Unloading at Warehouse</t>
  </si>
  <si>
    <t>quintal</t>
  </si>
  <si>
    <t>T1-051</t>
  </si>
  <si>
    <t>Transport Clean Coffee to Addis Ababa</t>
  </si>
  <si>
    <t>T1-052</t>
  </si>
  <si>
    <t>Drying Bed Removal</t>
  </si>
  <si>
    <t>T2-001</t>
  </si>
  <si>
    <t>Tier 2 — Projects</t>
  </si>
  <si>
    <t>A. Annual Harvest Management</t>
  </si>
  <si>
    <t>Harvest Planning</t>
  </si>
  <si>
    <t>farm</t>
  </si>
  <si>
    <t>Cropfort Projects standard</t>
  </si>
  <si>
    <t>N</t>
  </si>
  <si>
    <t>T2-002</t>
  </si>
  <si>
    <t>Labour Mobilisation</t>
  </si>
  <si>
    <t>T2-003</t>
  </si>
  <si>
    <t>Harvest Supervision</t>
  </si>
  <si>
    <t>T2-004</t>
  </si>
  <si>
    <t>Daily Production Monitoring</t>
  </si>
  <si>
    <t>T2-005</t>
  </si>
  <si>
    <t>Quality Monitoring (Harvest)</t>
  </si>
  <si>
    <t>T2-006</t>
  </si>
  <si>
    <t>Cherry Movement Coordination</t>
  </si>
  <si>
    <t>T2-007</t>
  </si>
  <si>
    <t>Daily Harvest Reporting</t>
  </si>
  <si>
    <t>T2-008</t>
  </si>
  <si>
    <t>Yield Reconciliation</t>
  </si>
  <si>
    <t>T2-009</t>
  </si>
  <si>
    <t>Harvest Close-Out</t>
  </si>
  <si>
    <t>T2-010</t>
  </si>
  <si>
    <t>B. Coffee Operations</t>
  </si>
  <si>
    <t>Cherry Reception</t>
  </si>
  <si>
    <t>T2-011</t>
  </si>
  <si>
    <t>Washing Supervision</t>
  </si>
  <si>
    <t>T2-012</t>
  </si>
  <si>
    <t>Fermentation Supervision</t>
  </si>
  <si>
    <t>T2-013</t>
  </si>
  <si>
    <t>Drying Supervision</t>
  </si>
  <si>
    <t>T2-014</t>
  </si>
  <si>
    <t>Moisture Management</t>
  </si>
  <si>
    <t>T2-015</t>
  </si>
  <si>
    <t>Parchment Storage</t>
  </si>
  <si>
    <t>T2-016</t>
  </si>
  <si>
    <t>Warehouse Management</t>
  </si>
  <si>
    <t>T2-017</t>
  </si>
  <si>
    <t>Inventory Reconciliation</t>
  </si>
  <si>
    <t>T2-018</t>
  </si>
  <si>
    <t>Internal Transport Coordination</t>
  </si>
  <si>
    <t>T2-019</t>
  </si>
  <si>
    <t>Hulling Supervision</t>
  </si>
  <si>
    <t>T2-020</t>
  </si>
  <si>
    <t>Stock Management</t>
  </si>
  <si>
    <t>T2-021</t>
  </si>
  <si>
    <t>Loss Control</t>
  </si>
  <si>
    <t>T2-022</t>
  </si>
  <si>
    <t>C. Export &amp; Commercial Operations</t>
  </si>
  <si>
    <t>Export Grading Coordination</t>
  </si>
  <si>
    <t>T2-023</t>
  </si>
  <si>
    <t>Quality Inspection Coordination</t>
  </si>
  <si>
    <t>T2-024</t>
  </si>
  <si>
    <t>Sample Preparation</t>
  </si>
  <si>
    <t>T2-025</t>
  </si>
  <si>
    <t>Client Correspondence</t>
  </si>
  <si>
    <t>T2-026</t>
  </si>
  <si>
    <t>Contract Administration</t>
  </si>
  <si>
    <t>T2-027</t>
  </si>
  <si>
    <t>Buyer Coordination</t>
  </si>
  <si>
    <t>T2-028</t>
  </si>
  <si>
    <t>Letters of Credit Coordination</t>
  </si>
  <si>
    <t>T2-029</t>
  </si>
  <si>
    <t>Export Documentation</t>
  </si>
  <si>
    <t>T2-030</t>
  </si>
  <si>
    <t>Shipping Coordination</t>
  </si>
  <si>
    <t>T2-031</t>
  </si>
  <si>
    <t>Export Compliance</t>
  </si>
  <si>
    <t>T2-032</t>
  </si>
  <si>
    <t>Shipment Follow-Up</t>
  </si>
  <si>
    <t>T2-033</t>
  </si>
  <si>
    <t>Export Proceeds Receipt and Reconciliation</t>
  </si>
  <si>
    <t>T2-034</t>
  </si>
  <si>
    <t>D. Asset Development</t>
  </si>
  <si>
    <t>Washing Station Rehabilitation</t>
  </si>
  <si>
    <t>project</t>
  </si>
  <si>
    <t>T2-035</t>
  </si>
  <si>
    <t>Huller Rehabilitation</t>
  </si>
  <si>
    <t>T2-036</t>
  </si>
  <si>
    <t>Irrigation Systems</t>
  </si>
  <si>
    <t>T2-037</t>
  </si>
  <si>
    <t>On-Farm Water Systems Development</t>
  </si>
  <si>
    <t>T2-038</t>
  </si>
  <si>
    <t>Roads</t>
  </si>
  <si>
    <t>T2-039</t>
  </si>
  <si>
    <t>Buildings</t>
  </si>
  <si>
    <t>T2-040</t>
  </si>
  <si>
    <t>Staff Housing</t>
  </si>
  <si>
    <t>T2-041</t>
  </si>
  <si>
    <t>Workshops</t>
  </si>
  <si>
    <t>T2-042</t>
  </si>
  <si>
    <t>Machinery Procurement</t>
  </si>
  <si>
    <t>T2-043</t>
  </si>
  <si>
    <t>Utilities</t>
  </si>
  <si>
    <t>T2-044</t>
  </si>
  <si>
    <t>Solar Systems (incl. Staff Welfare)</t>
  </si>
  <si>
    <t>T2-045</t>
  </si>
  <si>
    <t>Farm Expansion</t>
  </si>
  <si>
    <t>T2-046</t>
  </si>
  <si>
    <t>New Planting Blocks</t>
  </si>
  <si>
    <t>T2-047</t>
  </si>
  <si>
    <t>Security Infrastructure (incl. Camp Monitoring)</t>
  </si>
  <si>
    <t>T3-001</t>
  </si>
  <si>
    <t>Tier 3 — Interventions</t>
  </si>
  <si>
    <t>A. Institutional and Strategic Interventions</t>
  </si>
  <si>
    <t>Investment Due Diligence</t>
  </si>
  <si>
    <t>assignment</t>
  </si>
  <si>
    <t>Cropfort Interventions standard</t>
  </si>
  <si>
    <t>T3-002</t>
  </si>
  <si>
    <t>Technical Due Diligence</t>
  </si>
  <si>
    <t>T3-003</t>
  </si>
  <si>
    <t>Turnaround Assessments</t>
  </si>
  <si>
    <t>T3-004</t>
  </si>
  <si>
    <t>Strategic Reviews</t>
  </si>
  <si>
    <t>T3-005</t>
  </si>
  <si>
    <t>Major Procurement</t>
  </si>
  <si>
    <t>T3-006</t>
  </si>
  <si>
    <t>Organisational Reviews</t>
  </si>
  <si>
    <t>T3-007</t>
  </si>
  <si>
    <t>Performance Audits</t>
  </si>
  <si>
    <t>T3-008</t>
  </si>
  <si>
    <t>Recruitment Support</t>
  </si>
  <si>
    <t>T3-009</t>
  </si>
  <si>
    <t>Regulatory Coordination and Monitoring</t>
  </si>
  <si>
    <t>T3-010</t>
  </si>
  <si>
    <t>Security Assessments</t>
  </si>
  <si>
    <t>T3-011</t>
  </si>
  <si>
    <t>Special Investigations</t>
  </si>
  <si>
    <t>T3-012</t>
  </si>
  <si>
    <t>Board Reporting</t>
  </si>
  <si>
    <t>T3-013</t>
  </si>
  <si>
    <t>Investor Reporting</t>
  </si>
  <si>
    <t>T3-014</t>
  </si>
  <si>
    <t>Staff Capability Development</t>
  </si>
  <si>
    <t>T3-015</t>
  </si>
  <si>
    <t>Operational Benchmarking</t>
  </si>
  <si>
    <t>T3-016</t>
  </si>
  <si>
    <t>Feasibility Studies</t>
  </si>
  <si>
    <t>T3-017</t>
  </si>
  <si>
    <t>Owner Representation</t>
  </si>
  <si>
    <t>T3-018</t>
  </si>
  <si>
    <t>Coordination of Legal Advisers</t>
  </si>
  <si>
    <t>T3-019</t>
  </si>
  <si>
    <t>Coordination of Tax Advisers</t>
  </si>
  <si>
    <t>T3-020</t>
  </si>
  <si>
    <t>Governance Oversight</t>
  </si>
  <si>
    <t>T3-021</t>
  </si>
  <si>
    <t>Debt Raising Support</t>
  </si>
  <si>
    <t>T3-022</t>
  </si>
  <si>
    <t>Lender Coordination</t>
  </si>
  <si>
    <t>T3-023</t>
  </si>
  <si>
    <t>Strategic Stakeholder Engagement</t>
  </si>
  <si>
    <t>T3-024</t>
  </si>
  <si>
    <t>Reputation Management</t>
  </si>
  <si>
    <t>T3-025</t>
  </si>
  <si>
    <t>Strategic Reporting</t>
  </si>
  <si>
    <t>T3-026</t>
  </si>
  <si>
    <t>Coordination of Specialist Advisers</t>
  </si>
  <si>
    <t>T3-027</t>
  </si>
  <si>
    <t>B. Technical and Laboratory Services</t>
  </si>
  <si>
    <t>Soil Sampling and Analysis</t>
  </si>
  <si>
    <t>sample</t>
  </si>
  <si>
    <t>T3-028</t>
  </si>
  <si>
    <t>Soil Fertility and Nutrient Status Reporting</t>
  </si>
  <si>
    <t>T3-029</t>
  </si>
  <si>
    <t>Liming and Soil Amendment Recommendations</t>
  </si>
  <si>
    <t>T3-030</t>
  </si>
  <si>
    <t>GPS Farm Boundary and Block Mapping</t>
  </si>
  <si>
    <t>T3-031</t>
  </si>
  <si>
    <t>GIS Layering (Soil, Slope, Drainage, Shade, Productivity)</t>
  </si>
  <si>
    <t>T3-032</t>
  </si>
  <si>
    <t>Weather Station Installation and Management</t>
  </si>
  <si>
    <t>T3-033</t>
  </si>
  <si>
    <t>Farm Operating Manuals and SOPs</t>
  </si>
  <si>
    <t>T3-034</t>
  </si>
  <si>
    <t>SpiralLabs Cupping, Grading and Quality Control</t>
  </si>
  <si>
    <t>T3-035</t>
  </si>
  <si>
    <t>Buyer Hosting at SpiralLabs</t>
  </si>
  <si>
    <t>event</t>
  </si>
  <si>
    <t>Master — Farm and Block Registry</t>
  </si>
  <si>
    <t>Farm Name:</t>
  </si>
  <si>
    <t>Term Start Date (Year 1, Month 1):</t>
  </si>
  <si>
    <t>All Annual Election windows and the per-block Calendar are calculated from this one date — set it once and everything downstream follows.</t>
  </si>
  <si>
    <t>Block ID</t>
  </si>
  <si>
    <t>Block Name</t>
  </si>
  <si>
    <t>Hectares</t>
  </si>
  <si>
    <t>Variety Planted</t>
  </si>
  <si>
    <t>Planting Date</t>
  </si>
  <si>
    <t>Tree Count</t>
  </si>
  <si>
    <t>Status</t>
  </si>
  <si>
    <t>Notes</t>
  </si>
  <si>
    <t>Add one row per block. Each block also needs its own Calendar tab, generated to match.</t>
  </si>
  <si>
    <t>This is the Cropfort platform template — blank on purpose. Every field here is filled in when the template is instantiated for a real farm. Adding a block row does not, on its own, create that block's Calendar tab or its Annual Election rows; those are generated to match whenever a block is added.</t>
  </si>
  <si>
    <t>Benchmark Rate Survey — Annual</t>
  </si>
  <si>
    <t>Survey the piece rate paid for each activity at two adjacent farms, lock it in once entered, and let that guide — but not dictate — this farm's own rate. The recommended rate is the plain average, shown in light shade; override it in the Proposed Rate column. Nothing is binding until the mandated approver for this farm's owning company signs off, after which the rate is locked for the year.</t>
  </si>
  <si>
    <t>Unit</t>
  </si>
  <si>
    <t>Neighbor Farm 1 (Name)</t>
  </si>
  <si>
    <t>Neighbor Farm 1 Rate (ETB/unit)</t>
  </si>
  <si>
    <t>Neighbor Farm 2 (Name)</t>
  </si>
  <si>
    <t>Neighbor Farm 2 Rate (ETB/unit)</t>
  </si>
  <si>
    <t>Survey Locked (Y/N)</t>
  </si>
  <si>
    <t>Recommended Rate (avg, light shade)</t>
  </si>
  <si>
    <t>Proposed Rate (override)</t>
  </si>
  <si>
    <t>Approver Name</t>
  </si>
  <si>
    <t>Approval Date</t>
  </si>
  <si>
    <t>Valid Until</t>
  </si>
  <si>
    <t>Approved Rate</t>
  </si>
  <si>
    <t>Draft</t>
  </si>
  <si>
    <t>Workflow: (1) enter both neighbor rates, set Survey Locked to Y once confirmed — treat that row's neighbor rate cells as historical from that point and do not edit them again this cycle; a fresh survey next year gets new rows, not overwritten ones. (2) Proposed Rate defaults to the Recommended average; overwrite it directly to set this farm's own figure — that replaces the link with a plain value, same convention used on the Annual Election bundle tick. (3) Set Status to 'Approved' only once the mandated approver for this farm's owning company has actually signed off — Approver Name and Approval Date are that record. (4) Approved Rate is blank until Status = Approved; the Labor Rate Card reads only this column, never Proposed Rate directly, so nothing reaches the live rate card without approval. Valid Until is one year from Approval Date; a rate can still be revised for an individual activity mid-year if a real change is decided — that revision gets its own new row, not an edit to this one, so the history stays intact.</t>
  </si>
  <si>
    <t>Labor Norm
(manday / unit)</t>
  </si>
  <si>
    <t>Wage Rate
(ETB / manday)</t>
  </si>
  <si>
    <t>Computed Cost / Unit
(norm x wage)</t>
  </si>
  <si>
    <t>Final Labor Cost / Unit
(ETB)</t>
  </si>
  <si>
    <t>Status / Source</t>
  </si>
  <si>
    <t>TBD — norm/wage not yet entered; or awaiting Benchmark Rate Survey approval</t>
  </si>
  <si>
    <t>Final Labor Cost/Unit is what every downstream sheet reads. It takes the Benchmark Rate Survey's Approved Rate when one exists for that activity; otherwise it falls back to the norm x wage figure entered directly here. Columns D and E are for activities costed the traditional way (mandays x wage), independent of benchmarking — use whichever route applies to a given activity.</t>
  </si>
  <si>
    <t>Material ID</t>
  </si>
  <si>
    <t>Material Name</t>
  </si>
  <si>
    <t>Rate
(ETB / unit)</t>
  </si>
  <si>
    <t>Add one row per material input</t>
  </si>
  <si>
    <t>Service ID</t>
  </si>
  <si>
    <t>Service Name</t>
  </si>
  <si>
    <t>Indicative Rate
(ETB / unit)</t>
  </si>
  <si>
    <t>Add one row per outsourced service</t>
  </si>
  <si>
    <t>Fee Schedule — 3-Year Vision (36 Months)</t>
  </si>
  <si>
    <t>What the farm owner pays for management, separate from the farm's own operating costs (labor, materials, services) tracked elsewhere in this workbook. Confirmed lines are guaranteed annual fees; Elective lines activate only from the month entered, per the standing election for that tier.</t>
  </si>
  <si>
    <t>CONFIRMED FEE LINES (annual, guaranteed)</t>
  </si>
  <si>
    <t>Core Services (Tier 1), Annual Fee</t>
  </si>
  <si>
    <t>ELECTIVE FEE LINES (annual if fully elected; activates from month entered)</t>
  </si>
  <si>
    <t>Elective Line</t>
  </si>
  <si>
    <t>Annual Fee</t>
  </si>
  <si>
    <t>Activation Month
(1-36)</t>
  </si>
  <si>
    <t>Tier 2 — A. Annual Harvest Management</t>
  </si>
  <si>
    <t>Tier 2 — B. Coffee Operations</t>
  </si>
  <si>
    <t>Tier 2 — C. Export and Commercial Operations</t>
  </si>
  <si>
    <t>Tier 2 — D. Asset Development</t>
  </si>
  <si>
    <t>Tier 3 — A. Institutional and Strategic Interventions</t>
  </si>
  <si>
    <t>Tier 3 — B. Technical and Laboratory Services</t>
  </si>
  <si>
    <t>MONTHLY SCHEDULE</t>
  </si>
  <si>
    <t>Month #</t>
  </si>
  <si>
    <t>Month</t>
  </si>
  <si>
    <t>A. Annual Harvest Mana</t>
  </si>
  <si>
    <t>C. Export and Commerci</t>
  </si>
  <si>
    <t>A. Institutional and S</t>
  </si>
  <si>
    <t>B. Technical and Labor</t>
  </si>
  <si>
    <t>Confirmed</t>
  </si>
  <si>
    <t>Elective Subtotal</t>
  </si>
  <si>
    <t>Total Monthly Fee</t>
  </si>
  <si>
    <t>Cumulative Total</t>
  </si>
  <si>
    <t>Column headings D onward, in order, match the six Elective Fee Lines above the table. Activation Month uses the same Month # numbering as this table (1 = the month of Master's Term Start Date); a blank Activation Month means that line is never billed. This sheet is the fee Cropfort's manager invoices the farm owner — it does not include the farm's own operating costs, which are the labor, material and service budgets tracked on their own sheets and paid directly from the farm owner's Project Account.</t>
  </si>
  <si>
    <t>Annual Election — Year 1</t>
  </si>
  <si>
    <t>Core Bundle Tick (Y elects every Tier 1 activity at once):</t>
  </si>
  <si>
    <t>Tier 1 (Core): tick the bundle above to elect all at once, or overwrite an individual row's Elected cell directly to remove or add it one by one. Tier 2 (Projects) and Tier 3 (Interventions) have no bundle and no default — every row is elected individually, only once the commercial agreement for that work has been settled outside the platform.</t>
  </si>
  <si>
    <t>Default Window Start</t>
  </si>
  <si>
    <t>Default Window End</t>
  </si>
  <si>
    <t>Planned Duration (days)</t>
  </si>
  <si>
    <t>Effective End Date (auto)</t>
  </si>
  <si>
    <t>Elected (Y/N)</t>
  </si>
  <si>
    <t>Default Window Start/End are Cropfort's suggested field-calendar timing, calculated from Master's Term Start Date — change Term Start and every window shifts with it. Planned Duration (days) is blank by default, meaning the full default window shades on the Calendar; fill it in to narrow the shading to that many days from Default Window Start (Effective End Date recalculates automatically). Asset Development and Institutional/Strategic Interventions carry no default window since they are one-off, quoted per assignment and commissioned on demand rather than calendar-driven — plan those directly on the Calendar once agreed.</t>
  </si>
  <si>
    <t>Tick (Y/N)</t>
  </si>
  <si>
    <t>Planned Qty</t>
  </si>
  <si>
    <t>Labor Rate / Unit (ETB)</t>
  </si>
  <si>
    <t>Planned Labor Cost (ETB)</t>
  </si>
  <si>
    <t>Window Start
(helper)</t>
  </si>
  <si>
    <t>Window End
(helper)</t>
  </si>
  <si>
    <t>Weeks Spanned
(helper)</t>
  </si>
  <si>
    <t>Weekly Allocation
(ETB, helper)</t>
  </si>
  <si>
    <t>Tick (Y/N) now reads from the Annual Election sheet — election happens there first. Planned Qty is the magnitude of work for this block: how many hectares, trees, beds etc. this activity actually needs, entered once elected. Columns K-N are helper columns (window, weeks spanned, weekly allocation) feeding the Weekly Cash Flow sheet. To plan a second block: generate a matching set of Election and Activity Plan rows for that block, plus its own Calendar tab.</t>
  </si>
  <si>
    <t>Window Start</t>
  </si>
  <si>
    <t>Effective End</t>
  </si>
  <si>
    <t>% Complete
(25/50/75/100)</t>
  </si>
  <si>
    <t>Actual Qty Done</t>
  </si>
  <si>
    <t>Labor Cost Booked (ETB)</t>
  </si>
  <si>
    <t>Variance Qty
(Planned - Actual)</t>
  </si>
  <si>
    <t>Last Movement Date
(update manually when % changes)</t>
  </si>
  <si>
    <t>Weeks Since Movement</t>
  </si>
  <si>
    <t>Stall Flag
(2+ weeks)</t>
  </si>
  <si>
    <t>Rollover Qty
(if window closed, &lt;100%)</t>
  </si>
  <si>
    <t>Rollover Flag</t>
  </si>
  <si>
    <t>Flagged Activity
(helper, for report)</t>
  </si>
  <si>
    <t>% Complete is entered by the field supervisor, weekly, against the Field Ticket record — not a guess. Update Last Movement Date by hand whenever % actually changes; the Stall Flag and rollover logic both depend on that date being kept current. Rollover Qty and Rollover Flag are calculated warnings, not automatic actions — plain formulas cannot create new rows on their own, so a flagged rollover still needs a new Annual Election / Activity Plan entry created by hand for the shortfall, in the next appropriate window.</t>
  </si>
  <si>
    <t>Tier 1 — Core Services
Labor Cost (ETB)</t>
  </si>
  <si>
    <t>Tier 2 — Projects
Labor Cost (ETB)</t>
  </si>
  <si>
    <t>Tier 3 — Interventions
Labor Cost (ETB)</t>
  </si>
  <si>
    <t>Block Total
Labor Cost (ETB)</t>
  </si>
  <si>
    <t>Farm Total</t>
  </si>
  <si>
    <t>Add a row per block as Master grows; copy the formulas across.</t>
  </si>
  <si>
    <t>Material Norm
(qty / activity unit)</t>
  </si>
  <si>
    <t>Material Rate
(ETB / qty)</t>
  </si>
  <si>
    <t>Planned Activity Qty
(from Activity Plan)</t>
  </si>
  <si>
    <t>Planned Material Qty</t>
  </si>
  <si>
    <t>Planned Material Cost (ETB)</t>
  </si>
  <si>
    <t>Months Spanned
(helper)</t>
  </si>
  <si>
    <t>Monthly Allocation
(ETB, helper)</t>
  </si>
  <si>
    <t>Add one row per activity-material link, entering the Activity ID and its consumption norm. Columns J-M (Window Start/End, Months Spanned, Monthly Allocation) are helper columns feeding the Monthly Cost Summary — they read the activity's window straight from Annual Election.</t>
  </si>
  <si>
    <t>Service Norm
(qty / activity unit)</t>
  </si>
  <si>
    <t>Service Rate
(ETB / qty)</t>
  </si>
  <si>
    <t>Planned Service Qty</t>
  </si>
  <si>
    <t>Planned Service Cost (ETB)</t>
  </si>
  <si>
    <t>Add one row per activity-service link, entering the Activity ID and its consumption norm. Columns J-M are helper columns feeding the Monthly Cost Summary.</t>
  </si>
  <si>
    <t>Material Cost (ETB)</t>
  </si>
  <si>
    <t>Service Cost (ETB)</t>
  </si>
  <si>
    <t>Total Inputs + Services (ETB)</t>
  </si>
  <si>
    <t>Year Total</t>
  </si>
  <si>
    <t>Each Material/Service Budget row's cost is spread evenly across the months its activity window touches (the Monthly Allocation helper column), then summed here by month. This treats materials and services as monthly figures, matching how they're actually ordered and engaged — never given a false weekly precision.</t>
  </si>
  <si>
    <t>Weekly Cash Flow — Year 1</t>
  </si>
  <si>
    <t>Labor is real weekly cost, prorated across each ticked activity's own window. Inputs and services are monthly figures (Monthly Cost Summary) split evenly across the weeks that fall in each month — an honest cash-flow allocation, not fabricated weekly precision. Use the cumulative column to size the Project Account reserve.</t>
  </si>
  <si>
    <t>Week #</t>
  </si>
  <si>
    <t>Week Start</t>
  </si>
  <si>
    <t>Week End</t>
  </si>
  <si>
    <t>Labor Cost (ETB)</t>
  </si>
  <si>
    <t>Inputs + Services Cost (ETB)</t>
  </si>
  <si>
    <t>Total Weekly Cost (ETB)</t>
  </si>
  <si>
    <t>Cumulative Total (ETB)</t>
  </si>
  <si>
    <t>53 weeks covers the 365-day year with the last week short by a few days. If Term Start is blank, every row reads zero — set Master's Term Start Date first. Column E's self-reference (COUNTIFS against this sheet's own Week Start column) counts how many weeks fall in that same calendar month, so the monthly total splits evenly across them.</t>
  </si>
  <si>
    <t>Labor Budget (ETB)</t>
  </si>
  <si>
    <t>Material Budget (ETB)</t>
  </si>
  <si>
    <t>Service Budget (ETB)</t>
  </si>
  <si>
    <t>Total Budget (ETB)</t>
  </si>
  <si>
    <t>By Tier</t>
  </si>
  <si>
    <t>Total (ETB)</t>
  </si>
  <si>
    <t>Grand Total</t>
  </si>
  <si>
    <t>This is the farm's own operating cost — labor, materials and services paid from the farm owner's Project Account. It is separate from the Fee Schedule, which is what the farm owner pays Cropfort's manager for running this program.</t>
  </si>
  <si>
    <t>Calendar - Block 1 — Year 1 (365 days from Term Start)</t>
  </si>
  <si>
    <t>Shading reads live off the Annual Election sheet for this block — elect the Core bundle or an individual activity there, and its row shades automatically here for the duration assigned. If Master's Term Start Date is blank, the day headers below will show blank/zero until it's set.</t>
  </si>
  <si>
    <t>Shading is generated by conditional formatting reading the Annual Election sheet, so it updates live as ticks, windows and Planned Duration change there. Activities with no default window never auto-shade; plan those manually once agreed.</t>
  </si>
  <si>
    <t>Monthly Report — [Farm Name] — [Reporting Month]</t>
  </si>
  <si>
    <t>Prepared under the Cropfort Process Assurance Protocol™. This sheet pulls its figures from the live operating data on the other sheets — it is a summary layer, not a separate record.</t>
  </si>
  <si>
    <t>1. EXECUTIVE SUMMARY</t>
  </si>
  <si>
    <t>% of Year 1 Plan Complete</t>
  </si>
  <si>
    <t>Actual Labor Cost Booked to Date (ETB)</t>
  </si>
  <si>
    <t>Activities Flagged At Risk</t>
  </si>
  <si>
    <t>Activities Rolled Over</t>
  </si>
  <si>
    <t>Narrative (one or two lines, entered by the supervisor/manager each month):</t>
  </si>
  <si>
    <t>2. PROGRESS VS. PLAN, BY TIER</t>
  </si>
  <si>
    <t>Planned Qty (sum)</t>
  </si>
  <si>
    <t>Actual Qty Done (sum)</t>
  </si>
  <si>
    <t>% Complete (avg)</t>
  </si>
  <si>
    <t>3. BUDGET VS. ACTUAL</t>
  </si>
  <si>
    <t>Labor</t>
  </si>
  <si>
    <t>Material</t>
  </si>
  <si>
    <t>Service</t>
  </si>
  <si>
    <t>Total</t>
  </si>
  <si>
    <t>Budget (ETB)</t>
  </si>
  <si>
    <t>Actual to Date (ETB)</t>
  </si>
  <si>
    <t>4. RISK REGISTER</t>
  </si>
  <si>
    <t>Auto-flagged count (from Supervisor Progress, "AT RISK"), see Executive Summary above.</t>
  </si>
  <si>
    <t>Other risks / open AFEs (manual):</t>
  </si>
  <si>
    <t>5. LOOK-AHEAD, NEXT MONTH</t>
  </si>
  <si>
    <t>See the relevant month band on the block Calendar tab(s) for exact shaded activities.</t>
  </si>
  <si>
    <t>6. FIELD OBSERVATIONS</t>
  </si>
  <si>
    <t>7. ASSURANCE NOTE</t>
  </si>
  <si>
    <t>This report is prepared by Cropfort's manager under the Cropfort Process Assurance Protocol™ — a documented field methodology addressing rigor and traceability, aligned with the principles of internationally recognized coffee-sustainability standards, without itself constituting certification. The dashboard figures above are the manager's own reporting and should be read as such, not as independent proof: a manager validating its own work is not, by itself, verification. Independent assurance comes from three channels: (1) audit-trail and drill-down rights to the underlying Annual Farm Program / Authorization for Expenditure / Work Order / Field Ticket chain, available on request; (2) externally verifiable facts — yield against the baseline assessment, export volumes and revenue, and any third-party certification audits; (3) the farm owner's own independent oversight channel, which sits entirely outside this reporting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</si>
</sst>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 ETB&quot;"/>
    <numFmt numFmtId="166" formatCode="d"/>
    <numFmt numFmtId="167" formatCode="0\%"/>
  </numFmts>
  <fonts count="11" x14ac:knownFonts="1">
    <font>
      <sz val="11"/>
      <color theme="1"/>
      <name val="Calibri"/>
      <family val="2"/>
      <charset val="1"/>
    </font>
    <font>
      <b/>
      <sz val="14"/>
      <color rgb="FF223140"/>
      <name val="Arial"/>
      <charset val="1"/>
    </font>
    <font>
      <b/>
      <sz val="11"/>
      <name val="Arial"/>
      <charset val="1"/>
    </font>
    <font>
      <i/>
      <sz val="10"/>
      <name val="Arial"/>
      <charset val="1"/>
    </font>
    <font>
      <b/>
      <sz val="11"/>
      <color rgb="FFFFFFFF"/>
      <name val="Arial"/>
      <charset val="1"/>
    </font>
    <font>
      <sz val="11"/>
      <color rgb="FF000000"/>
      <name val="Arial"/>
      <charset val="1"/>
    </font>
    <font>
      <i/>
      <sz val="9"/>
      <color rgb="FF70808C"/>
      <name val="Arial"/>
      <charset val="1"/>
    </font>
    <font>
      <sz val="11"/>
      <color rgb="FF0000FF"/>
      <name val="Arial"/>
      <charset val="1"/>
    </font>
    <font>
      <sz val="11"/>
      <color rgb="FF008000"/>
      <name val="Arial"/>
      <charset val="1"/>
    </font>
    <font>
      <sz val="7"/>
      <color rgb="FF70808C"/>
      <name val="Arial"/>
      <charset val="1"/>
    </font>
    <font>
      <sz val="9"/>
      <name val="Arial"/>
      <charset val="1"/>
    </font>
  </fonts>
  <fills count="9">
    <fill>
      <patternFill patternType="none"/>
    </fill>
    <fill>
      <patternFill patternType="gray125"/>
    </fill>
    <fill>
      <patternFill patternType="solid">
        <fgColor rgb="FFD9DEE2"/>
        <bgColor rgb="FFDFF3FB"/>
      </patternFill>
    </fill>
    <fill>
      <patternFill patternType="solid">
        <fgColor rgb="FFFFF2CC"/>
        <bgColor rgb="FFF3EFE8"/>
      </patternFill>
    </fill>
    <fill>
      <patternFill patternType="solid">
        <fgColor rgb="FFDFF3FB"/>
        <bgColor rgb="FFEEF1F3"/>
      </patternFill>
    </fill>
    <fill>
      <patternFill patternType="solid">
        <fgColor rgb="FFEEF1F3"/>
        <bgColor rgb="FFF3EFE8"/>
      </patternFill>
    </fill>
    <fill>
      <patternFill patternType="solid">
        <fgColor rgb="FF223140"/>
        <bgColor rgb="FF003366"/>
      </patternFill>
    </fill>
    <fill>
      <patternFill patternType="solid">
        <fgColor rgb="FFF3EFE8"/>
        <bgColor rgb="FFEEF1F3"/>
      </patternFill>
    </fill>
    <fill>
      <patternFill patternType="solid">
        <fgColor rgb="FFFFFFFF"/>
        <bgColor rgb="FFEEF1F3"/>
      </patternFill>
    </fill>
  </fills>
  <borders count="2">
    <border>
      <left/>
      <right/>
      <top/>
      <bottom/>
      <diagonal/>
    </border>
    <border>
      <left style="thin">
        <color rgb="FFB7C2C9"/>
      </left>
      <right style="thin">
        <color rgb="FFB7C2C9"/>
      </right>
      <top style="thin">
        <color rgb="FFB7C2C9"/>
      </top>
      <bottom style="thin">
        <color rgb="FFB7C2C9"/>
      </bottom>
      <diagonal/>
    </border>
  </borders>
  <cellStyleXfs count="1">
    <xf numFmtId="0" fontId="0" fillId="0" borderId="0"/>
  </cellStyleXfs>
  <cellXfs count="56">
    <xf numFmtId="0" fontId="0" fillId="0" borderId="0" xfId="0"/>
    <xf numFmtId="0" fontId="10" fillId="0" borderId="0" xfId="0" applyFont="1" applyAlignment="1">
      <alignment vertical="top" wrapText="1"/>
    </xf>
    <xf numFmtId="0" fontId="8" fillId="0" borderId="1" xfId="0" applyFont="1" applyBorder="1"/>
    <xf numFmtId="0" fontId="6" fillId="0" borderId="1" xfId="0" applyFont="1" applyBorder="1"/>
    <xf numFmtId="0" fontId="1" fillId="0" borderId="0" xfId="0" applyFont="1"/>
    <xf numFmtId="0" fontId="6" fillId="0" borderId="0" xfId="0" applyFont="1" applyAlignment="1">
      <alignment vertical="top" wrapText="1"/>
    </xf>
    <xf numFmtId="0" fontId="7" fillId="3" borderId="1" xfId="0" applyFont="1" applyFill="1" applyBorder="1"/>
    <xf numFmtId="0" fontId="1" fillId="0" borderId="0" xfId="0" applyFont="1"/>
    <xf numFmtId="0" fontId="2" fillId="0" borderId="0" xfId="0" applyFont="1"/>
    <xf numFmtId="0" fontId="0" fillId="0" borderId="0" xfId="0" applyAlignment="1">
      <alignment vertical="top" wrapText="1"/>
    </xf>
    <xf numFmtId="0" fontId="2" fillId="2" borderId="0" xfId="0" applyFont="1" applyFill="1"/>
    <xf numFmtId="0" fontId="3" fillId="0" borderId="0" xfId="0" applyFont="1" applyAlignment="1">
      <alignment vertical="top" wrapText="1"/>
    </xf>
    <xf numFmtId="0" fontId="0" fillId="3" borderId="0" xfId="0" applyFill="1"/>
    <xf numFmtId="0" fontId="0" fillId="4" borderId="0" xfId="0" applyFill="1"/>
    <xf numFmtId="0" fontId="0" fillId="5" borderId="0" xfId="0" applyFill="1"/>
    <xf numFmtId="0" fontId="4" fillId="6" borderId="1" xfId="0" applyFont="1" applyFill="1" applyBorder="1" applyAlignment="1">
      <alignment horizontal="center" vertical="center" wrapText="1"/>
    </xf>
    <xf numFmtId="0" fontId="5" fillId="0" borderId="1" xfId="0" applyFont="1" applyBorder="1"/>
    <xf numFmtId="0" fontId="5" fillId="4" borderId="1" xfId="0" applyFont="1" applyFill="1" applyBorder="1"/>
    <xf numFmtId="0" fontId="6" fillId="0" borderId="1" xfId="0" applyFont="1" applyBorder="1"/>
    <xf numFmtId="0" fontId="7" fillId="0" borderId="1" xfId="0" applyFont="1" applyBorder="1" applyAlignment="1">
      <alignment horizontal="center" vertical="center"/>
    </xf>
    <xf numFmtId="0" fontId="5" fillId="5" borderId="1" xfId="0" applyFont="1" applyFill="1" applyBorder="1"/>
    <xf numFmtId="0" fontId="5" fillId="7" borderId="1" xfId="0" applyFont="1" applyFill="1" applyBorder="1"/>
    <xf numFmtId="0" fontId="7" fillId="3" borderId="1" xfId="0" applyFont="1" applyFill="1" applyBorder="1"/>
    <xf numFmtId="15" fontId="7" fillId="3" borderId="1" xfId="0" applyNumberFormat="1" applyFont="1" applyFill="1" applyBorder="1"/>
    <xf numFmtId="164" fontId="7" fillId="3" borderId="1" xfId="0" applyNumberFormat="1" applyFont="1" applyFill="1" applyBorder="1"/>
    <xf numFmtId="3" fontId="7" fillId="3" borderId="1" xfId="0" applyNumberFormat="1" applyFont="1" applyFill="1" applyBorder="1"/>
    <xf numFmtId="0" fontId="5" fillId="8" borderId="1" xfId="0" applyFont="1" applyFill="1" applyBorder="1"/>
    <xf numFmtId="0" fontId="8" fillId="0" borderId="1" xfId="0" applyFont="1" applyBorder="1"/>
    <xf numFmtId="4" fontId="7" fillId="3" borderId="1" xfId="0" applyNumberFormat="1" applyFont="1" applyFill="1" applyBorder="1"/>
    <xf numFmtId="4" fontId="5" fillId="4" borderId="1" xfId="0" applyNumberFormat="1" applyFont="1" applyFill="1" applyBorder="1"/>
    <xf numFmtId="4" fontId="8" fillId="0" borderId="1" xfId="0" applyNumberFormat="1" applyFont="1" applyBorder="1"/>
    <xf numFmtId="15" fontId="5" fillId="0" borderId="1" xfId="0" applyNumberFormat="1" applyFont="1" applyBorder="1"/>
    <xf numFmtId="4" fontId="5" fillId="5" borderId="1" xfId="0" applyNumberFormat="1" applyFont="1" applyFill="1" applyBorder="1"/>
    <xf numFmtId="165" fontId="5" fillId="0" borderId="1" xfId="0" applyNumberFormat="1" applyFont="1" applyBorder="1"/>
    <xf numFmtId="165" fontId="8" fillId="0" borderId="1" xfId="0" applyNumberFormat="1" applyFont="1" applyBorder="1"/>
    <xf numFmtId="0" fontId="6" fillId="3" borderId="1" xfId="0" applyFont="1" applyFill="1" applyBorder="1"/>
    <xf numFmtId="165" fontId="7" fillId="3" borderId="1" xfId="0" applyNumberFormat="1" applyFont="1" applyFill="1" applyBorder="1"/>
    <xf numFmtId="0" fontId="7" fillId="3" borderId="1" xfId="0" applyFont="1" applyFill="1" applyBorder="1" applyAlignment="1">
      <alignment horizontal="center" vertical="center"/>
    </xf>
    <xf numFmtId="0" fontId="5" fillId="0" borderId="1" xfId="0" applyFont="1" applyBorder="1" applyAlignment="1">
      <alignment horizontal="center" vertical="center"/>
    </xf>
    <xf numFmtId="17" fontId="5" fillId="0" borderId="1" xfId="0" applyNumberFormat="1" applyFont="1" applyBorder="1"/>
    <xf numFmtId="165" fontId="2" fillId="5" borderId="1" xfId="0" applyNumberFormat="1" applyFont="1" applyFill="1" applyBorder="1"/>
    <xf numFmtId="15" fontId="8" fillId="0" borderId="1" xfId="0" applyNumberFormat="1" applyFont="1" applyBorder="1"/>
    <xf numFmtId="0" fontId="8" fillId="0" borderId="1" xfId="0" applyFont="1" applyBorder="1" applyAlignment="1">
      <alignment horizontal="center" vertical="center"/>
    </xf>
    <xf numFmtId="0" fontId="5" fillId="3" borderId="1" xfId="0" applyFont="1" applyFill="1" applyBorder="1"/>
    <xf numFmtId="15" fontId="5" fillId="3" borderId="1" xfId="0" applyNumberFormat="1" applyFont="1" applyFill="1" applyBorder="1"/>
    <xf numFmtId="1" fontId="5" fillId="0" borderId="1" xfId="0" applyNumberFormat="1" applyFont="1" applyBorder="1"/>
    <xf numFmtId="4" fontId="5" fillId="0" borderId="1" xfId="0" applyNumberFormat="1" applyFont="1" applyBorder="1"/>
    <xf numFmtId="164" fontId="5" fillId="0" borderId="1" xfId="0" applyNumberFormat="1" applyFont="1" applyBorder="1"/>
    <xf numFmtId="0" fontId="2" fillId="5" borderId="1" xfId="0" applyFont="1" applyFill="1" applyBorder="1"/>
    <xf numFmtId="0" fontId="6" fillId="0" borderId="0" xfId="0" applyFont="1"/>
    <xf numFmtId="17" fontId="8" fillId="0" borderId="1" xfId="0" applyNumberFormat="1" applyFont="1" applyBorder="1"/>
    <xf numFmtId="166" fontId="9" fillId="5" borderId="0" xfId="0" applyNumberFormat="1" applyFont="1" applyFill="1" applyAlignment="1">
      <alignment horizontal="center" vertical="center"/>
    </xf>
    <xf numFmtId="0" fontId="8" fillId="0" borderId="0" xfId="0" applyFont="1"/>
    <xf numFmtId="9" fontId="8" fillId="0" borderId="1" xfId="0" applyNumberFormat="1" applyFont="1" applyBorder="1"/>
    <xf numFmtId="1" fontId="8" fillId="0" borderId="1" xfId="0" applyNumberFormat="1" applyFont="1" applyBorder="1"/>
    <xf numFmtId="167" fontId="5" fillId="0" borderId="1" xfId="0" applyNumberFormat="1" applyFont="1" applyBorder="1"/>
  </cellXfs>
  <cellStyles count="1">
    <cellStyle name="Normal" xfId="0" builtinId="0"/>
  </cellStyles>
  <dxfs count="134">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F3EFE8"/>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EEF1F3"/>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
      <fill>
        <patternFill>
          <bgColor rgb="FFDFF3F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2C9"/>
      <rgbColor rgb="FF70808C"/>
      <rgbColor rgb="FF9999FF"/>
      <rgbColor rgb="FF993366"/>
      <rgbColor rgb="FFFFF2CC"/>
      <rgbColor rgb="FFDFF3FB"/>
      <rgbColor rgb="FF660066"/>
      <rgbColor rgb="FFFF8080"/>
      <rgbColor rgb="FF0066CC"/>
      <rgbColor rgb="FFD9DEE2"/>
      <rgbColor rgb="FF000080"/>
      <rgbColor rgb="FFFF00FF"/>
      <rgbColor rgb="FFFFFF00"/>
      <rgbColor rgb="FF00FFFF"/>
      <rgbColor rgb="FF800080"/>
      <rgbColor rgb="FF800000"/>
      <rgbColor rgb="FF008080"/>
      <rgbColor rgb="FF0000FF"/>
      <rgbColor rgb="FF00CCFF"/>
      <rgbColor rgb="FFEEF1F3"/>
      <rgbColor rgb="FFF3EFE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31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51"/>
  <sheetViews>
    <sheetView zoomScaleNormal="100" workbookViewId="0"/>
  </sheetViews>
  <sheetFormatPr defaultColWidth="8.6640625" defaultRowHeight="14.25" x14ac:dyDescent="0.45"/>
  <cols>
    <col min="1" max="1" width="3" customWidth="1"/>
    <col min="2" max="2" width="105" customWidth="1"/>
  </cols>
  <sheetData>
    <row r="2" spans="2:2" ht="17.649999999999999" x14ac:dyDescent="0.5">
      <c r="B2" s="7" t="s">
        <v>0</v>
      </c>
    </row>
    <row r="4" spans="2:2" x14ac:dyDescent="0.45">
      <c r="B4" s="8" t="s">
        <v>1</v>
      </c>
    </row>
    <row r="5" spans="2:2" ht="54.75" customHeight="1" x14ac:dyDescent="0.45">
      <c r="B5" s="9" t="s">
        <v>2</v>
      </c>
    </row>
    <row r="7" spans="2:2" x14ac:dyDescent="0.45">
      <c r="B7" s="10" t="s">
        <v>3</v>
      </c>
    </row>
    <row r="8" spans="2:2" x14ac:dyDescent="0.45">
      <c r="B8" s="8" t="s">
        <v>4</v>
      </c>
    </row>
    <row r="9" spans="2:2" ht="30" customHeight="1" x14ac:dyDescent="0.45">
      <c r="B9" s="11" t="s">
        <v>5</v>
      </c>
    </row>
    <row r="10" spans="2:2" x14ac:dyDescent="0.45">
      <c r="B10" s="8" t="s">
        <v>6</v>
      </c>
    </row>
    <row r="11" spans="2:2" ht="30" customHeight="1" x14ac:dyDescent="0.45">
      <c r="B11" s="11" t="s">
        <v>7</v>
      </c>
    </row>
    <row r="12" spans="2:2" x14ac:dyDescent="0.45">
      <c r="B12" s="8" t="s">
        <v>8</v>
      </c>
    </row>
    <row r="13" spans="2:2" ht="30" customHeight="1" x14ac:dyDescent="0.45">
      <c r="B13" s="11" t="s">
        <v>9</v>
      </c>
    </row>
    <row r="14" spans="2:2" x14ac:dyDescent="0.45">
      <c r="B14" s="8" t="s">
        <v>10</v>
      </c>
    </row>
    <row r="15" spans="2:2" ht="30" customHeight="1" x14ac:dyDescent="0.45">
      <c r="B15" s="11" t="s">
        <v>11</v>
      </c>
    </row>
    <row r="16" spans="2:2" x14ac:dyDescent="0.45">
      <c r="B16" s="8" t="s">
        <v>12</v>
      </c>
    </row>
    <row r="17" spans="2:2" ht="30" customHeight="1" x14ac:dyDescent="0.45">
      <c r="B17" s="11" t="s">
        <v>13</v>
      </c>
    </row>
    <row r="18" spans="2:2" x14ac:dyDescent="0.45">
      <c r="B18" s="8" t="s">
        <v>14</v>
      </c>
    </row>
    <row r="19" spans="2:2" ht="30" customHeight="1" x14ac:dyDescent="0.45">
      <c r="B19" s="11" t="s">
        <v>15</v>
      </c>
    </row>
    <row r="20" spans="2:2" x14ac:dyDescent="0.45">
      <c r="B20" s="8" t="s">
        <v>16</v>
      </c>
    </row>
    <row r="21" spans="2:2" ht="30" customHeight="1" x14ac:dyDescent="0.45">
      <c r="B21" s="11" t="s">
        <v>17</v>
      </c>
    </row>
    <row r="22" spans="2:2" x14ac:dyDescent="0.45">
      <c r="B22" s="8" t="s">
        <v>18</v>
      </c>
    </row>
    <row r="23" spans="2:2" ht="30" customHeight="1" x14ac:dyDescent="0.45">
      <c r="B23" s="11" t="s">
        <v>19</v>
      </c>
    </row>
    <row r="24" spans="2:2" x14ac:dyDescent="0.45">
      <c r="B24" s="8" t="s">
        <v>20</v>
      </c>
    </row>
    <row r="25" spans="2:2" ht="30" customHeight="1" x14ac:dyDescent="0.45">
      <c r="B25" s="11" t="s">
        <v>21</v>
      </c>
    </row>
    <row r="26" spans="2:2" x14ac:dyDescent="0.45">
      <c r="B26" s="8" t="s">
        <v>22</v>
      </c>
    </row>
    <row r="27" spans="2:2" ht="30" customHeight="1" x14ac:dyDescent="0.45">
      <c r="B27" s="11" t="s">
        <v>23</v>
      </c>
    </row>
    <row r="28" spans="2:2" x14ac:dyDescent="0.45">
      <c r="B28" s="8" t="s">
        <v>24</v>
      </c>
    </row>
    <row r="29" spans="2:2" ht="30" customHeight="1" x14ac:dyDescent="0.45">
      <c r="B29" s="11" t="s">
        <v>25</v>
      </c>
    </row>
    <row r="30" spans="2:2" x14ac:dyDescent="0.45">
      <c r="B30" s="8" t="s">
        <v>26</v>
      </c>
    </row>
    <row r="31" spans="2:2" ht="30" customHeight="1" x14ac:dyDescent="0.45">
      <c r="B31" s="11" t="s">
        <v>27</v>
      </c>
    </row>
    <row r="32" spans="2:2" x14ac:dyDescent="0.45">
      <c r="B32" s="8" t="s">
        <v>28</v>
      </c>
    </row>
    <row r="33" spans="2:2" ht="30" customHeight="1" x14ac:dyDescent="0.45">
      <c r="B33" s="11" t="s">
        <v>29</v>
      </c>
    </row>
    <row r="34" spans="2:2" x14ac:dyDescent="0.45">
      <c r="B34" s="8" t="s">
        <v>30</v>
      </c>
    </row>
    <row r="35" spans="2:2" ht="30" customHeight="1" x14ac:dyDescent="0.45">
      <c r="B35" s="11" t="s">
        <v>31</v>
      </c>
    </row>
    <row r="36" spans="2:2" x14ac:dyDescent="0.45">
      <c r="B36" s="8" t="s">
        <v>32</v>
      </c>
    </row>
    <row r="37" spans="2:2" ht="30" customHeight="1" x14ac:dyDescent="0.45">
      <c r="B37" s="11" t="s">
        <v>33</v>
      </c>
    </row>
    <row r="38" spans="2:2" x14ac:dyDescent="0.45">
      <c r="B38" s="8" t="s">
        <v>34</v>
      </c>
    </row>
    <row r="39" spans="2:2" ht="30" customHeight="1" x14ac:dyDescent="0.45">
      <c r="B39" s="11" t="s">
        <v>35</v>
      </c>
    </row>
    <row r="41" spans="2:2" x14ac:dyDescent="0.45">
      <c r="B41" s="10" t="s">
        <v>36</v>
      </c>
    </row>
    <row r="42" spans="2:2" x14ac:dyDescent="0.45">
      <c r="B42" s="12" t="s">
        <v>37</v>
      </c>
    </row>
    <row r="43" spans="2:2" x14ac:dyDescent="0.45">
      <c r="B43" s="13" t="s">
        <v>38</v>
      </c>
    </row>
    <row r="44" spans="2:2" x14ac:dyDescent="0.45">
      <c r="B44" t="s">
        <v>39</v>
      </c>
    </row>
    <row r="45" spans="2:2" x14ac:dyDescent="0.45">
      <c r="B45" s="14" t="s">
        <v>40</v>
      </c>
    </row>
    <row r="47" spans="2:2" x14ac:dyDescent="0.45">
      <c r="B47" s="10" t="s">
        <v>41</v>
      </c>
    </row>
    <row r="48" spans="2:2" ht="39.75" customHeight="1" x14ac:dyDescent="0.45">
      <c r="B48" s="9" t="s">
        <v>42</v>
      </c>
    </row>
    <row r="49" spans="2:2" ht="39.75" customHeight="1" x14ac:dyDescent="0.45">
      <c r="B49" s="9" t="s">
        <v>43</v>
      </c>
    </row>
    <row r="50" spans="2:2" ht="39.75" customHeight="1" x14ac:dyDescent="0.45">
      <c r="B50" s="9" t="s">
        <v>44</v>
      </c>
    </row>
    <row r="51" spans="2:2" ht="39.75" customHeight="1" x14ac:dyDescent="0.45">
      <c r="B51" s="9" t="s">
        <v>45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5"/>
  <sheetViews>
    <sheetView zoomScaleNormal="100" workbookViewId="0">
      <pane ySplit="1" topLeftCell="A2" activePane="bottomLeft" state="frozen"/>
      <selection pane="bottomLeft"/>
    </sheetView>
  </sheetViews>
  <sheetFormatPr defaultColWidth="8.6640625" defaultRowHeight="14.25" x14ac:dyDescent="0.45"/>
  <cols>
    <col min="1" max="1" width="10" customWidth="1"/>
    <col min="2" max="2" width="8" customWidth="1"/>
    <col min="3" max="3" width="30" customWidth="1"/>
    <col min="4" max="4" width="42" customWidth="1"/>
    <col min="5" max="5" width="14" customWidth="1"/>
    <col min="6" max="6" width="34" customWidth="1"/>
    <col min="7" max="7" width="10" customWidth="1"/>
  </cols>
  <sheetData>
    <row r="1" spans="1:7" ht="30" customHeight="1" x14ac:dyDescent="0.45">
      <c r="A1" s="15" t="s">
        <v>46</v>
      </c>
      <c r="B1" s="15" t="s">
        <v>47</v>
      </c>
      <c r="C1" s="15" t="s">
        <v>48</v>
      </c>
      <c r="D1" s="15" t="s">
        <v>49</v>
      </c>
      <c r="E1" s="15" t="s">
        <v>50</v>
      </c>
      <c r="F1" s="15" t="s">
        <v>51</v>
      </c>
      <c r="G1" s="15" t="s">
        <v>52</v>
      </c>
    </row>
    <row r="2" spans="1:7" x14ac:dyDescent="0.45">
      <c r="A2" s="16" t="s">
        <v>53</v>
      </c>
      <c r="B2" s="17" t="s">
        <v>54</v>
      </c>
      <c r="C2" s="16" t="s">
        <v>55</v>
      </c>
      <c r="D2" s="16" t="s">
        <v>56</v>
      </c>
      <c r="E2" s="16" t="s">
        <v>57</v>
      </c>
      <c r="F2" s="18" t="s">
        <v>58</v>
      </c>
      <c r="G2" s="19" t="s">
        <v>59</v>
      </c>
    </row>
    <row r="3" spans="1:7" x14ac:dyDescent="0.45">
      <c r="A3" s="16" t="s">
        <v>60</v>
      </c>
      <c r="B3" s="17" t="s">
        <v>54</v>
      </c>
      <c r="C3" s="16" t="s">
        <v>55</v>
      </c>
      <c r="D3" s="16" t="s">
        <v>61</v>
      </c>
      <c r="E3" s="16" t="s">
        <v>57</v>
      </c>
      <c r="F3" s="18" t="s">
        <v>58</v>
      </c>
      <c r="G3" s="19" t="s">
        <v>59</v>
      </c>
    </row>
    <row r="4" spans="1:7" x14ac:dyDescent="0.45">
      <c r="A4" s="16" t="s">
        <v>62</v>
      </c>
      <c r="B4" s="17" t="s">
        <v>54</v>
      </c>
      <c r="C4" s="16" t="s">
        <v>55</v>
      </c>
      <c r="D4" s="16" t="s">
        <v>63</v>
      </c>
      <c r="E4" s="16" t="s">
        <v>64</v>
      </c>
      <c r="F4" s="18" t="s">
        <v>58</v>
      </c>
      <c r="G4" s="19" t="s">
        <v>59</v>
      </c>
    </row>
    <row r="5" spans="1:7" x14ac:dyDescent="0.45">
      <c r="A5" s="16" t="s">
        <v>65</v>
      </c>
      <c r="B5" s="17" t="s">
        <v>54</v>
      </c>
      <c r="C5" s="16" t="s">
        <v>55</v>
      </c>
      <c r="D5" s="16" t="s">
        <v>66</v>
      </c>
      <c r="E5" s="16" t="s">
        <v>67</v>
      </c>
      <c r="F5" s="18" t="s">
        <v>58</v>
      </c>
      <c r="G5" s="19" t="s">
        <v>59</v>
      </c>
    </row>
    <row r="6" spans="1:7" x14ac:dyDescent="0.45">
      <c r="A6" s="16" t="s">
        <v>68</v>
      </c>
      <c r="B6" s="17" t="s">
        <v>54</v>
      </c>
      <c r="C6" s="16" t="s">
        <v>55</v>
      </c>
      <c r="D6" s="16" t="s">
        <v>69</v>
      </c>
      <c r="E6" s="16" t="s">
        <v>70</v>
      </c>
      <c r="F6" s="18" t="s">
        <v>58</v>
      </c>
      <c r="G6" s="19" t="s">
        <v>59</v>
      </c>
    </row>
    <row r="7" spans="1:7" x14ac:dyDescent="0.45">
      <c r="A7" s="16" t="s">
        <v>71</v>
      </c>
      <c r="B7" s="17" t="s">
        <v>54</v>
      </c>
      <c r="C7" s="16" t="s">
        <v>55</v>
      </c>
      <c r="D7" s="16" t="s">
        <v>72</v>
      </c>
      <c r="E7" s="16" t="s">
        <v>73</v>
      </c>
      <c r="F7" s="18" t="s">
        <v>58</v>
      </c>
      <c r="G7" s="19" t="s">
        <v>59</v>
      </c>
    </row>
    <row r="8" spans="1:7" x14ac:dyDescent="0.45">
      <c r="A8" s="16" t="s">
        <v>74</v>
      </c>
      <c r="B8" s="17" t="s">
        <v>54</v>
      </c>
      <c r="C8" s="16" t="s">
        <v>55</v>
      </c>
      <c r="D8" s="16" t="s">
        <v>75</v>
      </c>
      <c r="E8" s="16" t="s">
        <v>73</v>
      </c>
      <c r="F8" s="18" t="s">
        <v>58</v>
      </c>
      <c r="G8" s="19" t="s">
        <v>59</v>
      </c>
    </row>
    <row r="9" spans="1:7" x14ac:dyDescent="0.45">
      <c r="A9" s="16" t="s">
        <v>76</v>
      </c>
      <c r="B9" s="17" t="s">
        <v>54</v>
      </c>
      <c r="C9" s="16" t="s">
        <v>55</v>
      </c>
      <c r="D9" s="16" t="s">
        <v>77</v>
      </c>
      <c r="E9" s="16" t="s">
        <v>73</v>
      </c>
      <c r="F9" s="18" t="s">
        <v>58</v>
      </c>
      <c r="G9" s="19" t="s">
        <v>59</v>
      </c>
    </row>
    <row r="10" spans="1:7" x14ac:dyDescent="0.45">
      <c r="A10" s="16" t="s">
        <v>78</v>
      </c>
      <c r="B10" s="17" t="s">
        <v>54</v>
      </c>
      <c r="C10" s="16" t="s">
        <v>55</v>
      </c>
      <c r="D10" s="16" t="s">
        <v>79</v>
      </c>
      <c r="E10" s="16" t="s">
        <v>73</v>
      </c>
      <c r="F10" s="18" t="s">
        <v>58</v>
      </c>
      <c r="G10" s="19" t="s">
        <v>59</v>
      </c>
    </row>
    <row r="11" spans="1:7" x14ac:dyDescent="0.45">
      <c r="A11" s="16" t="s">
        <v>80</v>
      </c>
      <c r="B11" s="17" t="s">
        <v>54</v>
      </c>
      <c r="C11" s="16" t="s">
        <v>55</v>
      </c>
      <c r="D11" s="16" t="s">
        <v>81</v>
      </c>
      <c r="E11" s="16" t="s">
        <v>73</v>
      </c>
      <c r="F11" s="18" t="s">
        <v>58</v>
      </c>
      <c r="G11" s="19" t="s">
        <v>59</v>
      </c>
    </row>
    <row r="12" spans="1:7" x14ac:dyDescent="0.45">
      <c r="A12" s="16" t="s">
        <v>82</v>
      </c>
      <c r="B12" s="17" t="s">
        <v>54</v>
      </c>
      <c r="C12" s="16" t="s">
        <v>55</v>
      </c>
      <c r="D12" s="16" t="s">
        <v>83</v>
      </c>
      <c r="E12" s="16" t="s">
        <v>73</v>
      </c>
      <c r="F12" s="18" t="s">
        <v>58</v>
      </c>
      <c r="G12" s="19" t="s">
        <v>59</v>
      </c>
    </row>
    <row r="13" spans="1:7" x14ac:dyDescent="0.45">
      <c r="A13" s="16" t="s">
        <v>84</v>
      </c>
      <c r="B13" s="17" t="s">
        <v>54</v>
      </c>
      <c r="C13" s="16" t="s">
        <v>55</v>
      </c>
      <c r="D13" s="16" t="s">
        <v>85</v>
      </c>
      <c r="E13" s="16" t="s">
        <v>73</v>
      </c>
      <c r="F13" s="18" t="s">
        <v>58</v>
      </c>
      <c r="G13" s="19" t="s">
        <v>59</v>
      </c>
    </row>
    <row r="14" spans="1:7" x14ac:dyDescent="0.45">
      <c r="A14" s="16" t="s">
        <v>86</v>
      </c>
      <c r="B14" s="17" t="s">
        <v>54</v>
      </c>
      <c r="C14" s="16" t="s">
        <v>55</v>
      </c>
      <c r="D14" s="16" t="s">
        <v>87</v>
      </c>
      <c r="E14" s="16" t="s">
        <v>73</v>
      </c>
      <c r="F14" s="18" t="s">
        <v>58</v>
      </c>
      <c r="G14" s="19" t="s">
        <v>59</v>
      </c>
    </row>
    <row r="15" spans="1:7" x14ac:dyDescent="0.45">
      <c r="A15" s="16" t="s">
        <v>88</v>
      </c>
      <c r="B15" s="17" t="s">
        <v>54</v>
      </c>
      <c r="C15" s="16" t="s">
        <v>55</v>
      </c>
      <c r="D15" s="16" t="s">
        <v>89</v>
      </c>
      <c r="E15" s="16" t="s">
        <v>73</v>
      </c>
      <c r="F15" s="18" t="s">
        <v>58</v>
      </c>
      <c r="G15" s="19" t="s">
        <v>59</v>
      </c>
    </row>
    <row r="16" spans="1:7" x14ac:dyDescent="0.45">
      <c r="A16" s="16" t="s">
        <v>90</v>
      </c>
      <c r="B16" s="17" t="s">
        <v>54</v>
      </c>
      <c r="C16" s="16" t="s">
        <v>55</v>
      </c>
      <c r="D16" s="16" t="s">
        <v>91</v>
      </c>
      <c r="E16" s="16" t="s">
        <v>73</v>
      </c>
      <c r="F16" s="18" t="s">
        <v>58</v>
      </c>
      <c r="G16" s="19" t="s">
        <v>59</v>
      </c>
    </row>
    <row r="17" spans="1:7" x14ac:dyDescent="0.45">
      <c r="A17" s="16" t="s">
        <v>92</v>
      </c>
      <c r="B17" s="17" t="s">
        <v>54</v>
      </c>
      <c r="C17" s="16" t="s">
        <v>55</v>
      </c>
      <c r="D17" s="16" t="s">
        <v>93</v>
      </c>
      <c r="E17" s="16" t="s">
        <v>73</v>
      </c>
      <c r="F17" s="18" t="s">
        <v>58</v>
      </c>
      <c r="G17" s="19" t="s">
        <v>59</v>
      </c>
    </row>
    <row r="18" spans="1:7" x14ac:dyDescent="0.45">
      <c r="A18" s="16" t="s">
        <v>94</v>
      </c>
      <c r="B18" s="17" t="s">
        <v>54</v>
      </c>
      <c r="C18" s="16" t="s">
        <v>95</v>
      </c>
      <c r="D18" s="16" t="s">
        <v>96</v>
      </c>
      <c r="E18" s="16" t="s">
        <v>97</v>
      </c>
      <c r="F18" s="18" t="s">
        <v>58</v>
      </c>
      <c r="G18" s="19" t="s">
        <v>59</v>
      </c>
    </row>
    <row r="19" spans="1:7" x14ac:dyDescent="0.45">
      <c r="A19" s="16" t="s">
        <v>98</v>
      </c>
      <c r="B19" s="17" t="s">
        <v>54</v>
      </c>
      <c r="C19" s="16" t="s">
        <v>95</v>
      </c>
      <c r="D19" s="16" t="s">
        <v>99</v>
      </c>
      <c r="E19" s="16" t="s">
        <v>97</v>
      </c>
      <c r="F19" s="18" t="s">
        <v>58</v>
      </c>
      <c r="G19" s="19" t="s">
        <v>59</v>
      </c>
    </row>
    <row r="20" spans="1:7" x14ac:dyDescent="0.45">
      <c r="A20" s="16" t="s">
        <v>100</v>
      </c>
      <c r="B20" s="17" t="s">
        <v>54</v>
      </c>
      <c r="C20" s="16" t="s">
        <v>95</v>
      </c>
      <c r="D20" s="16" t="s">
        <v>101</v>
      </c>
      <c r="E20" s="16" t="s">
        <v>97</v>
      </c>
      <c r="F20" s="18" t="s">
        <v>58</v>
      </c>
      <c r="G20" s="19" t="s">
        <v>59</v>
      </c>
    </row>
    <row r="21" spans="1:7" x14ac:dyDescent="0.45">
      <c r="A21" s="16" t="s">
        <v>102</v>
      </c>
      <c r="B21" s="17" t="s">
        <v>54</v>
      </c>
      <c r="C21" s="16" t="s">
        <v>95</v>
      </c>
      <c r="D21" s="16" t="s">
        <v>103</v>
      </c>
      <c r="E21" s="16" t="s">
        <v>57</v>
      </c>
      <c r="F21" s="18" t="s">
        <v>58</v>
      </c>
      <c r="G21" s="19" t="s">
        <v>59</v>
      </c>
    </row>
    <row r="22" spans="1:7" x14ac:dyDescent="0.45">
      <c r="A22" s="16" t="s">
        <v>104</v>
      </c>
      <c r="B22" s="17" t="s">
        <v>54</v>
      </c>
      <c r="C22" s="16" t="s">
        <v>95</v>
      </c>
      <c r="D22" s="16" t="s">
        <v>105</v>
      </c>
      <c r="E22" s="16" t="s">
        <v>64</v>
      </c>
      <c r="F22" s="18" t="s">
        <v>58</v>
      </c>
      <c r="G22" s="19" t="s">
        <v>59</v>
      </c>
    </row>
    <row r="23" spans="1:7" x14ac:dyDescent="0.45">
      <c r="A23" s="16" t="s">
        <v>106</v>
      </c>
      <c r="B23" s="17" t="s">
        <v>54</v>
      </c>
      <c r="C23" s="16" t="s">
        <v>95</v>
      </c>
      <c r="D23" s="16" t="s">
        <v>107</v>
      </c>
      <c r="E23" s="16" t="s">
        <v>108</v>
      </c>
      <c r="F23" s="18" t="s">
        <v>58</v>
      </c>
      <c r="G23" s="19" t="s">
        <v>59</v>
      </c>
    </row>
    <row r="24" spans="1:7" x14ac:dyDescent="0.45">
      <c r="A24" s="16" t="s">
        <v>109</v>
      </c>
      <c r="B24" s="17" t="s">
        <v>54</v>
      </c>
      <c r="C24" s="16" t="s">
        <v>110</v>
      </c>
      <c r="D24" s="16" t="s">
        <v>111</v>
      </c>
      <c r="E24" s="16" t="s">
        <v>57</v>
      </c>
      <c r="F24" s="18" t="s">
        <v>58</v>
      </c>
      <c r="G24" s="19" t="s">
        <v>59</v>
      </c>
    </row>
    <row r="25" spans="1:7" x14ac:dyDescent="0.45">
      <c r="A25" s="16" t="s">
        <v>112</v>
      </c>
      <c r="B25" s="17" t="s">
        <v>54</v>
      </c>
      <c r="C25" s="16" t="s">
        <v>110</v>
      </c>
      <c r="D25" s="16" t="s">
        <v>113</v>
      </c>
      <c r="E25" s="16" t="s">
        <v>57</v>
      </c>
      <c r="F25" s="18" t="s">
        <v>58</v>
      </c>
      <c r="G25" s="19" t="s">
        <v>59</v>
      </c>
    </row>
    <row r="26" spans="1:7" x14ac:dyDescent="0.45">
      <c r="A26" s="16" t="s">
        <v>114</v>
      </c>
      <c r="B26" s="17" t="s">
        <v>54</v>
      </c>
      <c r="C26" s="16" t="s">
        <v>110</v>
      </c>
      <c r="D26" s="16" t="s">
        <v>115</v>
      </c>
      <c r="E26" s="16" t="s">
        <v>97</v>
      </c>
      <c r="F26" s="18" t="s">
        <v>58</v>
      </c>
      <c r="G26" s="19" t="s">
        <v>59</v>
      </c>
    </row>
    <row r="27" spans="1:7" x14ac:dyDescent="0.45">
      <c r="A27" s="16" t="s">
        <v>116</v>
      </c>
      <c r="B27" s="17" t="s">
        <v>54</v>
      </c>
      <c r="C27" s="16" t="s">
        <v>110</v>
      </c>
      <c r="D27" s="16" t="s">
        <v>117</v>
      </c>
      <c r="E27" s="16" t="s">
        <v>97</v>
      </c>
      <c r="F27" s="18" t="s">
        <v>58</v>
      </c>
      <c r="G27" s="19" t="s">
        <v>59</v>
      </c>
    </row>
    <row r="28" spans="1:7" x14ac:dyDescent="0.45">
      <c r="A28" s="16" t="s">
        <v>118</v>
      </c>
      <c r="B28" s="17" t="s">
        <v>54</v>
      </c>
      <c r="C28" s="16" t="s">
        <v>110</v>
      </c>
      <c r="D28" s="16" t="s">
        <v>119</v>
      </c>
      <c r="E28" s="16" t="s">
        <v>97</v>
      </c>
      <c r="F28" s="18" t="s">
        <v>58</v>
      </c>
      <c r="G28" s="19" t="s">
        <v>59</v>
      </c>
    </row>
    <row r="29" spans="1:7" x14ac:dyDescent="0.45">
      <c r="A29" s="16" t="s">
        <v>120</v>
      </c>
      <c r="B29" s="17" t="s">
        <v>54</v>
      </c>
      <c r="C29" s="16" t="s">
        <v>110</v>
      </c>
      <c r="D29" s="16" t="s">
        <v>121</v>
      </c>
      <c r="E29" s="16" t="s">
        <v>97</v>
      </c>
      <c r="F29" s="18" t="s">
        <v>58</v>
      </c>
      <c r="G29" s="19" t="s">
        <v>59</v>
      </c>
    </row>
    <row r="30" spans="1:7" x14ac:dyDescent="0.45">
      <c r="A30" s="16" t="s">
        <v>122</v>
      </c>
      <c r="B30" s="17" t="s">
        <v>54</v>
      </c>
      <c r="C30" s="16" t="s">
        <v>110</v>
      </c>
      <c r="D30" s="16" t="s">
        <v>123</v>
      </c>
      <c r="E30" s="16" t="s">
        <v>124</v>
      </c>
      <c r="F30" s="18" t="s">
        <v>58</v>
      </c>
      <c r="G30" s="19" t="s">
        <v>59</v>
      </c>
    </row>
    <row r="31" spans="1:7" x14ac:dyDescent="0.45">
      <c r="A31" s="16" t="s">
        <v>125</v>
      </c>
      <c r="B31" s="17" t="s">
        <v>54</v>
      </c>
      <c r="C31" s="16" t="s">
        <v>126</v>
      </c>
      <c r="D31" s="16" t="s">
        <v>127</v>
      </c>
      <c r="E31" s="16" t="s">
        <v>128</v>
      </c>
      <c r="F31" s="18" t="s">
        <v>58</v>
      </c>
      <c r="G31" s="19" t="s">
        <v>59</v>
      </c>
    </row>
    <row r="32" spans="1:7" x14ac:dyDescent="0.45">
      <c r="A32" s="16" t="s">
        <v>129</v>
      </c>
      <c r="B32" s="17" t="s">
        <v>54</v>
      </c>
      <c r="C32" s="16" t="s">
        <v>126</v>
      </c>
      <c r="D32" s="16" t="s">
        <v>130</v>
      </c>
      <c r="E32" s="16" t="s">
        <v>128</v>
      </c>
      <c r="F32" s="18" t="s">
        <v>58</v>
      </c>
      <c r="G32" s="19" t="s">
        <v>59</v>
      </c>
    </row>
    <row r="33" spans="1:7" x14ac:dyDescent="0.45">
      <c r="A33" s="16" t="s">
        <v>131</v>
      </c>
      <c r="B33" s="17" t="s">
        <v>54</v>
      </c>
      <c r="C33" s="16" t="s">
        <v>126</v>
      </c>
      <c r="D33" s="16" t="s">
        <v>132</v>
      </c>
      <c r="E33" s="16" t="s">
        <v>128</v>
      </c>
      <c r="F33" s="18" t="s">
        <v>58</v>
      </c>
      <c r="G33" s="19" t="s">
        <v>59</v>
      </c>
    </row>
    <row r="34" spans="1:7" x14ac:dyDescent="0.45">
      <c r="A34" s="16" t="s">
        <v>133</v>
      </c>
      <c r="B34" s="17" t="s">
        <v>54</v>
      </c>
      <c r="C34" s="16" t="s">
        <v>126</v>
      </c>
      <c r="D34" s="16" t="s">
        <v>134</v>
      </c>
      <c r="E34" s="16" t="s">
        <v>128</v>
      </c>
      <c r="F34" s="18" t="s">
        <v>58</v>
      </c>
      <c r="G34" s="19" t="s">
        <v>59</v>
      </c>
    </row>
    <row r="35" spans="1:7" x14ac:dyDescent="0.45">
      <c r="A35" s="16" t="s">
        <v>135</v>
      </c>
      <c r="B35" s="17" t="s">
        <v>54</v>
      </c>
      <c r="C35" s="16" t="s">
        <v>126</v>
      </c>
      <c r="D35" s="16" t="s">
        <v>136</v>
      </c>
      <c r="E35" s="16" t="s">
        <v>124</v>
      </c>
      <c r="F35" s="18" t="s">
        <v>58</v>
      </c>
      <c r="G35" s="19" t="s">
        <v>59</v>
      </c>
    </row>
    <row r="36" spans="1:7" x14ac:dyDescent="0.45">
      <c r="A36" s="16" t="s">
        <v>137</v>
      </c>
      <c r="B36" s="17" t="s">
        <v>54</v>
      </c>
      <c r="C36" s="16" t="s">
        <v>126</v>
      </c>
      <c r="D36" s="16" t="s">
        <v>138</v>
      </c>
      <c r="E36" s="16" t="s">
        <v>70</v>
      </c>
      <c r="F36" s="18" t="s">
        <v>58</v>
      </c>
      <c r="G36" s="19" t="s">
        <v>59</v>
      </c>
    </row>
    <row r="37" spans="1:7" x14ac:dyDescent="0.45">
      <c r="A37" s="16" t="s">
        <v>139</v>
      </c>
      <c r="B37" s="17" t="s">
        <v>54</v>
      </c>
      <c r="C37" s="16" t="s">
        <v>126</v>
      </c>
      <c r="D37" s="16" t="s">
        <v>140</v>
      </c>
      <c r="E37" s="16" t="s">
        <v>70</v>
      </c>
      <c r="F37" s="18" t="s">
        <v>58</v>
      </c>
      <c r="G37" s="19" t="s">
        <v>59</v>
      </c>
    </row>
    <row r="38" spans="1:7" x14ac:dyDescent="0.45">
      <c r="A38" s="16" t="s">
        <v>141</v>
      </c>
      <c r="B38" s="17" t="s">
        <v>54</v>
      </c>
      <c r="C38" s="16" t="s">
        <v>142</v>
      </c>
      <c r="D38" s="16" t="s">
        <v>143</v>
      </c>
      <c r="E38" s="16" t="s">
        <v>124</v>
      </c>
      <c r="F38" s="18" t="s">
        <v>58</v>
      </c>
      <c r="G38" s="19" t="s">
        <v>59</v>
      </c>
    </row>
    <row r="39" spans="1:7" x14ac:dyDescent="0.45">
      <c r="A39" s="16" t="s">
        <v>144</v>
      </c>
      <c r="B39" s="17" t="s">
        <v>54</v>
      </c>
      <c r="C39" s="16" t="s">
        <v>142</v>
      </c>
      <c r="D39" s="16" t="s">
        <v>145</v>
      </c>
      <c r="E39" s="16" t="s">
        <v>73</v>
      </c>
      <c r="F39" s="18" t="s">
        <v>58</v>
      </c>
      <c r="G39" s="19" t="s">
        <v>59</v>
      </c>
    </row>
    <row r="40" spans="1:7" x14ac:dyDescent="0.45">
      <c r="A40" s="16" t="s">
        <v>146</v>
      </c>
      <c r="B40" s="17" t="s">
        <v>54</v>
      </c>
      <c r="C40" s="16" t="s">
        <v>142</v>
      </c>
      <c r="D40" s="16" t="s">
        <v>147</v>
      </c>
      <c r="E40" s="16" t="s">
        <v>73</v>
      </c>
      <c r="F40" s="18" t="s">
        <v>58</v>
      </c>
      <c r="G40" s="19" t="s">
        <v>59</v>
      </c>
    </row>
    <row r="41" spans="1:7" x14ac:dyDescent="0.45">
      <c r="A41" s="16" t="s">
        <v>148</v>
      </c>
      <c r="B41" s="17" t="s">
        <v>54</v>
      </c>
      <c r="C41" s="16" t="s">
        <v>142</v>
      </c>
      <c r="D41" s="16" t="s">
        <v>149</v>
      </c>
      <c r="E41" s="16" t="s">
        <v>73</v>
      </c>
      <c r="F41" s="18" t="s">
        <v>58</v>
      </c>
      <c r="G41" s="19" t="s">
        <v>59</v>
      </c>
    </row>
    <row r="42" spans="1:7" x14ac:dyDescent="0.45">
      <c r="A42" s="16" t="s">
        <v>150</v>
      </c>
      <c r="B42" s="17" t="s">
        <v>54</v>
      </c>
      <c r="C42" s="16" t="s">
        <v>142</v>
      </c>
      <c r="D42" s="16" t="s">
        <v>151</v>
      </c>
      <c r="E42" s="16" t="s">
        <v>67</v>
      </c>
      <c r="F42" s="18" t="s">
        <v>58</v>
      </c>
      <c r="G42" s="19" t="s">
        <v>59</v>
      </c>
    </row>
    <row r="43" spans="1:7" x14ac:dyDescent="0.45">
      <c r="A43" s="16" t="s">
        <v>152</v>
      </c>
      <c r="B43" s="17" t="s">
        <v>54</v>
      </c>
      <c r="C43" s="16" t="s">
        <v>142</v>
      </c>
      <c r="D43" s="16" t="s">
        <v>153</v>
      </c>
      <c r="E43" s="16" t="s">
        <v>73</v>
      </c>
      <c r="F43" s="18" t="s">
        <v>58</v>
      </c>
      <c r="G43" s="19" t="s">
        <v>59</v>
      </c>
    </row>
    <row r="44" spans="1:7" x14ac:dyDescent="0.45">
      <c r="A44" s="16" t="s">
        <v>154</v>
      </c>
      <c r="B44" s="17" t="s">
        <v>54</v>
      </c>
      <c r="C44" s="16" t="s">
        <v>142</v>
      </c>
      <c r="D44" s="16" t="s">
        <v>155</v>
      </c>
      <c r="E44" s="16" t="s">
        <v>73</v>
      </c>
      <c r="F44" s="18" t="s">
        <v>58</v>
      </c>
      <c r="G44" s="19" t="s">
        <v>59</v>
      </c>
    </row>
    <row r="45" spans="1:7" x14ac:dyDescent="0.45">
      <c r="A45" s="16" t="s">
        <v>156</v>
      </c>
      <c r="B45" s="17" t="s">
        <v>54</v>
      </c>
      <c r="C45" s="16" t="s">
        <v>142</v>
      </c>
      <c r="D45" s="16" t="s">
        <v>157</v>
      </c>
      <c r="E45" s="16" t="s">
        <v>158</v>
      </c>
      <c r="F45" s="18" t="s">
        <v>58</v>
      </c>
      <c r="G45" s="19" t="s">
        <v>59</v>
      </c>
    </row>
    <row r="46" spans="1:7" x14ac:dyDescent="0.45">
      <c r="A46" s="16" t="s">
        <v>159</v>
      </c>
      <c r="B46" s="17" t="s">
        <v>54</v>
      </c>
      <c r="C46" s="16" t="s">
        <v>142</v>
      </c>
      <c r="D46" s="16" t="s">
        <v>160</v>
      </c>
      <c r="E46" s="16" t="s">
        <v>158</v>
      </c>
      <c r="F46" s="18" t="s">
        <v>58</v>
      </c>
      <c r="G46" s="19" t="s">
        <v>59</v>
      </c>
    </row>
    <row r="47" spans="1:7" x14ac:dyDescent="0.45">
      <c r="A47" s="16" t="s">
        <v>161</v>
      </c>
      <c r="B47" s="17" t="s">
        <v>54</v>
      </c>
      <c r="C47" s="16" t="s">
        <v>142</v>
      </c>
      <c r="D47" s="16" t="s">
        <v>162</v>
      </c>
      <c r="E47" s="16" t="s">
        <v>158</v>
      </c>
      <c r="F47" s="18" t="s">
        <v>58</v>
      </c>
      <c r="G47" s="19" t="s">
        <v>59</v>
      </c>
    </row>
    <row r="48" spans="1:7" x14ac:dyDescent="0.45">
      <c r="A48" s="16" t="s">
        <v>163</v>
      </c>
      <c r="B48" s="17" t="s">
        <v>54</v>
      </c>
      <c r="C48" s="16" t="s">
        <v>142</v>
      </c>
      <c r="D48" s="16" t="s">
        <v>164</v>
      </c>
      <c r="E48" s="16" t="s">
        <v>158</v>
      </c>
      <c r="F48" s="18" t="s">
        <v>58</v>
      </c>
      <c r="G48" s="19" t="s">
        <v>59</v>
      </c>
    </row>
    <row r="49" spans="1:7" x14ac:dyDescent="0.45">
      <c r="A49" s="16" t="s">
        <v>165</v>
      </c>
      <c r="B49" s="17" t="s">
        <v>54</v>
      </c>
      <c r="C49" s="16" t="s">
        <v>142</v>
      </c>
      <c r="D49" s="16" t="s">
        <v>166</v>
      </c>
      <c r="E49" s="16" t="s">
        <v>158</v>
      </c>
      <c r="F49" s="18" t="s">
        <v>58</v>
      </c>
      <c r="G49" s="19" t="s">
        <v>59</v>
      </c>
    </row>
    <row r="50" spans="1:7" x14ac:dyDescent="0.45">
      <c r="A50" s="16" t="s">
        <v>167</v>
      </c>
      <c r="B50" s="17" t="s">
        <v>54</v>
      </c>
      <c r="C50" s="16" t="s">
        <v>142</v>
      </c>
      <c r="D50" s="16" t="s">
        <v>168</v>
      </c>
      <c r="E50" s="16" t="s">
        <v>158</v>
      </c>
      <c r="F50" s="18" t="s">
        <v>58</v>
      </c>
      <c r="G50" s="19" t="s">
        <v>59</v>
      </c>
    </row>
    <row r="51" spans="1:7" x14ac:dyDescent="0.45">
      <c r="A51" s="16" t="s">
        <v>169</v>
      </c>
      <c r="B51" s="17" t="s">
        <v>54</v>
      </c>
      <c r="C51" s="16" t="s">
        <v>142</v>
      </c>
      <c r="D51" s="16" t="s">
        <v>170</v>
      </c>
      <c r="E51" s="16" t="s">
        <v>171</v>
      </c>
      <c r="F51" s="18" t="s">
        <v>58</v>
      </c>
      <c r="G51" s="19" t="s">
        <v>59</v>
      </c>
    </row>
    <row r="52" spans="1:7" x14ac:dyDescent="0.45">
      <c r="A52" s="16" t="s">
        <v>172</v>
      </c>
      <c r="B52" s="17" t="s">
        <v>54</v>
      </c>
      <c r="C52" s="16" t="s">
        <v>142</v>
      </c>
      <c r="D52" s="16" t="s">
        <v>173</v>
      </c>
      <c r="E52" s="16" t="s">
        <v>171</v>
      </c>
      <c r="F52" s="18" t="s">
        <v>58</v>
      </c>
      <c r="G52" s="19" t="s">
        <v>59</v>
      </c>
    </row>
    <row r="53" spans="1:7" x14ac:dyDescent="0.45">
      <c r="A53" s="16" t="s">
        <v>174</v>
      </c>
      <c r="B53" s="17" t="s">
        <v>54</v>
      </c>
      <c r="C53" s="16" t="s">
        <v>142</v>
      </c>
      <c r="D53" s="16" t="s">
        <v>175</v>
      </c>
      <c r="E53" s="16" t="s">
        <v>73</v>
      </c>
      <c r="F53" s="18" t="s">
        <v>58</v>
      </c>
      <c r="G53" s="19" t="s">
        <v>59</v>
      </c>
    </row>
    <row r="54" spans="1:7" x14ac:dyDescent="0.45">
      <c r="A54" s="16" t="s">
        <v>176</v>
      </c>
      <c r="B54" s="20" t="s">
        <v>177</v>
      </c>
      <c r="C54" s="16" t="s">
        <v>178</v>
      </c>
      <c r="D54" s="16" t="s">
        <v>179</v>
      </c>
      <c r="E54" s="16" t="s">
        <v>180</v>
      </c>
      <c r="F54" s="18" t="s">
        <v>181</v>
      </c>
      <c r="G54" s="19" t="s">
        <v>182</v>
      </c>
    </row>
    <row r="55" spans="1:7" x14ac:dyDescent="0.45">
      <c r="A55" s="16" t="s">
        <v>183</v>
      </c>
      <c r="B55" s="20" t="s">
        <v>177</v>
      </c>
      <c r="C55" s="16" t="s">
        <v>178</v>
      </c>
      <c r="D55" s="16" t="s">
        <v>184</v>
      </c>
      <c r="E55" s="16" t="s">
        <v>180</v>
      </c>
      <c r="F55" s="18" t="s">
        <v>181</v>
      </c>
      <c r="G55" s="19" t="s">
        <v>182</v>
      </c>
    </row>
    <row r="56" spans="1:7" x14ac:dyDescent="0.45">
      <c r="A56" s="16" t="s">
        <v>185</v>
      </c>
      <c r="B56" s="20" t="s">
        <v>177</v>
      </c>
      <c r="C56" s="16" t="s">
        <v>178</v>
      </c>
      <c r="D56" s="16" t="s">
        <v>186</v>
      </c>
      <c r="E56" s="16" t="s">
        <v>57</v>
      </c>
      <c r="F56" s="18" t="s">
        <v>181</v>
      </c>
      <c r="G56" s="19" t="s">
        <v>182</v>
      </c>
    </row>
    <row r="57" spans="1:7" x14ac:dyDescent="0.45">
      <c r="A57" s="16" t="s">
        <v>187</v>
      </c>
      <c r="B57" s="20" t="s">
        <v>177</v>
      </c>
      <c r="C57" s="16" t="s">
        <v>178</v>
      </c>
      <c r="D57" s="16" t="s">
        <v>188</v>
      </c>
      <c r="E57" s="16" t="s">
        <v>180</v>
      </c>
      <c r="F57" s="18" t="s">
        <v>181</v>
      </c>
      <c r="G57" s="19" t="s">
        <v>182</v>
      </c>
    </row>
    <row r="58" spans="1:7" x14ac:dyDescent="0.45">
      <c r="A58" s="16" t="s">
        <v>189</v>
      </c>
      <c r="B58" s="20" t="s">
        <v>177</v>
      </c>
      <c r="C58" s="16" t="s">
        <v>178</v>
      </c>
      <c r="D58" s="16" t="s">
        <v>190</v>
      </c>
      <c r="E58" s="16" t="s">
        <v>180</v>
      </c>
      <c r="F58" s="18" t="s">
        <v>181</v>
      </c>
      <c r="G58" s="19" t="s">
        <v>182</v>
      </c>
    </row>
    <row r="59" spans="1:7" x14ac:dyDescent="0.45">
      <c r="A59" s="16" t="s">
        <v>191</v>
      </c>
      <c r="B59" s="20" t="s">
        <v>177</v>
      </c>
      <c r="C59" s="16" t="s">
        <v>178</v>
      </c>
      <c r="D59" s="16" t="s">
        <v>192</v>
      </c>
      <c r="E59" s="16" t="s">
        <v>180</v>
      </c>
      <c r="F59" s="18" t="s">
        <v>181</v>
      </c>
      <c r="G59" s="19" t="s">
        <v>182</v>
      </c>
    </row>
    <row r="60" spans="1:7" x14ac:dyDescent="0.45">
      <c r="A60" s="16" t="s">
        <v>193</v>
      </c>
      <c r="B60" s="20" t="s">
        <v>177</v>
      </c>
      <c r="C60" s="16" t="s">
        <v>178</v>
      </c>
      <c r="D60" s="16" t="s">
        <v>194</v>
      </c>
      <c r="E60" s="16" t="s">
        <v>180</v>
      </c>
      <c r="F60" s="18" t="s">
        <v>181</v>
      </c>
      <c r="G60" s="19" t="s">
        <v>182</v>
      </c>
    </row>
    <row r="61" spans="1:7" x14ac:dyDescent="0.45">
      <c r="A61" s="16" t="s">
        <v>195</v>
      </c>
      <c r="B61" s="20" t="s">
        <v>177</v>
      </c>
      <c r="C61" s="16" t="s">
        <v>178</v>
      </c>
      <c r="D61" s="16" t="s">
        <v>196</v>
      </c>
      <c r="E61" s="16" t="s">
        <v>180</v>
      </c>
      <c r="F61" s="18" t="s">
        <v>181</v>
      </c>
      <c r="G61" s="19" t="s">
        <v>182</v>
      </c>
    </row>
    <row r="62" spans="1:7" x14ac:dyDescent="0.45">
      <c r="A62" s="16" t="s">
        <v>197</v>
      </c>
      <c r="B62" s="20" t="s">
        <v>177</v>
      </c>
      <c r="C62" s="16" t="s">
        <v>178</v>
      </c>
      <c r="D62" s="16" t="s">
        <v>198</v>
      </c>
      <c r="E62" s="16" t="s">
        <v>180</v>
      </c>
      <c r="F62" s="18" t="s">
        <v>181</v>
      </c>
      <c r="G62" s="19" t="s">
        <v>182</v>
      </c>
    </row>
    <row r="63" spans="1:7" x14ac:dyDescent="0.45">
      <c r="A63" s="16" t="s">
        <v>199</v>
      </c>
      <c r="B63" s="20" t="s">
        <v>177</v>
      </c>
      <c r="C63" s="16" t="s">
        <v>200</v>
      </c>
      <c r="D63" s="16" t="s">
        <v>201</v>
      </c>
      <c r="E63" s="16" t="s">
        <v>180</v>
      </c>
      <c r="F63" s="18" t="s">
        <v>181</v>
      </c>
      <c r="G63" s="19" t="s">
        <v>182</v>
      </c>
    </row>
    <row r="64" spans="1:7" x14ac:dyDescent="0.45">
      <c r="A64" s="16" t="s">
        <v>202</v>
      </c>
      <c r="B64" s="20" t="s">
        <v>177</v>
      </c>
      <c r="C64" s="16" t="s">
        <v>200</v>
      </c>
      <c r="D64" s="16" t="s">
        <v>203</v>
      </c>
      <c r="E64" s="16" t="s">
        <v>180</v>
      </c>
      <c r="F64" s="18" t="s">
        <v>181</v>
      </c>
      <c r="G64" s="19" t="s">
        <v>182</v>
      </c>
    </row>
    <row r="65" spans="1:7" x14ac:dyDescent="0.45">
      <c r="A65" s="16" t="s">
        <v>204</v>
      </c>
      <c r="B65" s="20" t="s">
        <v>177</v>
      </c>
      <c r="C65" s="16" t="s">
        <v>200</v>
      </c>
      <c r="D65" s="16" t="s">
        <v>205</v>
      </c>
      <c r="E65" s="16" t="s">
        <v>180</v>
      </c>
      <c r="F65" s="18" t="s">
        <v>181</v>
      </c>
      <c r="G65" s="19" t="s">
        <v>182</v>
      </c>
    </row>
    <row r="66" spans="1:7" x14ac:dyDescent="0.45">
      <c r="A66" s="16" t="s">
        <v>206</v>
      </c>
      <c r="B66" s="20" t="s">
        <v>177</v>
      </c>
      <c r="C66" s="16" t="s">
        <v>200</v>
      </c>
      <c r="D66" s="16" t="s">
        <v>207</v>
      </c>
      <c r="E66" s="16" t="s">
        <v>180</v>
      </c>
      <c r="F66" s="18" t="s">
        <v>181</v>
      </c>
      <c r="G66" s="19" t="s">
        <v>182</v>
      </c>
    </row>
    <row r="67" spans="1:7" x14ac:dyDescent="0.45">
      <c r="A67" s="16" t="s">
        <v>208</v>
      </c>
      <c r="B67" s="20" t="s">
        <v>177</v>
      </c>
      <c r="C67" s="16" t="s">
        <v>200</v>
      </c>
      <c r="D67" s="16" t="s">
        <v>209</v>
      </c>
      <c r="E67" s="16" t="s">
        <v>180</v>
      </c>
      <c r="F67" s="18" t="s">
        <v>181</v>
      </c>
      <c r="G67" s="19" t="s">
        <v>182</v>
      </c>
    </row>
    <row r="68" spans="1:7" x14ac:dyDescent="0.45">
      <c r="A68" s="16" t="s">
        <v>210</v>
      </c>
      <c r="B68" s="20" t="s">
        <v>177</v>
      </c>
      <c r="C68" s="16" t="s">
        <v>200</v>
      </c>
      <c r="D68" s="16" t="s">
        <v>211</v>
      </c>
      <c r="E68" s="16" t="s">
        <v>180</v>
      </c>
      <c r="F68" s="18" t="s">
        <v>181</v>
      </c>
      <c r="G68" s="19" t="s">
        <v>182</v>
      </c>
    </row>
    <row r="69" spans="1:7" x14ac:dyDescent="0.45">
      <c r="A69" s="16" t="s">
        <v>212</v>
      </c>
      <c r="B69" s="20" t="s">
        <v>177</v>
      </c>
      <c r="C69" s="16" t="s">
        <v>200</v>
      </c>
      <c r="D69" s="16" t="s">
        <v>213</v>
      </c>
      <c r="E69" s="16" t="s">
        <v>180</v>
      </c>
      <c r="F69" s="18" t="s">
        <v>181</v>
      </c>
      <c r="G69" s="19" t="s">
        <v>182</v>
      </c>
    </row>
    <row r="70" spans="1:7" x14ac:dyDescent="0.45">
      <c r="A70" s="16" t="s">
        <v>214</v>
      </c>
      <c r="B70" s="20" t="s">
        <v>177</v>
      </c>
      <c r="C70" s="16" t="s">
        <v>200</v>
      </c>
      <c r="D70" s="16" t="s">
        <v>215</v>
      </c>
      <c r="E70" s="16" t="s">
        <v>180</v>
      </c>
      <c r="F70" s="18" t="s">
        <v>181</v>
      </c>
      <c r="G70" s="19" t="s">
        <v>182</v>
      </c>
    </row>
    <row r="71" spans="1:7" x14ac:dyDescent="0.45">
      <c r="A71" s="16" t="s">
        <v>216</v>
      </c>
      <c r="B71" s="20" t="s">
        <v>177</v>
      </c>
      <c r="C71" s="16" t="s">
        <v>200</v>
      </c>
      <c r="D71" s="16" t="s">
        <v>217</v>
      </c>
      <c r="E71" s="16" t="s">
        <v>180</v>
      </c>
      <c r="F71" s="18" t="s">
        <v>181</v>
      </c>
      <c r="G71" s="19" t="s">
        <v>182</v>
      </c>
    </row>
    <row r="72" spans="1:7" x14ac:dyDescent="0.45">
      <c r="A72" s="16" t="s">
        <v>218</v>
      </c>
      <c r="B72" s="20" t="s">
        <v>177</v>
      </c>
      <c r="C72" s="16" t="s">
        <v>200</v>
      </c>
      <c r="D72" s="16" t="s">
        <v>219</v>
      </c>
      <c r="E72" s="16" t="s">
        <v>180</v>
      </c>
      <c r="F72" s="18" t="s">
        <v>181</v>
      </c>
      <c r="G72" s="19" t="s">
        <v>182</v>
      </c>
    </row>
    <row r="73" spans="1:7" x14ac:dyDescent="0.45">
      <c r="A73" s="16" t="s">
        <v>220</v>
      </c>
      <c r="B73" s="20" t="s">
        <v>177</v>
      </c>
      <c r="C73" s="16" t="s">
        <v>200</v>
      </c>
      <c r="D73" s="16" t="s">
        <v>221</v>
      </c>
      <c r="E73" s="16" t="s">
        <v>180</v>
      </c>
      <c r="F73" s="18" t="s">
        <v>181</v>
      </c>
      <c r="G73" s="19" t="s">
        <v>182</v>
      </c>
    </row>
    <row r="74" spans="1:7" x14ac:dyDescent="0.45">
      <c r="A74" s="16" t="s">
        <v>222</v>
      </c>
      <c r="B74" s="20" t="s">
        <v>177</v>
      </c>
      <c r="C74" s="16" t="s">
        <v>200</v>
      </c>
      <c r="D74" s="16" t="s">
        <v>223</v>
      </c>
      <c r="E74" s="16" t="s">
        <v>180</v>
      </c>
      <c r="F74" s="18" t="s">
        <v>181</v>
      </c>
      <c r="G74" s="19" t="s">
        <v>182</v>
      </c>
    </row>
    <row r="75" spans="1:7" x14ac:dyDescent="0.45">
      <c r="A75" s="16" t="s">
        <v>224</v>
      </c>
      <c r="B75" s="20" t="s">
        <v>177</v>
      </c>
      <c r="C75" s="16" t="s">
        <v>225</v>
      </c>
      <c r="D75" s="16" t="s">
        <v>226</v>
      </c>
      <c r="E75" s="16" t="s">
        <v>180</v>
      </c>
      <c r="F75" s="18" t="s">
        <v>181</v>
      </c>
      <c r="G75" s="19" t="s">
        <v>182</v>
      </c>
    </row>
    <row r="76" spans="1:7" x14ac:dyDescent="0.45">
      <c r="A76" s="16" t="s">
        <v>227</v>
      </c>
      <c r="B76" s="20" t="s">
        <v>177</v>
      </c>
      <c r="C76" s="16" t="s">
        <v>225</v>
      </c>
      <c r="D76" s="16" t="s">
        <v>228</v>
      </c>
      <c r="E76" s="16" t="s">
        <v>180</v>
      </c>
      <c r="F76" s="18" t="s">
        <v>181</v>
      </c>
      <c r="G76" s="19" t="s">
        <v>182</v>
      </c>
    </row>
    <row r="77" spans="1:7" x14ac:dyDescent="0.45">
      <c r="A77" s="16" t="s">
        <v>229</v>
      </c>
      <c r="B77" s="20" t="s">
        <v>177</v>
      </c>
      <c r="C77" s="16" t="s">
        <v>225</v>
      </c>
      <c r="D77" s="16" t="s">
        <v>230</v>
      </c>
      <c r="E77" s="16" t="s">
        <v>180</v>
      </c>
      <c r="F77" s="18" t="s">
        <v>181</v>
      </c>
      <c r="G77" s="19" t="s">
        <v>182</v>
      </c>
    </row>
    <row r="78" spans="1:7" x14ac:dyDescent="0.45">
      <c r="A78" s="16" t="s">
        <v>231</v>
      </c>
      <c r="B78" s="20" t="s">
        <v>177</v>
      </c>
      <c r="C78" s="16" t="s">
        <v>225</v>
      </c>
      <c r="D78" s="16" t="s">
        <v>232</v>
      </c>
      <c r="E78" s="16" t="s">
        <v>180</v>
      </c>
      <c r="F78" s="18" t="s">
        <v>181</v>
      </c>
      <c r="G78" s="19" t="s">
        <v>182</v>
      </c>
    </row>
    <row r="79" spans="1:7" x14ac:dyDescent="0.45">
      <c r="A79" s="16" t="s">
        <v>233</v>
      </c>
      <c r="B79" s="20" t="s">
        <v>177</v>
      </c>
      <c r="C79" s="16" t="s">
        <v>225</v>
      </c>
      <c r="D79" s="16" t="s">
        <v>234</v>
      </c>
      <c r="E79" s="16" t="s">
        <v>180</v>
      </c>
      <c r="F79" s="18" t="s">
        <v>181</v>
      </c>
      <c r="G79" s="19" t="s">
        <v>182</v>
      </c>
    </row>
    <row r="80" spans="1:7" x14ac:dyDescent="0.45">
      <c r="A80" s="16" t="s">
        <v>235</v>
      </c>
      <c r="B80" s="20" t="s">
        <v>177</v>
      </c>
      <c r="C80" s="16" t="s">
        <v>225</v>
      </c>
      <c r="D80" s="16" t="s">
        <v>236</v>
      </c>
      <c r="E80" s="16" t="s">
        <v>180</v>
      </c>
      <c r="F80" s="18" t="s">
        <v>181</v>
      </c>
      <c r="G80" s="19" t="s">
        <v>182</v>
      </c>
    </row>
    <row r="81" spans="1:7" x14ac:dyDescent="0.45">
      <c r="A81" s="16" t="s">
        <v>237</v>
      </c>
      <c r="B81" s="20" t="s">
        <v>177</v>
      </c>
      <c r="C81" s="16" t="s">
        <v>225</v>
      </c>
      <c r="D81" s="16" t="s">
        <v>238</v>
      </c>
      <c r="E81" s="16" t="s">
        <v>180</v>
      </c>
      <c r="F81" s="18" t="s">
        <v>181</v>
      </c>
      <c r="G81" s="19" t="s">
        <v>182</v>
      </c>
    </row>
    <row r="82" spans="1:7" x14ac:dyDescent="0.45">
      <c r="A82" s="16" t="s">
        <v>239</v>
      </c>
      <c r="B82" s="20" t="s">
        <v>177</v>
      </c>
      <c r="C82" s="16" t="s">
        <v>225</v>
      </c>
      <c r="D82" s="16" t="s">
        <v>240</v>
      </c>
      <c r="E82" s="16" t="s">
        <v>180</v>
      </c>
      <c r="F82" s="18" t="s">
        <v>181</v>
      </c>
      <c r="G82" s="19" t="s">
        <v>182</v>
      </c>
    </row>
    <row r="83" spans="1:7" x14ac:dyDescent="0.45">
      <c r="A83" s="16" t="s">
        <v>241</v>
      </c>
      <c r="B83" s="20" t="s">
        <v>177</v>
      </c>
      <c r="C83" s="16" t="s">
        <v>225</v>
      </c>
      <c r="D83" s="16" t="s">
        <v>242</v>
      </c>
      <c r="E83" s="16" t="s">
        <v>180</v>
      </c>
      <c r="F83" s="18" t="s">
        <v>181</v>
      </c>
      <c r="G83" s="19" t="s">
        <v>182</v>
      </c>
    </row>
    <row r="84" spans="1:7" x14ac:dyDescent="0.45">
      <c r="A84" s="16" t="s">
        <v>243</v>
      </c>
      <c r="B84" s="20" t="s">
        <v>177</v>
      </c>
      <c r="C84" s="16" t="s">
        <v>225</v>
      </c>
      <c r="D84" s="16" t="s">
        <v>244</v>
      </c>
      <c r="E84" s="16" t="s">
        <v>180</v>
      </c>
      <c r="F84" s="18" t="s">
        <v>181</v>
      </c>
      <c r="G84" s="19" t="s">
        <v>182</v>
      </c>
    </row>
    <row r="85" spans="1:7" x14ac:dyDescent="0.45">
      <c r="A85" s="16" t="s">
        <v>245</v>
      </c>
      <c r="B85" s="20" t="s">
        <v>177</v>
      </c>
      <c r="C85" s="16" t="s">
        <v>225</v>
      </c>
      <c r="D85" s="16" t="s">
        <v>246</v>
      </c>
      <c r="E85" s="16" t="s">
        <v>180</v>
      </c>
      <c r="F85" s="18" t="s">
        <v>181</v>
      </c>
      <c r="G85" s="19" t="s">
        <v>182</v>
      </c>
    </row>
    <row r="86" spans="1:7" x14ac:dyDescent="0.45">
      <c r="A86" s="16" t="s">
        <v>247</v>
      </c>
      <c r="B86" s="20" t="s">
        <v>177</v>
      </c>
      <c r="C86" s="16" t="s">
        <v>225</v>
      </c>
      <c r="D86" s="16" t="s">
        <v>248</v>
      </c>
      <c r="E86" s="16" t="s">
        <v>180</v>
      </c>
      <c r="F86" s="18" t="s">
        <v>181</v>
      </c>
      <c r="G86" s="19" t="s">
        <v>182</v>
      </c>
    </row>
    <row r="87" spans="1:7" x14ac:dyDescent="0.45">
      <c r="A87" s="16" t="s">
        <v>249</v>
      </c>
      <c r="B87" s="20" t="s">
        <v>177</v>
      </c>
      <c r="C87" s="16" t="s">
        <v>250</v>
      </c>
      <c r="D87" s="16" t="s">
        <v>251</v>
      </c>
      <c r="E87" s="16" t="s">
        <v>252</v>
      </c>
      <c r="F87" s="18" t="s">
        <v>181</v>
      </c>
      <c r="G87" s="19" t="s">
        <v>182</v>
      </c>
    </row>
    <row r="88" spans="1:7" x14ac:dyDescent="0.45">
      <c r="A88" s="16" t="s">
        <v>253</v>
      </c>
      <c r="B88" s="20" t="s">
        <v>177</v>
      </c>
      <c r="C88" s="16" t="s">
        <v>250</v>
      </c>
      <c r="D88" s="16" t="s">
        <v>254</v>
      </c>
      <c r="E88" s="16" t="s">
        <v>252</v>
      </c>
      <c r="F88" s="18" t="s">
        <v>181</v>
      </c>
      <c r="G88" s="19" t="s">
        <v>182</v>
      </c>
    </row>
    <row r="89" spans="1:7" x14ac:dyDescent="0.45">
      <c r="A89" s="16" t="s">
        <v>255</v>
      </c>
      <c r="B89" s="20" t="s">
        <v>177</v>
      </c>
      <c r="C89" s="16" t="s">
        <v>250</v>
      </c>
      <c r="D89" s="16" t="s">
        <v>256</v>
      </c>
      <c r="E89" s="16" t="s">
        <v>252</v>
      </c>
      <c r="F89" s="18" t="s">
        <v>181</v>
      </c>
      <c r="G89" s="19" t="s">
        <v>182</v>
      </c>
    </row>
    <row r="90" spans="1:7" x14ac:dyDescent="0.45">
      <c r="A90" s="16" t="s">
        <v>257</v>
      </c>
      <c r="B90" s="20" t="s">
        <v>177</v>
      </c>
      <c r="C90" s="16" t="s">
        <v>250</v>
      </c>
      <c r="D90" s="16" t="s">
        <v>258</v>
      </c>
      <c r="E90" s="16" t="s">
        <v>252</v>
      </c>
      <c r="F90" s="18" t="s">
        <v>181</v>
      </c>
      <c r="G90" s="19" t="s">
        <v>182</v>
      </c>
    </row>
    <row r="91" spans="1:7" x14ac:dyDescent="0.45">
      <c r="A91" s="16" t="s">
        <v>259</v>
      </c>
      <c r="B91" s="20" t="s">
        <v>177</v>
      </c>
      <c r="C91" s="16" t="s">
        <v>250</v>
      </c>
      <c r="D91" s="16" t="s">
        <v>260</v>
      </c>
      <c r="E91" s="16" t="s">
        <v>252</v>
      </c>
      <c r="F91" s="18" t="s">
        <v>181</v>
      </c>
      <c r="G91" s="19" t="s">
        <v>182</v>
      </c>
    </row>
    <row r="92" spans="1:7" x14ac:dyDescent="0.45">
      <c r="A92" s="16" t="s">
        <v>261</v>
      </c>
      <c r="B92" s="20" t="s">
        <v>177</v>
      </c>
      <c r="C92" s="16" t="s">
        <v>250</v>
      </c>
      <c r="D92" s="16" t="s">
        <v>262</v>
      </c>
      <c r="E92" s="16" t="s">
        <v>252</v>
      </c>
      <c r="F92" s="18" t="s">
        <v>181</v>
      </c>
      <c r="G92" s="19" t="s">
        <v>182</v>
      </c>
    </row>
    <row r="93" spans="1:7" x14ac:dyDescent="0.45">
      <c r="A93" s="16" t="s">
        <v>263</v>
      </c>
      <c r="B93" s="20" t="s">
        <v>177</v>
      </c>
      <c r="C93" s="16" t="s">
        <v>250</v>
      </c>
      <c r="D93" s="16" t="s">
        <v>264</v>
      </c>
      <c r="E93" s="16" t="s">
        <v>252</v>
      </c>
      <c r="F93" s="18" t="s">
        <v>181</v>
      </c>
      <c r="G93" s="19" t="s">
        <v>182</v>
      </c>
    </row>
    <row r="94" spans="1:7" x14ac:dyDescent="0.45">
      <c r="A94" s="16" t="s">
        <v>265</v>
      </c>
      <c r="B94" s="20" t="s">
        <v>177</v>
      </c>
      <c r="C94" s="16" t="s">
        <v>250</v>
      </c>
      <c r="D94" s="16" t="s">
        <v>266</v>
      </c>
      <c r="E94" s="16" t="s">
        <v>252</v>
      </c>
      <c r="F94" s="18" t="s">
        <v>181</v>
      </c>
      <c r="G94" s="19" t="s">
        <v>182</v>
      </c>
    </row>
    <row r="95" spans="1:7" x14ac:dyDescent="0.45">
      <c r="A95" s="16" t="s">
        <v>267</v>
      </c>
      <c r="B95" s="20" t="s">
        <v>177</v>
      </c>
      <c r="C95" s="16" t="s">
        <v>250</v>
      </c>
      <c r="D95" s="16" t="s">
        <v>268</v>
      </c>
      <c r="E95" s="16" t="s">
        <v>252</v>
      </c>
      <c r="F95" s="18" t="s">
        <v>181</v>
      </c>
      <c r="G95" s="19" t="s">
        <v>182</v>
      </c>
    </row>
    <row r="96" spans="1:7" x14ac:dyDescent="0.45">
      <c r="A96" s="16" t="s">
        <v>269</v>
      </c>
      <c r="B96" s="20" t="s">
        <v>177</v>
      </c>
      <c r="C96" s="16" t="s">
        <v>250</v>
      </c>
      <c r="D96" s="16" t="s">
        <v>270</v>
      </c>
      <c r="E96" s="16" t="s">
        <v>252</v>
      </c>
      <c r="F96" s="18" t="s">
        <v>181</v>
      </c>
      <c r="G96" s="19" t="s">
        <v>182</v>
      </c>
    </row>
    <row r="97" spans="1:7" x14ac:dyDescent="0.45">
      <c r="A97" s="16" t="s">
        <v>271</v>
      </c>
      <c r="B97" s="20" t="s">
        <v>177</v>
      </c>
      <c r="C97" s="16" t="s">
        <v>250</v>
      </c>
      <c r="D97" s="16" t="s">
        <v>272</v>
      </c>
      <c r="E97" s="16" t="s">
        <v>252</v>
      </c>
      <c r="F97" s="18" t="s">
        <v>181</v>
      </c>
      <c r="G97" s="19" t="s">
        <v>182</v>
      </c>
    </row>
    <row r="98" spans="1:7" x14ac:dyDescent="0.45">
      <c r="A98" s="16" t="s">
        <v>273</v>
      </c>
      <c r="B98" s="20" t="s">
        <v>177</v>
      </c>
      <c r="C98" s="16" t="s">
        <v>250</v>
      </c>
      <c r="D98" s="16" t="s">
        <v>274</v>
      </c>
      <c r="E98" s="16" t="s">
        <v>252</v>
      </c>
      <c r="F98" s="18" t="s">
        <v>181</v>
      </c>
      <c r="G98" s="19" t="s">
        <v>182</v>
      </c>
    </row>
    <row r="99" spans="1:7" x14ac:dyDescent="0.45">
      <c r="A99" s="16" t="s">
        <v>275</v>
      </c>
      <c r="B99" s="20" t="s">
        <v>177</v>
      </c>
      <c r="C99" s="16" t="s">
        <v>250</v>
      </c>
      <c r="D99" s="16" t="s">
        <v>276</v>
      </c>
      <c r="E99" s="16" t="s">
        <v>252</v>
      </c>
      <c r="F99" s="18" t="s">
        <v>181</v>
      </c>
      <c r="G99" s="19" t="s">
        <v>182</v>
      </c>
    </row>
    <row r="100" spans="1:7" x14ac:dyDescent="0.45">
      <c r="A100" s="16" t="s">
        <v>277</v>
      </c>
      <c r="B100" s="20" t="s">
        <v>177</v>
      </c>
      <c r="C100" s="16" t="s">
        <v>250</v>
      </c>
      <c r="D100" s="16" t="s">
        <v>278</v>
      </c>
      <c r="E100" s="16" t="s">
        <v>252</v>
      </c>
      <c r="F100" s="18" t="s">
        <v>181</v>
      </c>
      <c r="G100" s="19" t="s">
        <v>182</v>
      </c>
    </row>
    <row r="101" spans="1:7" x14ac:dyDescent="0.45">
      <c r="A101" s="16" t="s">
        <v>279</v>
      </c>
      <c r="B101" s="21" t="s">
        <v>280</v>
      </c>
      <c r="C101" s="16" t="s">
        <v>281</v>
      </c>
      <c r="D101" s="16" t="s">
        <v>282</v>
      </c>
      <c r="E101" s="16" t="s">
        <v>283</v>
      </c>
      <c r="F101" s="18" t="s">
        <v>284</v>
      </c>
      <c r="G101" s="19" t="s">
        <v>182</v>
      </c>
    </row>
    <row r="102" spans="1:7" x14ac:dyDescent="0.45">
      <c r="A102" s="16" t="s">
        <v>285</v>
      </c>
      <c r="B102" s="21" t="s">
        <v>280</v>
      </c>
      <c r="C102" s="16" t="s">
        <v>281</v>
      </c>
      <c r="D102" s="16" t="s">
        <v>286</v>
      </c>
      <c r="E102" s="16" t="s">
        <v>283</v>
      </c>
      <c r="F102" s="18" t="s">
        <v>284</v>
      </c>
      <c r="G102" s="19" t="s">
        <v>182</v>
      </c>
    </row>
    <row r="103" spans="1:7" x14ac:dyDescent="0.45">
      <c r="A103" s="16" t="s">
        <v>287</v>
      </c>
      <c r="B103" s="21" t="s">
        <v>280</v>
      </c>
      <c r="C103" s="16" t="s">
        <v>281</v>
      </c>
      <c r="D103" s="16" t="s">
        <v>288</v>
      </c>
      <c r="E103" s="16" t="s">
        <v>283</v>
      </c>
      <c r="F103" s="18" t="s">
        <v>284</v>
      </c>
      <c r="G103" s="19" t="s">
        <v>182</v>
      </c>
    </row>
    <row r="104" spans="1:7" x14ac:dyDescent="0.45">
      <c r="A104" s="16" t="s">
        <v>289</v>
      </c>
      <c r="B104" s="21" t="s">
        <v>280</v>
      </c>
      <c r="C104" s="16" t="s">
        <v>281</v>
      </c>
      <c r="D104" s="16" t="s">
        <v>290</v>
      </c>
      <c r="E104" s="16" t="s">
        <v>283</v>
      </c>
      <c r="F104" s="18" t="s">
        <v>284</v>
      </c>
      <c r="G104" s="19" t="s">
        <v>182</v>
      </c>
    </row>
    <row r="105" spans="1:7" x14ac:dyDescent="0.45">
      <c r="A105" s="16" t="s">
        <v>291</v>
      </c>
      <c r="B105" s="21" t="s">
        <v>280</v>
      </c>
      <c r="C105" s="16" t="s">
        <v>281</v>
      </c>
      <c r="D105" s="16" t="s">
        <v>292</v>
      </c>
      <c r="E105" s="16" t="s">
        <v>283</v>
      </c>
      <c r="F105" s="18" t="s">
        <v>284</v>
      </c>
      <c r="G105" s="19" t="s">
        <v>182</v>
      </c>
    </row>
    <row r="106" spans="1:7" x14ac:dyDescent="0.45">
      <c r="A106" s="16" t="s">
        <v>293</v>
      </c>
      <c r="B106" s="21" t="s">
        <v>280</v>
      </c>
      <c r="C106" s="16" t="s">
        <v>281</v>
      </c>
      <c r="D106" s="16" t="s">
        <v>294</v>
      </c>
      <c r="E106" s="16" t="s">
        <v>283</v>
      </c>
      <c r="F106" s="18" t="s">
        <v>284</v>
      </c>
      <c r="G106" s="19" t="s">
        <v>182</v>
      </c>
    </row>
    <row r="107" spans="1:7" x14ac:dyDescent="0.45">
      <c r="A107" s="16" t="s">
        <v>295</v>
      </c>
      <c r="B107" s="21" t="s">
        <v>280</v>
      </c>
      <c r="C107" s="16" t="s">
        <v>281</v>
      </c>
      <c r="D107" s="16" t="s">
        <v>296</v>
      </c>
      <c r="E107" s="16" t="s">
        <v>283</v>
      </c>
      <c r="F107" s="18" t="s">
        <v>284</v>
      </c>
      <c r="G107" s="19" t="s">
        <v>182</v>
      </c>
    </row>
    <row r="108" spans="1:7" x14ac:dyDescent="0.45">
      <c r="A108" s="16" t="s">
        <v>297</v>
      </c>
      <c r="B108" s="21" t="s">
        <v>280</v>
      </c>
      <c r="C108" s="16" t="s">
        <v>281</v>
      </c>
      <c r="D108" s="16" t="s">
        <v>298</v>
      </c>
      <c r="E108" s="16" t="s">
        <v>283</v>
      </c>
      <c r="F108" s="18" t="s">
        <v>284</v>
      </c>
      <c r="G108" s="19" t="s">
        <v>182</v>
      </c>
    </row>
    <row r="109" spans="1:7" x14ac:dyDescent="0.45">
      <c r="A109" s="16" t="s">
        <v>299</v>
      </c>
      <c r="B109" s="21" t="s">
        <v>280</v>
      </c>
      <c r="C109" s="16" t="s">
        <v>281</v>
      </c>
      <c r="D109" s="16" t="s">
        <v>300</v>
      </c>
      <c r="E109" s="16" t="s">
        <v>283</v>
      </c>
      <c r="F109" s="18" t="s">
        <v>284</v>
      </c>
      <c r="G109" s="19" t="s">
        <v>182</v>
      </c>
    </row>
    <row r="110" spans="1:7" x14ac:dyDescent="0.45">
      <c r="A110" s="16" t="s">
        <v>301</v>
      </c>
      <c r="B110" s="21" t="s">
        <v>280</v>
      </c>
      <c r="C110" s="16" t="s">
        <v>281</v>
      </c>
      <c r="D110" s="16" t="s">
        <v>302</v>
      </c>
      <c r="E110" s="16" t="s">
        <v>283</v>
      </c>
      <c r="F110" s="18" t="s">
        <v>284</v>
      </c>
      <c r="G110" s="19" t="s">
        <v>182</v>
      </c>
    </row>
    <row r="111" spans="1:7" x14ac:dyDescent="0.45">
      <c r="A111" s="16" t="s">
        <v>303</v>
      </c>
      <c r="B111" s="21" t="s">
        <v>280</v>
      </c>
      <c r="C111" s="16" t="s">
        <v>281</v>
      </c>
      <c r="D111" s="16" t="s">
        <v>304</v>
      </c>
      <c r="E111" s="16" t="s">
        <v>283</v>
      </c>
      <c r="F111" s="18" t="s">
        <v>284</v>
      </c>
      <c r="G111" s="19" t="s">
        <v>182</v>
      </c>
    </row>
    <row r="112" spans="1:7" x14ac:dyDescent="0.45">
      <c r="A112" s="16" t="s">
        <v>305</v>
      </c>
      <c r="B112" s="21" t="s">
        <v>280</v>
      </c>
      <c r="C112" s="16" t="s">
        <v>281</v>
      </c>
      <c r="D112" s="16" t="s">
        <v>306</v>
      </c>
      <c r="E112" s="16" t="s">
        <v>283</v>
      </c>
      <c r="F112" s="18" t="s">
        <v>284</v>
      </c>
      <c r="G112" s="19" t="s">
        <v>182</v>
      </c>
    </row>
    <row r="113" spans="1:7" x14ac:dyDescent="0.45">
      <c r="A113" s="16" t="s">
        <v>307</v>
      </c>
      <c r="B113" s="21" t="s">
        <v>280</v>
      </c>
      <c r="C113" s="16" t="s">
        <v>281</v>
      </c>
      <c r="D113" s="16" t="s">
        <v>308</v>
      </c>
      <c r="E113" s="16" t="s">
        <v>283</v>
      </c>
      <c r="F113" s="18" t="s">
        <v>284</v>
      </c>
      <c r="G113" s="19" t="s">
        <v>182</v>
      </c>
    </row>
    <row r="114" spans="1:7" x14ac:dyDescent="0.45">
      <c r="A114" s="16" t="s">
        <v>309</v>
      </c>
      <c r="B114" s="21" t="s">
        <v>280</v>
      </c>
      <c r="C114" s="16" t="s">
        <v>281</v>
      </c>
      <c r="D114" s="16" t="s">
        <v>310</v>
      </c>
      <c r="E114" s="16" t="s">
        <v>283</v>
      </c>
      <c r="F114" s="18" t="s">
        <v>284</v>
      </c>
      <c r="G114" s="19" t="s">
        <v>182</v>
      </c>
    </row>
    <row r="115" spans="1:7" x14ac:dyDescent="0.45">
      <c r="A115" s="16" t="s">
        <v>311</v>
      </c>
      <c r="B115" s="21" t="s">
        <v>280</v>
      </c>
      <c r="C115" s="16" t="s">
        <v>281</v>
      </c>
      <c r="D115" s="16" t="s">
        <v>312</v>
      </c>
      <c r="E115" s="16" t="s">
        <v>283</v>
      </c>
      <c r="F115" s="18" t="s">
        <v>284</v>
      </c>
      <c r="G115" s="19" t="s">
        <v>182</v>
      </c>
    </row>
    <row r="116" spans="1:7" x14ac:dyDescent="0.45">
      <c r="A116" s="16" t="s">
        <v>313</v>
      </c>
      <c r="B116" s="21" t="s">
        <v>280</v>
      </c>
      <c r="C116" s="16" t="s">
        <v>281</v>
      </c>
      <c r="D116" s="16" t="s">
        <v>314</v>
      </c>
      <c r="E116" s="16" t="s">
        <v>283</v>
      </c>
      <c r="F116" s="18" t="s">
        <v>284</v>
      </c>
      <c r="G116" s="19" t="s">
        <v>182</v>
      </c>
    </row>
    <row r="117" spans="1:7" x14ac:dyDescent="0.45">
      <c r="A117" s="16" t="s">
        <v>315</v>
      </c>
      <c r="B117" s="21" t="s">
        <v>280</v>
      </c>
      <c r="C117" s="16" t="s">
        <v>281</v>
      </c>
      <c r="D117" s="16" t="s">
        <v>316</v>
      </c>
      <c r="E117" s="16" t="s">
        <v>283</v>
      </c>
      <c r="F117" s="18" t="s">
        <v>284</v>
      </c>
      <c r="G117" s="19" t="s">
        <v>182</v>
      </c>
    </row>
    <row r="118" spans="1:7" x14ac:dyDescent="0.45">
      <c r="A118" s="16" t="s">
        <v>317</v>
      </c>
      <c r="B118" s="21" t="s">
        <v>280</v>
      </c>
      <c r="C118" s="16" t="s">
        <v>281</v>
      </c>
      <c r="D118" s="16" t="s">
        <v>318</v>
      </c>
      <c r="E118" s="16" t="s">
        <v>283</v>
      </c>
      <c r="F118" s="18" t="s">
        <v>284</v>
      </c>
      <c r="G118" s="19" t="s">
        <v>182</v>
      </c>
    </row>
    <row r="119" spans="1:7" x14ac:dyDescent="0.45">
      <c r="A119" s="16" t="s">
        <v>319</v>
      </c>
      <c r="B119" s="21" t="s">
        <v>280</v>
      </c>
      <c r="C119" s="16" t="s">
        <v>281</v>
      </c>
      <c r="D119" s="16" t="s">
        <v>320</v>
      </c>
      <c r="E119" s="16" t="s">
        <v>283</v>
      </c>
      <c r="F119" s="18" t="s">
        <v>284</v>
      </c>
      <c r="G119" s="19" t="s">
        <v>182</v>
      </c>
    </row>
    <row r="120" spans="1:7" x14ac:dyDescent="0.45">
      <c r="A120" s="16" t="s">
        <v>321</v>
      </c>
      <c r="B120" s="21" t="s">
        <v>280</v>
      </c>
      <c r="C120" s="16" t="s">
        <v>281</v>
      </c>
      <c r="D120" s="16" t="s">
        <v>322</v>
      </c>
      <c r="E120" s="16" t="s">
        <v>283</v>
      </c>
      <c r="F120" s="18" t="s">
        <v>284</v>
      </c>
      <c r="G120" s="19" t="s">
        <v>182</v>
      </c>
    </row>
    <row r="121" spans="1:7" x14ac:dyDescent="0.45">
      <c r="A121" s="16" t="s">
        <v>323</v>
      </c>
      <c r="B121" s="21" t="s">
        <v>280</v>
      </c>
      <c r="C121" s="16" t="s">
        <v>281</v>
      </c>
      <c r="D121" s="16" t="s">
        <v>324</v>
      </c>
      <c r="E121" s="16" t="s">
        <v>283</v>
      </c>
      <c r="F121" s="18" t="s">
        <v>284</v>
      </c>
      <c r="G121" s="19" t="s">
        <v>182</v>
      </c>
    </row>
    <row r="122" spans="1:7" x14ac:dyDescent="0.45">
      <c r="A122" s="16" t="s">
        <v>325</v>
      </c>
      <c r="B122" s="21" t="s">
        <v>280</v>
      </c>
      <c r="C122" s="16" t="s">
        <v>281</v>
      </c>
      <c r="D122" s="16" t="s">
        <v>326</v>
      </c>
      <c r="E122" s="16" t="s">
        <v>283</v>
      </c>
      <c r="F122" s="18" t="s">
        <v>284</v>
      </c>
      <c r="G122" s="19" t="s">
        <v>182</v>
      </c>
    </row>
    <row r="123" spans="1:7" x14ac:dyDescent="0.45">
      <c r="A123" s="16" t="s">
        <v>327</v>
      </c>
      <c r="B123" s="21" t="s">
        <v>280</v>
      </c>
      <c r="C123" s="16" t="s">
        <v>281</v>
      </c>
      <c r="D123" s="16" t="s">
        <v>328</v>
      </c>
      <c r="E123" s="16" t="s">
        <v>283</v>
      </c>
      <c r="F123" s="18" t="s">
        <v>284</v>
      </c>
      <c r="G123" s="19" t="s">
        <v>182</v>
      </c>
    </row>
    <row r="124" spans="1:7" x14ac:dyDescent="0.45">
      <c r="A124" s="16" t="s">
        <v>329</v>
      </c>
      <c r="B124" s="21" t="s">
        <v>280</v>
      </c>
      <c r="C124" s="16" t="s">
        <v>281</v>
      </c>
      <c r="D124" s="16" t="s">
        <v>330</v>
      </c>
      <c r="E124" s="16" t="s">
        <v>283</v>
      </c>
      <c r="F124" s="18" t="s">
        <v>284</v>
      </c>
      <c r="G124" s="19" t="s">
        <v>182</v>
      </c>
    </row>
    <row r="125" spans="1:7" x14ac:dyDescent="0.45">
      <c r="A125" s="16" t="s">
        <v>331</v>
      </c>
      <c r="B125" s="21" t="s">
        <v>280</v>
      </c>
      <c r="C125" s="16" t="s">
        <v>281</v>
      </c>
      <c r="D125" s="16" t="s">
        <v>332</v>
      </c>
      <c r="E125" s="16" t="s">
        <v>283</v>
      </c>
      <c r="F125" s="18" t="s">
        <v>284</v>
      </c>
      <c r="G125" s="19" t="s">
        <v>182</v>
      </c>
    </row>
    <row r="126" spans="1:7" x14ac:dyDescent="0.45">
      <c r="A126" s="16" t="s">
        <v>333</v>
      </c>
      <c r="B126" s="21" t="s">
        <v>280</v>
      </c>
      <c r="C126" s="16" t="s">
        <v>281</v>
      </c>
      <c r="D126" s="16" t="s">
        <v>334</v>
      </c>
      <c r="E126" s="16" t="s">
        <v>283</v>
      </c>
      <c r="F126" s="18" t="s">
        <v>284</v>
      </c>
      <c r="G126" s="19" t="s">
        <v>182</v>
      </c>
    </row>
    <row r="127" spans="1:7" x14ac:dyDescent="0.45">
      <c r="A127" s="16" t="s">
        <v>335</v>
      </c>
      <c r="B127" s="21" t="s">
        <v>280</v>
      </c>
      <c r="C127" s="16" t="s">
        <v>336</v>
      </c>
      <c r="D127" s="16" t="s">
        <v>337</v>
      </c>
      <c r="E127" s="16" t="s">
        <v>338</v>
      </c>
      <c r="F127" s="18" t="s">
        <v>284</v>
      </c>
      <c r="G127" s="19" t="s">
        <v>182</v>
      </c>
    </row>
    <row r="128" spans="1:7" x14ac:dyDescent="0.45">
      <c r="A128" s="16" t="s">
        <v>339</v>
      </c>
      <c r="B128" s="21" t="s">
        <v>280</v>
      </c>
      <c r="C128" s="16" t="s">
        <v>336</v>
      </c>
      <c r="D128" s="16" t="s">
        <v>340</v>
      </c>
      <c r="E128" s="16" t="s">
        <v>180</v>
      </c>
      <c r="F128" s="18" t="s">
        <v>284</v>
      </c>
      <c r="G128" s="19" t="s">
        <v>182</v>
      </c>
    </row>
    <row r="129" spans="1:7" x14ac:dyDescent="0.45">
      <c r="A129" s="16" t="s">
        <v>341</v>
      </c>
      <c r="B129" s="21" t="s">
        <v>280</v>
      </c>
      <c r="C129" s="16" t="s">
        <v>336</v>
      </c>
      <c r="D129" s="16" t="s">
        <v>342</v>
      </c>
      <c r="E129" s="16" t="s">
        <v>180</v>
      </c>
      <c r="F129" s="18" t="s">
        <v>284</v>
      </c>
      <c r="G129" s="19" t="s">
        <v>182</v>
      </c>
    </row>
    <row r="130" spans="1:7" x14ac:dyDescent="0.45">
      <c r="A130" s="16" t="s">
        <v>343</v>
      </c>
      <c r="B130" s="21" t="s">
        <v>280</v>
      </c>
      <c r="C130" s="16" t="s">
        <v>336</v>
      </c>
      <c r="D130" s="16" t="s">
        <v>344</v>
      </c>
      <c r="E130" s="16" t="s">
        <v>180</v>
      </c>
      <c r="F130" s="18" t="s">
        <v>284</v>
      </c>
      <c r="G130" s="19" t="s">
        <v>182</v>
      </c>
    </row>
    <row r="131" spans="1:7" x14ac:dyDescent="0.45">
      <c r="A131" s="16" t="s">
        <v>345</v>
      </c>
      <c r="B131" s="21" t="s">
        <v>280</v>
      </c>
      <c r="C131" s="16" t="s">
        <v>336</v>
      </c>
      <c r="D131" s="16" t="s">
        <v>346</v>
      </c>
      <c r="E131" s="16" t="s">
        <v>180</v>
      </c>
      <c r="F131" s="18" t="s">
        <v>284</v>
      </c>
      <c r="G131" s="19" t="s">
        <v>182</v>
      </c>
    </row>
    <row r="132" spans="1:7" x14ac:dyDescent="0.45">
      <c r="A132" s="16" t="s">
        <v>347</v>
      </c>
      <c r="B132" s="21" t="s">
        <v>280</v>
      </c>
      <c r="C132" s="16" t="s">
        <v>336</v>
      </c>
      <c r="D132" s="16" t="s">
        <v>348</v>
      </c>
      <c r="E132" s="16" t="s">
        <v>180</v>
      </c>
      <c r="F132" s="18" t="s">
        <v>284</v>
      </c>
      <c r="G132" s="19" t="s">
        <v>182</v>
      </c>
    </row>
    <row r="133" spans="1:7" x14ac:dyDescent="0.45">
      <c r="A133" s="16" t="s">
        <v>349</v>
      </c>
      <c r="B133" s="21" t="s">
        <v>280</v>
      </c>
      <c r="C133" s="16" t="s">
        <v>336</v>
      </c>
      <c r="D133" s="16" t="s">
        <v>350</v>
      </c>
      <c r="E133" s="16" t="s">
        <v>180</v>
      </c>
      <c r="F133" s="18" t="s">
        <v>284</v>
      </c>
      <c r="G133" s="19" t="s">
        <v>182</v>
      </c>
    </row>
    <row r="134" spans="1:7" x14ac:dyDescent="0.45">
      <c r="A134" s="16" t="s">
        <v>351</v>
      </c>
      <c r="B134" s="21" t="s">
        <v>280</v>
      </c>
      <c r="C134" s="16" t="s">
        <v>336</v>
      </c>
      <c r="D134" s="16" t="s">
        <v>352</v>
      </c>
      <c r="E134" s="16" t="s">
        <v>180</v>
      </c>
      <c r="F134" s="18" t="s">
        <v>284</v>
      </c>
      <c r="G134" s="19" t="s">
        <v>182</v>
      </c>
    </row>
    <row r="135" spans="1:7" x14ac:dyDescent="0.45">
      <c r="A135" s="16" t="s">
        <v>353</v>
      </c>
      <c r="B135" s="21" t="s">
        <v>280</v>
      </c>
      <c r="C135" s="16" t="s">
        <v>336</v>
      </c>
      <c r="D135" s="16" t="s">
        <v>354</v>
      </c>
      <c r="E135" s="16" t="s">
        <v>355</v>
      </c>
      <c r="F135" s="18" t="s">
        <v>284</v>
      </c>
      <c r="G135" s="19" t="s">
        <v>182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tabSelected="1" zoomScaleNormal="100" workbookViewId="0">
      <pane ySplit="5" topLeftCell="A6" activePane="bottomLeft" state="frozen"/>
      <selection pane="bottomLeft"/>
    </sheetView>
  </sheetViews>
  <sheetFormatPr defaultColWidth="8.6640625" defaultRowHeight="14.25" x14ac:dyDescent="0.45"/>
  <cols>
    <col min="1" max="1" width="16" customWidth="1"/>
    <col min="2" max="2" width="30" customWidth="1"/>
    <col min="3" max="3" width="12" customWidth="1"/>
    <col min="4" max="4" width="20" customWidth="1"/>
    <col min="5" max="5" width="16" customWidth="1"/>
    <col min="6" max="6" width="12" customWidth="1"/>
    <col min="7" max="7" width="14" customWidth="1"/>
    <col min="8" max="8" width="40" customWidth="1"/>
  </cols>
  <sheetData>
    <row r="1" spans="1:8" ht="17.649999999999999" x14ac:dyDescent="0.5">
      <c r="A1" s="7" t="s">
        <v>356</v>
      </c>
    </row>
    <row r="2" spans="1:8" x14ac:dyDescent="0.45">
      <c r="A2" s="8" t="s">
        <v>357</v>
      </c>
      <c r="B2" s="6"/>
      <c r="C2" s="6"/>
      <c r="D2" s="6"/>
    </row>
    <row r="3" spans="1:8" ht="30" customHeight="1" x14ac:dyDescent="0.45">
      <c r="A3" s="8" t="s">
        <v>358</v>
      </c>
      <c r="B3" s="23"/>
      <c r="E3" s="5" t="s">
        <v>359</v>
      </c>
      <c r="F3" s="5"/>
      <c r="G3" s="5"/>
      <c r="H3" s="5"/>
    </row>
    <row r="5" spans="1:8" ht="30" customHeight="1" x14ac:dyDescent="0.45">
      <c r="A5" s="15" t="s">
        <v>360</v>
      </c>
      <c r="B5" s="15" t="s">
        <v>361</v>
      </c>
      <c r="C5" s="15" t="s">
        <v>362</v>
      </c>
      <c r="D5" s="15" t="s">
        <v>363</v>
      </c>
      <c r="E5" s="15" t="s">
        <v>364</v>
      </c>
      <c r="F5" s="15" t="s">
        <v>365</v>
      </c>
      <c r="G5" s="15" t="s">
        <v>366</v>
      </c>
      <c r="H5" s="15" t="s">
        <v>367</v>
      </c>
    </row>
    <row r="6" spans="1:8" x14ac:dyDescent="0.45">
      <c r="A6" s="22"/>
      <c r="B6" s="22"/>
      <c r="C6" s="24"/>
      <c r="D6" s="22"/>
      <c r="E6" s="23"/>
      <c r="F6" s="25"/>
      <c r="G6" s="22"/>
      <c r="H6" s="18" t="s">
        <v>368</v>
      </c>
    </row>
    <row r="7" spans="1:8" x14ac:dyDescent="0.45">
      <c r="A7" s="26"/>
      <c r="B7" s="26"/>
      <c r="C7" s="26"/>
      <c r="D7" s="26"/>
      <c r="E7" s="26"/>
      <c r="F7" s="26"/>
      <c r="G7" s="26"/>
      <c r="H7" s="26"/>
    </row>
    <row r="8" spans="1:8" x14ac:dyDescent="0.45">
      <c r="A8" s="26"/>
      <c r="B8" s="26"/>
      <c r="C8" s="26"/>
      <c r="D8" s="26"/>
      <c r="E8" s="26"/>
      <c r="F8" s="26"/>
      <c r="G8" s="26"/>
      <c r="H8" s="26"/>
    </row>
    <row r="9" spans="1:8" x14ac:dyDescent="0.45">
      <c r="A9" s="26"/>
      <c r="B9" s="26"/>
      <c r="C9" s="26"/>
      <c r="D9" s="26"/>
      <c r="E9" s="26"/>
      <c r="F9" s="26"/>
      <c r="G9" s="26"/>
      <c r="H9" s="26"/>
    </row>
    <row r="10" spans="1:8" x14ac:dyDescent="0.45">
      <c r="A10" s="26"/>
      <c r="B10" s="26"/>
      <c r="C10" s="26"/>
      <c r="D10" s="26"/>
      <c r="E10" s="26"/>
      <c r="F10" s="26"/>
      <c r="G10" s="26"/>
      <c r="H10" s="26"/>
    </row>
    <row r="13" spans="1:8" ht="43.5" customHeight="1" x14ac:dyDescent="0.45">
      <c r="A13" s="5" t="s">
        <v>369</v>
      </c>
      <c r="B13" s="5"/>
      <c r="C13" s="5"/>
      <c r="D13" s="5"/>
      <c r="E13" s="5"/>
      <c r="F13" s="5"/>
      <c r="G13" s="5"/>
      <c r="H13" s="5"/>
    </row>
  </sheetData>
  <mergeCells count="3">
    <mergeCell ref="B2:D2"/>
    <mergeCell ref="E3:H3"/>
    <mergeCell ref="A13:H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40"/>
  <sheetViews>
    <sheetView zoomScaleNormal="100" workbookViewId="0">
      <pane ySplit="4" topLeftCell="A5" activePane="bottomLeft" state="frozen"/>
      <selection pane="bottomLeft"/>
    </sheetView>
  </sheetViews>
  <sheetFormatPr defaultColWidth="8.6640625" defaultRowHeight="14.25" x14ac:dyDescent="0.45"/>
  <cols>
    <col min="1" max="1" width="10" customWidth="1"/>
    <col min="2" max="2" width="32" customWidth="1"/>
    <col min="3" max="3" width="12" customWidth="1"/>
    <col min="4" max="4" width="22" customWidth="1"/>
    <col min="5" max="5" width="14" customWidth="1"/>
    <col min="6" max="6" width="22" customWidth="1"/>
    <col min="7" max="9" width="14" customWidth="1"/>
    <col min="10" max="10" width="12" customWidth="1"/>
    <col min="11" max="11" width="20" customWidth="1"/>
    <col min="12" max="14" width="14" customWidth="1"/>
    <col min="15" max="15" width="12" customWidth="1"/>
  </cols>
  <sheetData>
    <row r="1" spans="1:15" ht="17.649999999999999" x14ac:dyDescent="0.5">
      <c r="A1" s="7" t="s">
        <v>370</v>
      </c>
    </row>
    <row r="2" spans="1:15" ht="30" customHeight="1" x14ac:dyDescent="0.45">
      <c r="A2" s="5" t="s">
        <v>371</v>
      </c>
      <c r="B2" s="5"/>
      <c r="C2" s="5"/>
      <c r="D2" s="5"/>
      <c r="E2" s="5"/>
      <c r="F2" s="5"/>
      <c r="G2" s="5"/>
      <c r="H2" s="5"/>
      <c r="I2" s="5"/>
      <c r="J2" s="5"/>
      <c r="K2" s="5"/>
      <c r="L2" s="5"/>
      <c r="M2" s="5"/>
      <c r="N2" s="5"/>
      <c r="O2" s="5"/>
    </row>
    <row r="4" spans="1:15" ht="30" customHeight="1" x14ac:dyDescent="0.45">
      <c r="A4" s="15" t="s">
        <v>46</v>
      </c>
      <c r="B4" s="15" t="s">
        <v>49</v>
      </c>
      <c r="C4" s="15" t="s">
        <v>372</v>
      </c>
      <c r="D4" s="15" t="s">
        <v>373</v>
      </c>
      <c r="E4" s="15" t="s">
        <v>374</v>
      </c>
      <c r="F4" s="15" t="s">
        <v>375</v>
      </c>
      <c r="G4" s="15" t="s">
        <v>376</v>
      </c>
      <c r="H4" s="15" t="s">
        <v>377</v>
      </c>
      <c r="I4" s="15" t="s">
        <v>378</v>
      </c>
      <c r="J4" s="15" t="s">
        <v>379</v>
      </c>
      <c r="K4" s="15" t="s">
        <v>366</v>
      </c>
      <c r="L4" s="15" t="s">
        <v>380</v>
      </c>
      <c r="M4" s="15" t="s">
        <v>381</v>
      </c>
      <c r="N4" s="15" t="s">
        <v>382</v>
      </c>
      <c r="O4" s="15" t="s">
        <v>383</v>
      </c>
    </row>
    <row r="5" spans="1:15" x14ac:dyDescent="0.45">
      <c r="A5" s="27" t="str">
        <f>'Activity List'!A2</f>
        <v>T1-001</v>
      </c>
      <c r="B5" s="27" t="str">
        <f>'Activity List'!D2</f>
        <v>Land Clearing</v>
      </c>
      <c r="C5" s="27" t="str">
        <f>'Activity List'!E2</f>
        <v>ha</v>
      </c>
      <c r="D5" s="22"/>
      <c r="E5" s="28"/>
      <c r="F5" s="22"/>
      <c r="G5" s="28"/>
      <c r="H5" s="19" t="s">
        <v>182</v>
      </c>
      <c r="I5" s="29" t="str">
        <f t="shared" ref="I5:I36" si="0">IFERROR(AVERAGE(E5,G5),"")</f>
        <v/>
      </c>
      <c r="J5" s="30" t="str">
        <f t="shared" ref="J5:J36" si="1">I5</f>
        <v/>
      </c>
      <c r="K5" s="19" t="s">
        <v>384</v>
      </c>
      <c r="L5" s="22"/>
      <c r="M5" s="23"/>
      <c r="N5" s="31" t="str">
        <f t="shared" ref="N5:N36" si="2">IF(M5="","",EDATE(M5,12))</f>
        <v/>
      </c>
      <c r="O5" s="32" t="str">
        <f t="shared" ref="O5:O36" si="3">IF(K5="Approved",J5,"")</f>
        <v/>
      </c>
    </row>
    <row r="6" spans="1:15" x14ac:dyDescent="0.45">
      <c r="A6" s="27" t="str">
        <f>'Activity List'!A3</f>
        <v>T1-002</v>
      </c>
      <c r="B6" s="27" t="str">
        <f>'Activity List'!D3</f>
        <v>Tree Felling</v>
      </c>
      <c r="C6" s="27" t="str">
        <f>'Activity List'!E3</f>
        <v>ha</v>
      </c>
      <c r="D6" s="22"/>
      <c r="E6" s="28"/>
      <c r="F6" s="22"/>
      <c r="G6" s="28"/>
      <c r="H6" s="19" t="s">
        <v>182</v>
      </c>
      <c r="I6" s="29" t="str">
        <f t="shared" si="0"/>
        <v/>
      </c>
      <c r="J6" s="30" t="str">
        <f t="shared" si="1"/>
        <v/>
      </c>
      <c r="K6" s="19" t="s">
        <v>384</v>
      </c>
      <c r="L6" s="22"/>
      <c r="M6" s="23"/>
      <c r="N6" s="31" t="str">
        <f t="shared" si="2"/>
        <v/>
      </c>
      <c r="O6" s="32" t="str">
        <f t="shared" si="3"/>
        <v/>
      </c>
    </row>
    <row r="7" spans="1:15" x14ac:dyDescent="0.45">
      <c r="A7" s="27" t="str">
        <f>'Activity List'!A4</f>
        <v>T1-003</v>
      </c>
      <c r="B7" s="27" t="str">
        <f>'Activity List'!D4</f>
        <v>Soil Heaping</v>
      </c>
      <c r="C7" s="27" t="str">
        <f>'Activity List'!E4</f>
        <v>m3</v>
      </c>
      <c r="D7" s="22"/>
      <c r="E7" s="28"/>
      <c r="F7" s="22"/>
      <c r="G7" s="28"/>
      <c r="H7" s="19" t="s">
        <v>182</v>
      </c>
      <c r="I7" s="29" t="str">
        <f t="shared" si="0"/>
        <v/>
      </c>
      <c r="J7" s="30" t="str">
        <f t="shared" si="1"/>
        <v/>
      </c>
      <c r="K7" s="19" t="s">
        <v>384</v>
      </c>
      <c r="L7" s="22"/>
      <c r="M7" s="23"/>
      <c r="N7" s="31" t="str">
        <f t="shared" si="2"/>
        <v/>
      </c>
      <c r="O7" s="32" t="str">
        <f t="shared" si="3"/>
        <v/>
      </c>
    </row>
    <row r="8" spans="1:15" x14ac:dyDescent="0.45">
      <c r="A8" s="27" t="str">
        <f>'Activity List'!A5</f>
        <v>T1-004</v>
      </c>
      <c r="B8" s="27" t="str">
        <f>'Activity List'!D5</f>
        <v>Polytube Cutting</v>
      </c>
      <c r="C8" s="27" t="str">
        <f>'Activity List'!E5</f>
        <v>kg</v>
      </c>
      <c r="D8" s="22"/>
      <c r="E8" s="28"/>
      <c r="F8" s="22"/>
      <c r="G8" s="28"/>
      <c r="H8" s="19" t="s">
        <v>182</v>
      </c>
      <c r="I8" s="29" t="str">
        <f t="shared" si="0"/>
        <v/>
      </c>
      <c r="J8" s="30" t="str">
        <f t="shared" si="1"/>
        <v/>
      </c>
      <c r="K8" s="19" t="s">
        <v>384</v>
      </c>
      <c r="L8" s="22"/>
      <c r="M8" s="23"/>
      <c r="N8" s="31" t="str">
        <f t="shared" si="2"/>
        <v/>
      </c>
      <c r="O8" s="32" t="str">
        <f t="shared" si="3"/>
        <v/>
      </c>
    </row>
    <row r="9" spans="1:15" x14ac:dyDescent="0.45">
      <c r="A9" s="27" t="str">
        <f>'Activity List'!A6</f>
        <v>T1-005</v>
      </c>
      <c r="B9" s="27" t="str">
        <f>'Activity List'!D6</f>
        <v>Polytube Filling</v>
      </c>
      <c r="C9" s="27" t="str">
        <f>'Activity List'!E6</f>
        <v>seedling</v>
      </c>
      <c r="D9" s="22"/>
      <c r="E9" s="28"/>
      <c r="F9" s="22"/>
      <c r="G9" s="28"/>
      <c r="H9" s="19" t="s">
        <v>182</v>
      </c>
      <c r="I9" s="29" t="str">
        <f t="shared" si="0"/>
        <v/>
      </c>
      <c r="J9" s="30" t="str">
        <f t="shared" si="1"/>
        <v/>
      </c>
      <c r="K9" s="19" t="s">
        <v>384</v>
      </c>
      <c r="L9" s="22"/>
      <c r="M9" s="23"/>
      <c r="N9" s="31" t="str">
        <f t="shared" si="2"/>
        <v/>
      </c>
      <c r="O9" s="32" t="str">
        <f t="shared" si="3"/>
        <v/>
      </c>
    </row>
    <row r="10" spans="1:15" x14ac:dyDescent="0.45">
      <c r="A10" s="27" t="str">
        <f>'Activity List'!A7</f>
        <v>T1-006</v>
      </c>
      <c r="B10" s="27" t="str">
        <f>'Activity List'!D7</f>
        <v>Seedbed Preparation</v>
      </c>
      <c r="C10" s="27" t="str">
        <f>'Activity List'!E7</f>
        <v>bed</v>
      </c>
      <c r="D10" s="22"/>
      <c r="E10" s="28"/>
      <c r="F10" s="22"/>
      <c r="G10" s="28"/>
      <c r="H10" s="19" t="s">
        <v>182</v>
      </c>
      <c r="I10" s="29" t="str">
        <f t="shared" si="0"/>
        <v/>
      </c>
      <c r="J10" s="30" t="str">
        <f t="shared" si="1"/>
        <v/>
      </c>
      <c r="K10" s="19" t="s">
        <v>384</v>
      </c>
      <c r="L10" s="22"/>
      <c r="M10" s="23"/>
      <c r="N10" s="31" t="str">
        <f t="shared" si="2"/>
        <v/>
      </c>
      <c r="O10" s="32" t="str">
        <f t="shared" si="3"/>
        <v/>
      </c>
    </row>
    <row r="11" spans="1:15" x14ac:dyDescent="0.45">
      <c r="A11" s="27" t="str">
        <f>'Activity List'!A8</f>
        <v>T1-007</v>
      </c>
      <c r="B11" s="27" t="str">
        <f>'Activity List'!D8</f>
        <v>Polytube Arranging</v>
      </c>
      <c r="C11" s="27" t="str">
        <f>'Activity List'!E8</f>
        <v>bed</v>
      </c>
      <c r="D11" s="22"/>
      <c r="E11" s="28"/>
      <c r="F11" s="22"/>
      <c r="G11" s="28"/>
      <c r="H11" s="19" t="s">
        <v>182</v>
      </c>
      <c r="I11" s="29" t="str">
        <f t="shared" si="0"/>
        <v/>
      </c>
      <c r="J11" s="30" t="str">
        <f t="shared" si="1"/>
        <v/>
      </c>
      <c r="K11" s="19" t="s">
        <v>384</v>
      </c>
      <c r="L11" s="22"/>
      <c r="M11" s="23"/>
      <c r="N11" s="31" t="str">
        <f t="shared" si="2"/>
        <v/>
      </c>
      <c r="O11" s="32" t="str">
        <f t="shared" si="3"/>
        <v/>
      </c>
    </row>
    <row r="12" spans="1:15" x14ac:dyDescent="0.45">
      <c r="A12" s="27" t="str">
        <f>'Activity List'!A9</f>
        <v>T1-008</v>
      </c>
      <c r="B12" s="27" t="str">
        <f>'Activity List'!D9</f>
        <v>Seed Sowing</v>
      </c>
      <c r="C12" s="27" t="str">
        <f>'Activity List'!E9</f>
        <v>bed</v>
      </c>
      <c r="D12" s="22"/>
      <c r="E12" s="28"/>
      <c r="F12" s="22"/>
      <c r="G12" s="28"/>
      <c r="H12" s="19" t="s">
        <v>182</v>
      </c>
      <c r="I12" s="29" t="str">
        <f t="shared" si="0"/>
        <v/>
      </c>
      <c r="J12" s="30" t="str">
        <f t="shared" si="1"/>
        <v/>
      </c>
      <c r="K12" s="19" t="s">
        <v>384</v>
      </c>
      <c r="L12" s="22"/>
      <c r="M12" s="23"/>
      <c r="N12" s="31" t="str">
        <f t="shared" si="2"/>
        <v/>
      </c>
      <c r="O12" s="32" t="str">
        <f t="shared" si="3"/>
        <v/>
      </c>
    </row>
    <row r="13" spans="1:15" x14ac:dyDescent="0.45">
      <c r="A13" s="27" t="str">
        <f>'Activity List'!A10</f>
        <v>T1-009</v>
      </c>
      <c r="B13" s="27" t="str">
        <f>'Activity List'!D10</f>
        <v>Mulch Material Preparation</v>
      </c>
      <c r="C13" s="27" t="str">
        <f>'Activity List'!E10</f>
        <v>bed</v>
      </c>
      <c r="D13" s="22"/>
      <c r="E13" s="28"/>
      <c r="F13" s="22"/>
      <c r="G13" s="28"/>
      <c r="H13" s="19" t="s">
        <v>182</v>
      </c>
      <c r="I13" s="29" t="str">
        <f t="shared" si="0"/>
        <v/>
      </c>
      <c r="J13" s="30" t="str">
        <f t="shared" si="1"/>
        <v/>
      </c>
      <c r="K13" s="19" t="s">
        <v>384</v>
      </c>
      <c r="L13" s="22"/>
      <c r="M13" s="23"/>
      <c r="N13" s="31" t="str">
        <f t="shared" si="2"/>
        <v/>
      </c>
      <c r="O13" s="32" t="str">
        <f t="shared" si="3"/>
        <v/>
      </c>
    </row>
    <row r="14" spans="1:15" x14ac:dyDescent="0.45">
      <c r="A14" s="27" t="str">
        <f>'Activity List'!A11</f>
        <v>T1-010</v>
      </c>
      <c r="B14" s="27" t="str">
        <f>'Activity List'!D11</f>
        <v>Mulch Application</v>
      </c>
      <c r="C14" s="27" t="str">
        <f>'Activity List'!E11</f>
        <v>bed</v>
      </c>
      <c r="D14" s="22"/>
      <c r="E14" s="28"/>
      <c r="F14" s="22"/>
      <c r="G14" s="28"/>
      <c r="H14" s="19" t="s">
        <v>182</v>
      </c>
      <c r="I14" s="29" t="str">
        <f t="shared" si="0"/>
        <v/>
      </c>
      <c r="J14" s="30" t="str">
        <f t="shared" si="1"/>
        <v/>
      </c>
      <c r="K14" s="19" t="s">
        <v>384</v>
      </c>
      <c r="L14" s="22"/>
      <c r="M14" s="23"/>
      <c r="N14" s="31" t="str">
        <f t="shared" si="2"/>
        <v/>
      </c>
      <c r="O14" s="32" t="str">
        <f t="shared" si="3"/>
        <v/>
      </c>
    </row>
    <row r="15" spans="1:15" x14ac:dyDescent="0.45">
      <c r="A15" s="27" t="str">
        <f>'Activity List'!A12</f>
        <v>T1-011</v>
      </c>
      <c r="B15" s="27" t="str">
        <f>'Activity List'!D12</f>
        <v>Shade Material Preparation</v>
      </c>
      <c r="C15" s="27" t="str">
        <f>'Activity List'!E12</f>
        <v>bed</v>
      </c>
      <c r="D15" s="22"/>
      <c r="E15" s="28"/>
      <c r="F15" s="22"/>
      <c r="G15" s="28"/>
      <c r="H15" s="19" t="s">
        <v>182</v>
      </c>
      <c r="I15" s="29" t="str">
        <f t="shared" si="0"/>
        <v/>
      </c>
      <c r="J15" s="30" t="str">
        <f t="shared" si="1"/>
        <v/>
      </c>
      <c r="K15" s="19" t="s">
        <v>384</v>
      </c>
      <c r="L15" s="22"/>
      <c r="M15" s="23"/>
      <c r="N15" s="31" t="str">
        <f t="shared" si="2"/>
        <v/>
      </c>
      <c r="O15" s="32" t="str">
        <f t="shared" si="3"/>
        <v/>
      </c>
    </row>
    <row r="16" spans="1:15" x14ac:dyDescent="0.45">
      <c r="A16" s="27" t="str">
        <f>'Activity List'!A13</f>
        <v>T1-012</v>
      </c>
      <c r="B16" s="27" t="str">
        <f>'Activity List'!D13</f>
        <v>Shade Construction</v>
      </c>
      <c r="C16" s="27" t="str">
        <f>'Activity List'!E13</f>
        <v>bed</v>
      </c>
      <c r="D16" s="22"/>
      <c r="E16" s="28"/>
      <c r="F16" s="22"/>
      <c r="G16" s="28"/>
      <c r="H16" s="19" t="s">
        <v>182</v>
      </c>
      <c r="I16" s="29" t="str">
        <f t="shared" si="0"/>
        <v/>
      </c>
      <c r="J16" s="30" t="str">
        <f t="shared" si="1"/>
        <v/>
      </c>
      <c r="K16" s="19" t="s">
        <v>384</v>
      </c>
      <c r="L16" s="22"/>
      <c r="M16" s="23"/>
      <c r="N16" s="31" t="str">
        <f t="shared" si="2"/>
        <v/>
      </c>
      <c r="O16" s="32" t="str">
        <f t="shared" si="3"/>
        <v/>
      </c>
    </row>
    <row r="17" spans="1:15" x14ac:dyDescent="0.45">
      <c r="A17" s="27" t="str">
        <f>'Activity List'!A14</f>
        <v>T1-013</v>
      </c>
      <c r="B17" s="27" t="str">
        <f>'Activity List'!D14</f>
        <v>Mulch Removal</v>
      </c>
      <c r="C17" s="27" t="str">
        <f>'Activity List'!E14</f>
        <v>bed</v>
      </c>
      <c r="D17" s="22"/>
      <c r="E17" s="28"/>
      <c r="F17" s="22"/>
      <c r="G17" s="28"/>
      <c r="H17" s="19" t="s">
        <v>182</v>
      </c>
      <c r="I17" s="29" t="str">
        <f t="shared" si="0"/>
        <v/>
      </c>
      <c r="J17" s="30" t="str">
        <f t="shared" si="1"/>
        <v/>
      </c>
      <c r="K17" s="19" t="s">
        <v>384</v>
      </c>
      <c r="L17" s="22"/>
      <c r="M17" s="23"/>
      <c r="N17" s="31" t="str">
        <f t="shared" si="2"/>
        <v/>
      </c>
      <c r="O17" s="32" t="str">
        <f t="shared" si="3"/>
        <v/>
      </c>
    </row>
    <row r="18" spans="1:15" x14ac:dyDescent="0.45">
      <c r="A18" s="27" t="str">
        <f>'Activity List'!A15</f>
        <v>T1-014</v>
      </c>
      <c r="B18" s="27" t="str">
        <f>'Activity List'!D15</f>
        <v>Nursery Weeding</v>
      </c>
      <c r="C18" s="27" t="str">
        <f>'Activity List'!E15</f>
        <v>bed</v>
      </c>
      <c r="D18" s="22"/>
      <c r="E18" s="28"/>
      <c r="F18" s="22"/>
      <c r="G18" s="28"/>
      <c r="H18" s="19" t="s">
        <v>182</v>
      </c>
      <c r="I18" s="29" t="str">
        <f t="shared" si="0"/>
        <v/>
      </c>
      <c r="J18" s="30" t="str">
        <f t="shared" si="1"/>
        <v/>
      </c>
      <c r="K18" s="19" t="s">
        <v>384</v>
      </c>
      <c r="L18" s="22"/>
      <c r="M18" s="23"/>
      <c r="N18" s="31" t="str">
        <f t="shared" si="2"/>
        <v/>
      </c>
      <c r="O18" s="32" t="str">
        <f t="shared" si="3"/>
        <v/>
      </c>
    </row>
    <row r="19" spans="1:15" x14ac:dyDescent="0.45">
      <c r="A19" s="27" t="str">
        <f>'Activity List'!A16</f>
        <v>T1-015</v>
      </c>
      <c r="B19" s="27" t="str">
        <f>'Activity List'!D16</f>
        <v>Shade Thinning</v>
      </c>
      <c r="C19" s="27" t="str">
        <f>'Activity List'!E16</f>
        <v>bed</v>
      </c>
      <c r="D19" s="22"/>
      <c r="E19" s="28"/>
      <c r="F19" s="22"/>
      <c r="G19" s="28"/>
      <c r="H19" s="19" t="s">
        <v>182</v>
      </c>
      <c r="I19" s="29" t="str">
        <f t="shared" si="0"/>
        <v/>
      </c>
      <c r="J19" s="30" t="str">
        <f t="shared" si="1"/>
        <v/>
      </c>
      <c r="K19" s="19" t="s">
        <v>384</v>
      </c>
      <c r="L19" s="22"/>
      <c r="M19" s="23"/>
      <c r="N19" s="31" t="str">
        <f t="shared" si="2"/>
        <v/>
      </c>
      <c r="O19" s="32" t="str">
        <f t="shared" si="3"/>
        <v/>
      </c>
    </row>
    <row r="20" spans="1:15" x14ac:dyDescent="0.45">
      <c r="A20" s="27" t="str">
        <f>'Activity List'!A17</f>
        <v>T1-016</v>
      </c>
      <c r="B20" s="27" t="str">
        <f>'Activity List'!D17</f>
        <v>Shade Removal</v>
      </c>
      <c r="C20" s="27" t="str">
        <f>'Activity List'!E17</f>
        <v>bed</v>
      </c>
      <c r="D20" s="22"/>
      <c r="E20" s="28"/>
      <c r="F20" s="22"/>
      <c r="G20" s="28"/>
      <c r="H20" s="19" t="s">
        <v>182</v>
      </c>
      <c r="I20" s="29" t="str">
        <f t="shared" si="0"/>
        <v/>
      </c>
      <c r="J20" s="30" t="str">
        <f t="shared" si="1"/>
        <v/>
      </c>
      <c r="K20" s="19" t="s">
        <v>384</v>
      </c>
      <c r="L20" s="22"/>
      <c r="M20" s="23"/>
      <c r="N20" s="31" t="str">
        <f t="shared" si="2"/>
        <v/>
      </c>
      <c r="O20" s="32" t="str">
        <f t="shared" si="3"/>
        <v/>
      </c>
    </row>
    <row r="21" spans="1:15" x14ac:dyDescent="0.45">
      <c r="A21" s="27" t="str">
        <f>'Activity List'!A18</f>
        <v>T1-017</v>
      </c>
      <c r="B21" s="27" t="str">
        <f>'Activity List'!D18</f>
        <v>Hoeing (Young Coffee)</v>
      </c>
      <c r="C21" s="27" t="str">
        <f>'Activity List'!E18</f>
        <v>tree</v>
      </c>
      <c r="D21" s="22"/>
      <c r="E21" s="28"/>
      <c r="F21" s="22"/>
      <c r="G21" s="28"/>
      <c r="H21" s="19" t="s">
        <v>182</v>
      </c>
      <c r="I21" s="29" t="str">
        <f t="shared" si="0"/>
        <v/>
      </c>
      <c r="J21" s="30" t="str">
        <f t="shared" si="1"/>
        <v/>
      </c>
      <c r="K21" s="19" t="s">
        <v>384</v>
      </c>
      <c r="L21" s="22"/>
      <c r="M21" s="23"/>
      <c r="N21" s="31" t="str">
        <f t="shared" si="2"/>
        <v/>
      </c>
      <c r="O21" s="32" t="str">
        <f t="shared" si="3"/>
        <v/>
      </c>
    </row>
    <row r="22" spans="1:15" x14ac:dyDescent="0.45">
      <c r="A22" s="27" t="str">
        <f>'Activity List'!A19</f>
        <v>T1-018</v>
      </c>
      <c r="B22" s="27" t="str">
        <f>'Activity List'!D19</f>
        <v>Fertilizing (Young Coffee)</v>
      </c>
      <c r="C22" s="27" t="str">
        <f>'Activity List'!E19</f>
        <v>tree</v>
      </c>
      <c r="D22" s="22"/>
      <c r="E22" s="28"/>
      <c r="F22" s="22"/>
      <c r="G22" s="28"/>
      <c r="H22" s="19" t="s">
        <v>182</v>
      </c>
      <c r="I22" s="29" t="str">
        <f t="shared" si="0"/>
        <v/>
      </c>
      <c r="J22" s="30" t="str">
        <f t="shared" si="1"/>
        <v/>
      </c>
      <c r="K22" s="19" t="s">
        <v>384</v>
      </c>
      <c r="L22" s="22"/>
      <c r="M22" s="23"/>
      <c r="N22" s="31" t="str">
        <f t="shared" si="2"/>
        <v/>
      </c>
      <c r="O22" s="32" t="str">
        <f t="shared" si="3"/>
        <v/>
      </c>
    </row>
    <row r="23" spans="1:15" x14ac:dyDescent="0.45">
      <c r="A23" s="27" t="str">
        <f>'Activity List'!A20</f>
        <v>T1-019</v>
      </c>
      <c r="B23" s="27" t="str">
        <f>'Activity List'!D20</f>
        <v>Ring Weeding of Seedlings</v>
      </c>
      <c r="C23" s="27" t="str">
        <f>'Activity List'!E20</f>
        <v>tree</v>
      </c>
      <c r="D23" s="22"/>
      <c r="E23" s="28"/>
      <c r="F23" s="22"/>
      <c r="G23" s="28"/>
      <c r="H23" s="19" t="s">
        <v>182</v>
      </c>
      <c r="I23" s="29" t="str">
        <f t="shared" si="0"/>
        <v/>
      </c>
      <c r="J23" s="30" t="str">
        <f t="shared" si="1"/>
        <v/>
      </c>
      <c r="K23" s="19" t="s">
        <v>384</v>
      </c>
      <c r="L23" s="22"/>
      <c r="M23" s="23"/>
      <c r="N23" s="31" t="str">
        <f t="shared" si="2"/>
        <v/>
      </c>
      <c r="O23" s="32" t="str">
        <f t="shared" si="3"/>
        <v/>
      </c>
    </row>
    <row r="24" spans="1:15" x14ac:dyDescent="0.45">
      <c r="A24" s="27" t="str">
        <f>'Activity List'!A21</f>
        <v>T1-020</v>
      </c>
      <c r="B24" s="27" t="str">
        <f>'Activity List'!D21</f>
        <v>Shade Tree Regulation</v>
      </c>
      <c r="C24" s="27" t="str">
        <f>'Activity List'!E21</f>
        <v>ha</v>
      </c>
      <c r="D24" s="22"/>
      <c r="E24" s="28"/>
      <c r="F24" s="22"/>
      <c r="G24" s="28"/>
      <c r="H24" s="19" t="s">
        <v>182</v>
      </c>
      <c r="I24" s="29" t="str">
        <f t="shared" si="0"/>
        <v/>
      </c>
      <c r="J24" s="30" t="str">
        <f t="shared" si="1"/>
        <v/>
      </c>
      <c r="K24" s="19" t="s">
        <v>384</v>
      </c>
      <c r="L24" s="22"/>
      <c r="M24" s="23"/>
      <c r="N24" s="31" t="str">
        <f t="shared" si="2"/>
        <v/>
      </c>
      <c r="O24" s="32" t="str">
        <f t="shared" si="3"/>
        <v/>
      </c>
    </row>
    <row r="25" spans="1:15" x14ac:dyDescent="0.45">
      <c r="A25" s="27" t="str">
        <f>'Activity List'!A22</f>
        <v>T1-021</v>
      </c>
      <c r="B25" s="27" t="str">
        <f>'Activity List'!D22</f>
        <v>Compost Preparation</v>
      </c>
      <c r="C25" s="27" t="str">
        <f>'Activity List'!E22</f>
        <v>m3</v>
      </c>
      <c r="D25" s="22"/>
      <c r="E25" s="28"/>
      <c r="F25" s="22"/>
      <c r="G25" s="28"/>
      <c r="H25" s="19" t="s">
        <v>182</v>
      </c>
      <c r="I25" s="29" t="str">
        <f t="shared" si="0"/>
        <v/>
      </c>
      <c r="J25" s="30" t="str">
        <f t="shared" si="1"/>
        <v/>
      </c>
      <c r="K25" s="19" t="s">
        <v>384</v>
      </c>
      <c r="L25" s="22"/>
      <c r="M25" s="23"/>
      <c r="N25" s="31" t="str">
        <f t="shared" si="2"/>
        <v/>
      </c>
      <c r="O25" s="32" t="str">
        <f t="shared" si="3"/>
        <v/>
      </c>
    </row>
    <row r="26" spans="1:15" x14ac:dyDescent="0.45">
      <c r="A26" s="27" t="str">
        <f>'Activity List'!A23</f>
        <v>T1-022</v>
      </c>
      <c r="B26" s="27" t="str">
        <f>'Activity List'!D23</f>
        <v>Ridge Construction</v>
      </c>
      <c r="C26" s="27" t="str">
        <f>'Activity List'!E23</f>
        <v>meter</v>
      </c>
      <c r="D26" s="22"/>
      <c r="E26" s="28"/>
      <c r="F26" s="22"/>
      <c r="G26" s="28"/>
      <c r="H26" s="19" t="s">
        <v>182</v>
      </c>
      <c r="I26" s="29" t="str">
        <f t="shared" si="0"/>
        <v/>
      </c>
      <c r="J26" s="30" t="str">
        <f t="shared" si="1"/>
        <v/>
      </c>
      <c r="K26" s="19" t="s">
        <v>384</v>
      </c>
      <c r="L26" s="22"/>
      <c r="M26" s="23"/>
      <c r="N26" s="31" t="str">
        <f t="shared" si="2"/>
        <v/>
      </c>
      <c r="O26" s="32" t="str">
        <f t="shared" si="3"/>
        <v/>
      </c>
    </row>
    <row r="27" spans="1:15" x14ac:dyDescent="0.45">
      <c r="A27" s="27" t="str">
        <f>'Activity List'!A24</f>
        <v>T1-023</v>
      </c>
      <c r="B27" s="27" t="str">
        <f>'Activity List'!D24</f>
        <v>Manual Weeding</v>
      </c>
      <c r="C27" s="27" t="str">
        <f>'Activity List'!E24</f>
        <v>ha</v>
      </c>
      <c r="D27" s="22"/>
      <c r="E27" s="28"/>
      <c r="F27" s="22"/>
      <c r="G27" s="28"/>
      <c r="H27" s="19" t="s">
        <v>182</v>
      </c>
      <c r="I27" s="29" t="str">
        <f t="shared" si="0"/>
        <v/>
      </c>
      <c r="J27" s="30" t="str">
        <f t="shared" si="1"/>
        <v/>
      </c>
      <c r="K27" s="19" t="s">
        <v>384</v>
      </c>
      <c r="L27" s="22"/>
      <c r="M27" s="23"/>
      <c r="N27" s="31" t="str">
        <f t="shared" si="2"/>
        <v/>
      </c>
      <c r="O27" s="32" t="str">
        <f t="shared" si="3"/>
        <v/>
      </c>
    </row>
    <row r="28" spans="1:15" x14ac:dyDescent="0.45">
      <c r="A28" s="27" t="str">
        <f>'Activity List'!A25</f>
        <v>T1-024</v>
      </c>
      <c r="B28" s="27" t="str">
        <f>'Activity List'!D25</f>
        <v>Chemical Weeding</v>
      </c>
      <c r="C28" s="27" t="str">
        <f>'Activity List'!E25</f>
        <v>ha</v>
      </c>
      <c r="D28" s="22"/>
      <c r="E28" s="28"/>
      <c r="F28" s="22"/>
      <c r="G28" s="28"/>
      <c r="H28" s="19" t="s">
        <v>182</v>
      </c>
      <c r="I28" s="29" t="str">
        <f t="shared" si="0"/>
        <v/>
      </c>
      <c r="J28" s="30" t="str">
        <f t="shared" si="1"/>
        <v/>
      </c>
      <c r="K28" s="19" t="s">
        <v>384</v>
      </c>
      <c r="L28" s="22"/>
      <c r="M28" s="23"/>
      <c r="N28" s="31" t="str">
        <f t="shared" si="2"/>
        <v/>
      </c>
      <c r="O28" s="32" t="str">
        <f t="shared" si="3"/>
        <v/>
      </c>
    </row>
    <row r="29" spans="1:15" x14ac:dyDescent="0.45">
      <c r="A29" s="27" t="str">
        <f>'Activity List'!A26</f>
        <v>T1-025</v>
      </c>
      <c r="B29" s="27" t="str">
        <f>'Activity List'!D26</f>
        <v>Pruning (Matured Coffee)</v>
      </c>
      <c r="C29" s="27" t="str">
        <f>'Activity List'!E26</f>
        <v>tree</v>
      </c>
      <c r="D29" s="22"/>
      <c r="E29" s="28"/>
      <c r="F29" s="22"/>
      <c r="G29" s="28"/>
      <c r="H29" s="19" t="s">
        <v>182</v>
      </c>
      <c r="I29" s="29" t="str">
        <f t="shared" si="0"/>
        <v/>
      </c>
      <c r="J29" s="30" t="str">
        <f t="shared" si="1"/>
        <v/>
      </c>
      <c r="K29" s="19" t="s">
        <v>384</v>
      </c>
      <c r="L29" s="22"/>
      <c r="M29" s="23"/>
      <c r="N29" s="31" t="str">
        <f t="shared" si="2"/>
        <v/>
      </c>
      <c r="O29" s="32" t="str">
        <f t="shared" si="3"/>
        <v/>
      </c>
    </row>
    <row r="30" spans="1:15" x14ac:dyDescent="0.45">
      <c r="A30" s="27" t="str">
        <f>'Activity List'!A27</f>
        <v>T1-026</v>
      </c>
      <c r="B30" s="27" t="str">
        <f>'Activity List'!D27</f>
        <v>Topping (Matured Coffee)</v>
      </c>
      <c r="C30" s="27" t="str">
        <f>'Activity List'!E27</f>
        <v>tree</v>
      </c>
      <c r="D30" s="22"/>
      <c r="E30" s="28"/>
      <c r="F30" s="22"/>
      <c r="G30" s="28"/>
      <c r="H30" s="19" t="s">
        <v>182</v>
      </c>
      <c r="I30" s="29" t="str">
        <f t="shared" si="0"/>
        <v/>
      </c>
      <c r="J30" s="30" t="str">
        <f t="shared" si="1"/>
        <v/>
      </c>
      <c r="K30" s="19" t="s">
        <v>384</v>
      </c>
      <c r="L30" s="22"/>
      <c r="M30" s="23"/>
      <c r="N30" s="31" t="str">
        <f t="shared" si="2"/>
        <v/>
      </c>
      <c r="O30" s="32" t="str">
        <f t="shared" si="3"/>
        <v/>
      </c>
    </row>
    <row r="31" spans="1:15" x14ac:dyDescent="0.45">
      <c r="A31" s="27" t="str">
        <f>'Activity List'!A28</f>
        <v>T1-027</v>
      </c>
      <c r="B31" s="27" t="str">
        <f>'Activity List'!D28</f>
        <v>Handling and Desuckering</v>
      </c>
      <c r="C31" s="27" t="str">
        <f>'Activity List'!E28</f>
        <v>tree</v>
      </c>
      <c r="D31" s="22"/>
      <c r="E31" s="28"/>
      <c r="F31" s="22"/>
      <c r="G31" s="28"/>
      <c r="H31" s="19" t="s">
        <v>182</v>
      </c>
      <c r="I31" s="29" t="str">
        <f t="shared" si="0"/>
        <v/>
      </c>
      <c r="J31" s="30" t="str">
        <f t="shared" si="1"/>
        <v/>
      </c>
      <c r="K31" s="19" t="s">
        <v>384</v>
      </c>
      <c r="L31" s="22"/>
      <c r="M31" s="23"/>
      <c r="N31" s="31" t="str">
        <f t="shared" si="2"/>
        <v/>
      </c>
      <c r="O31" s="32" t="str">
        <f t="shared" si="3"/>
        <v/>
      </c>
    </row>
    <row r="32" spans="1:15" x14ac:dyDescent="0.45">
      <c r="A32" s="27" t="str">
        <f>'Activity List'!A29</f>
        <v>T1-028</v>
      </c>
      <c r="B32" s="27" t="str">
        <f>'Activity List'!D29</f>
        <v>Coffee Tree Support/Staking</v>
      </c>
      <c r="C32" s="27" t="str">
        <f>'Activity List'!E29</f>
        <v>tree</v>
      </c>
      <c r="D32" s="22"/>
      <c r="E32" s="28"/>
      <c r="F32" s="22"/>
      <c r="G32" s="28"/>
      <c r="H32" s="19" t="s">
        <v>182</v>
      </c>
      <c r="I32" s="29" t="str">
        <f t="shared" si="0"/>
        <v/>
      </c>
      <c r="J32" s="30" t="str">
        <f t="shared" si="1"/>
        <v/>
      </c>
      <c r="K32" s="19" t="s">
        <v>384</v>
      </c>
      <c r="L32" s="22"/>
      <c r="M32" s="23"/>
      <c r="N32" s="31" t="str">
        <f t="shared" si="2"/>
        <v/>
      </c>
      <c r="O32" s="32" t="str">
        <f t="shared" si="3"/>
        <v/>
      </c>
    </row>
    <row r="33" spans="1:15" x14ac:dyDescent="0.45">
      <c r="A33" s="27" t="str">
        <f>'Activity List'!A30</f>
        <v>T1-029</v>
      </c>
      <c r="B33" s="27" t="str">
        <f>'Activity List'!D30</f>
        <v>Watchman Tower (Matured Block)</v>
      </c>
      <c r="C33" s="27" t="str">
        <f>'Activity List'!E30</f>
        <v>tower</v>
      </c>
      <c r="D33" s="22"/>
      <c r="E33" s="28"/>
      <c r="F33" s="22"/>
      <c r="G33" s="28"/>
      <c r="H33" s="19" t="s">
        <v>182</v>
      </c>
      <c r="I33" s="29" t="str">
        <f t="shared" si="0"/>
        <v/>
      </c>
      <c r="J33" s="30" t="str">
        <f t="shared" si="1"/>
        <v/>
      </c>
      <c r="K33" s="19" t="s">
        <v>384</v>
      </c>
      <c r="L33" s="22"/>
      <c r="M33" s="23"/>
      <c r="N33" s="31" t="str">
        <f t="shared" si="2"/>
        <v/>
      </c>
      <c r="O33" s="32" t="str">
        <f t="shared" si="3"/>
        <v/>
      </c>
    </row>
    <row r="34" spans="1:15" x14ac:dyDescent="0.45">
      <c r="A34" s="27" t="str">
        <f>'Activity List'!A31</f>
        <v>T1-030</v>
      </c>
      <c r="B34" s="27" t="str">
        <f>'Activity List'!D31</f>
        <v>Infill Peg Preparation</v>
      </c>
      <c r="C34" s="27" t="str">
        <f>'Activity List'!E31</f>
        <v>planting point</v>
      </c>
      <c r="D34" s="22"/>
      <c r="E34" s="28"/>
      <c r="F34" s="22"/>
      <c r="G34" s="28"/>
      <c r="H34" s="19" t="s">
        <v>182</v>
      </c>
      <c r="I34" s="29" t="str">
        <f t="shared" si="0"/>
        <v/>
      </c>
      <c r="J34" s="30" t="str">
        <f t="shared" si="1"/>
        <v/>
      </c>
      <c r="K34" s="19" t="s">
        <v>384</v>
      </c>
      <c r="L34" s="22"/>
      <c r="M34" s="23"/>
      <c r="N34" s="31" t="str">
        <f t="shared" si="2"/>
        <v/>
      </c>
      <c r="O34" s="32" t="str">
        <f t="shared" si="3"/>
        <v/>
      </c>
    </row>
    <row r="35" spans="1:15" x14ac:dyDescent="0.45">
      <c r="A35" s="27" t="str">
        <f>'Activity List'!A32</f>
        <v>T1-031</v>
      </c>
      <c r="B35" s="27" t="str">
        <f>'Activity List'!D32</f>
        <v>Infill Layout and Pegging</v>
      </c>
      <c r="C35" s="27" t="str">
        <f>'Activity List'!E32</f>
        <v>planting point</v>
      </c>
      <c r="D35" s="22"/>
      <c r="E35" s="28"/>
      <c r="F35" s="22"/>
      <c r="G35" s="28"/>
      <c r="H35" s="19" t="s">
        <v>182</v>
      </c>
      <c r="I35" s="29" t="str">
        <f t="shared" si="0"/>
        <v/>
      </c>
      <c r="J35" s="30" t="str">
        <f t="shared" si="1"/>
        <v/>
      </c>
      <c r="K35" s="19" t="s">
        <v>384</v>
      </c>
      <c r="L35" s="22"/>
      <c r="M35" s="23"/>
      <c r="N35" s="31" t="str">
        <f t="shared" si="2"/>
        <v/>
      </c>
      <c r="O35" s="32" t="str">
        <f t="shared" si="3"/>
        <v/>
      </c>
    </row>
    <row r="36" spans="1:15" x14ac:dyDescent="0.45">
      <c r="A36" s="27" t="str">
        <f>'Activity List'!A33</f>
        <v>T1-032</v>
      </c>
      <c r="B36" s="27" t="str">
        <f>'Activity List'!D33</f>
        <v>Infill Hole Digging</v>
      </c>
      <c r="C36" s="27" t="str">
        <f>'Activity List'!E33</f>
        <v>planting point</v>
      </c>
      <c r="D36" s="22"/>
      <c r="E36" s="28"/>
      <c r="F36" s="22"/>
      <c r="G36" s="28"/>
      <c r="H36" s="19" t="s">
        <v>182</v>
      </c>
      <c r="I36" s="29" t="str">
        <f t="shared" si="0"/>
        <v/>
      </c>
      <c r="J36" s="30" t="str">
        <f t="shared" si="1"/>
        <v/>
      </c>
      <c r="K36" s="19" t="s">
        <v>384</v>
      </c>
      <c r="L36" s="22"/>
      <c r="M36" s="23"/>
      <c r="N36" s="31" t="str">
        <f t="shared" si="2"/>
        <v/>
      </c>
      <c r="O36" s="32" t="str">
        <f t="shared" si="3"/>
        <v/>
      </c>
    </row>
    <row r="37" spans="1:15" x14ac:dyDescent="0.45">
      <c r="A37" s="27" t="str">
        <f>'Activity List'!A34</f>
        <v>T1-033</v>
      </c>
      <c r="B37" s="27" t="str">
        <f>'Activity List'!D34</f>
        <v>Infill Hole Refilling</v>
      </c>
      <c r="C37" s="27" t="str">
        <f>'Activity List'!E34</f>
        <v>planting point</v>
      </c>
      <c r="D37" s="22"/>
      <c r="E37" s="28"/>
      <c r="F37" s="22"/>
      <c r="G37" s="28"/>
      <c r="H37" s="19" t="s">
        <v>182</v>
      </c>
      <c r="I37" s="29" t="str">
        <f t="shared" ref="I37:I68" si="4">IFERROR(AVERAGE(E37,G37),"")</f>
        <v/>
      </c>
      <c r="J37" s="30" t="str">
        <f t="shared" ref="J37:J68" si="5">I37</f>
        <v/>
      </c>
      <c r="K37" s="19" t="s">
        <v>384</v>
      </c>
      <c r="L37" s="22"/>
      <c r="M37" s="23"/>
      <c r="N37" s="31" t="str">
        <f t="shared" ref="N37:N68" si="6">IF(M37="","",EDATE(M37,12))</f>
        <v/>
      </c>
      <c r="O37" s="32" t="str">
        <f t="shared" ref="O37:O68" si="7">IF(K37="Approved",J37,"")</f>
        <v/>
      </c>
    </row>
    <row r="38" spans="1:15" x14ac:dyDescent="0.45">
      <c r="A38" s="27" t="str">
        <f>'Activity List'!A35</f>
        <v>T1-034</v>
      </c>
      <c r="B38" s="27" t="str">
        <f>'Activity List'!D35</f>
        <v>Infill Watchman Tower Prep</v>
      </c>
      <c r="C38" s="27" t="str">
        <f>'Activity List'!E35</f>
        <v>tower</v>
      </c>
      <c r="D38" s="22"/>
      <c r="E38" s="28"/>
      <c r="F38" s="22"/>
      <c r="G38" s="28"/>
      <c r="H38" s="19" t="s">
        <v>182</v>
      </c>
      <c r="I38" s="29" t="str">
        <f t="shared" si="4"/>
        <v/>
      </c>
      <c r="J38" s="30" t="str">
        <f t="shared" si="5"/>
        <v/>
      </c>
      <c r="K38" s="19" t="s">
        <v>384</v>
      </c>
      <c r="L38" s="22"/>
      <c r="M38" s="23"/>
      <c r="N38" s="31" t="str">
        <f t="shared" si="6"/>
        <v/>
      </c>
      <c r="O38" s="32" t="str">
        <f t="shared" si="7"/>
        <v/>
      </c>
    </row>
    <row r="39" spans="1:15" x14ac:dyDescent="0.45">
      <c r="A39" s="27" t="str">
        <f>'Activity List'!A36</f>
        <v>T1-035</v>
      </c>
      <c r="B39" s="27" t="str">
        <f>'Activity List'!D36</f>
        <v>Infill Seedling Transport</v>
      </c>
      <c r="C39" s="27" t="str">
        <f>'Activity List'!E36</f>
        <v>seedling</v>
      </c>
      <c r="D39" s="22"/>
      <c r="E39" s="28"/>
      <c r="F39" s="22"/>
      <c r="G39" s="28"/>
      <c r="H39" s="19" t="s">
        <v>182</v>
      </c>
      <c r="I39" s="29" t="str">
        <f t="shared" si="4"/>
        <v/>
      </c>
      <c r="J39" s="30" t="str">
        <f t="shared" si="5"/>
        <v/>
      </c>
      <c r="K39" s="19" t="s">
        <v>384</v>
      </c>
      <c r="L39" s="22"/>
      <c r="M39" s="23"/>
      <c r="N39" s="31" t="str">
        <f t="shared" si="6"/>
        <v/>
      </c>
      <c r="O39" s="32" t="str">
        <f t="shared" si="7"/>
        <v/>
      </c>
    </row>
    <row r="40" spans="1:15" x14ac:dyDescent="0.45">
      <c r="A40" s="27" t="str">
        <f>'Activity List'!A37</f>
        <v>T1-036</v>
      </c>
      <c r="B40" s="27" t="str">
        <f>'Activity List'!D37</f>
        <v>Infill Planting</v>
      </c>
      <c r="C40" s="27" t="str">
        <f>'Activity List'!E37</f>
        <v>seedling</v>
      </c>
      <c r="D40" s="22"/>
      <c r="E40" s="28"/>
      <c r="F40" s="22"/>
      <c r="G40" s="28"/>
      <c r="H40" s="19" t="s">
        <v>182</v>
      </c>
      <c r="I40" s="29" t="str">
        <f t="shared" si="4"/>
        <v/>
      </c>
      <c r="J40" s="30" t="str">
        <f t="shared" si="5"/>
        <v/>
      </c>
      <c r="K40" s="19" t="s">
        <v>384</v>
      </c>
      <c r="L40" s="22"/>
      <c r="M40" s="23"/>
      <c r="N40" s="31" t="str">
        <f t="shared" si="6"/>
        <v/>
      </c>
      <c r="O40" s="32" t="str">
        <f t="shared" si="7"/>
        <v/>
      </c>
    </row>
    <row r="41" spans="1:15" x14ac:dyDescent="0.45">
      <c r="A41" s="27" t="str">
        <f>'Activity List'!A38</f>
        <v>T1-037</v>
      </c>
      <c r="B41" s="27" t="str">
        <f>'Activity List'!D38</f>
        <v>Harvest Watchman Tower Prep</v>
      </c>
      <c r="C41" s="27" t="str">
        <f>'Activity List'!E38</f>
        <v>tower</v>
      </c>
      <c r="D41" s="22"/>
      <c r="E41" s="28"/>
      <c r="F41" s="22"/>
      <c r="G41" s="28"/>
      <c r="H41" s="19" t="s">
        <v>182</v>
      </c>
      <c r="I41" s="29" t="str">
        <f t="shared" si="4"/>
        <v/>
      </c>
      <c r="J41" s="30" t="str">
        <f t="shared" si="5"/>
        <v/>
      </c>
      <c r="K41" s="19" t="s">
        <v>384</v>
      </c>
      <c r="L41" s="22"/>
      <c r="M41" s="23"/>
      <c r="N41" s="31" t="str">
        <f t="shared" si="6"/>
        <v/>
      </c>
      <c r="O41" s="32" t="str">
        <f t="shared" si="7"/>
        <v/>
      </c>
    </row>
    <row r="42" spans="1:15" x14ac:dyDescent="0.45">
      <c r="A42" s="27" t="str">
        <f>'Activity List'!A39</f>
        <v>T1-038</v>
      </c>
      <c r="B42" s="27" t="str">
        <f>'Activity List'!D39</f>
        <v>Drying Bed Material Prep and Transport</v>
      </c>
      <c r="C42" s="27" t="str">
        <f>'Activity List'!E39</f>
        <v>bed</v>
      </c>
      <c r="D42" s="22"/>
      <c r="E42" s="28"/>
      <c r="F42" s="22"/>
      <c r="G42" s="28"/>
      <c r="H42" s="19" t="s">
        <v>182</v>
      </c>
      <c r="I42" s="29" t="str">
        <f t="shared" si="4"/>
        <v/>
      </c>
      <c r="J42" s="30" t="str">
        <f t="shared" si="5"/>
        <v/>
      </c>
      <c r="K42" s="19" t="s">
        <v>384</v>
      </c>
      <c r="L42" s="22"/>
      <c r="M42" s="23"/>
      <c r="N42" s="31" t="str">
        <f t="shared" si="6"/>
        <v/>
      </c>
      <c r="O42" s="32" t="str">
        <f t="shared" si="7"/>
        <v/>
      </c>
    </row>
    <row r="43" spans="1:15" x14ac:dyDescent="0.45">
      <c r="A43" s="27" t="str">
        <f>'Activity List'!A40</f>
        <v>T1-039</v>
      </c>
      <c r="B43" s="27" t="str">
        <f>'Activity List'!D40</f>
        <v>Drying Bed Site Cleaning</v>
      </c>
      <c r="C43" s="27" t="str">
        <f>'Activity List'!E40</f>
        <v>bed</v>
      </c>
      <c r="D43" s="22"/>
      <c r="E43" s="28"/>
      <c r="F43" s="22"/>
      <c r="G43" s="28"/>
      <c r="H43" s="19" t="s">
        <v>182</v>
      </c>
      <c r="I43" s="29" t="str">
        <f t="shared" si="4"/>
        <v/>
      </c>
      <c r="J43" s="30" t="str">
        <f t="shared" si="5"/>
        <v/>
      </c>
      <c r="K43" s="19" t="s">
        <v>384</v>
      </c>
      <c r="L43" s="22"/>
      <c r="M43" s="23"/>
      <c r="N43" s="31" t="str">
        <f t="shared" si="6"/>
        <v/>
      </c>
      <c r="O43" s="32" t="str">
        <f t="shared" si="7"/>
        <v/>
      </c>
    </row>
    <row r="44" spans="1:15" x14ac:dyDescent="0.45">
      <c r="A44" s="27" t="str">
        <f>'Activity List'!A41</f>
        <v>T1-040</v>
      </c>
      <c r="B44" s="27" t="str">
        <f>'Activity List'!D41</f>
        <v>Drying Bed Construction</v>
      </c>
      <c r="C44" s="27" t="str">
        <f>'Activity List'!E41</f>
        <v>bed</v>
      </c>
      <c r="D44" s="22"/>
      <c r="E44" s="28"/>
      <c r="F44" s="22"/>
      <c r="G44" s="28"/>
      <c r="H44" s="19" t="s">
        <v>182</v>
      </c>
      <c r="I44" s="29" t="str">
        <f t="shared" si="4"/>
        <v/>
      </c>
      <c r="J44" s="30" t="str">
        <f t="shared" si="5"/>
        <v/>
      </c>
      <c r="K44" s="19" t="s">
        <v>384</v>
      </c>
      <c r="L44" s="22"/>
      <c r="M44" s="23"/>
      <c r="N44" s="31" t="str">
        <f t="shared" si="6"/>
        <v/>
      </c>
      <c r="O44" s="32" t="str">
        <f t="shared" si="7"/>
        <v/>
      </c>
    </row>
    <row r="45" spans="1:15" x14ac:dyDescent="0.45">
      <c r="A45" s="27" t="str">
        <f>'Activity List'!A42</f>
        <v>T1-041</v>
      </c>
      <c r="B45" s="27" t="str">
        <f>'Activity List'!D42</f>
        <v>Selective Picking, Red Cherry</v>
      </c>
      <c r="C45" s="27" t="str">
        <f>'Activity List'!E42</f>
        <v>kg</v>
      </c>
      <c r="D45" s="22"/>
      <c r="E45" s="28"/>
      <c r="F45" s="22"/>
      <c r="G45" s="28"/>
      <c r="H45" s="19" t="s">
        <v>182</v>
      </c>
      <c r="I45" s="29" t="str">
        <f t="shared" si="4"/>
        <v/>
      </c>
      <c r="J45" s="30" t="str">
        <f t="shared" si="5"/>
        <v/>
      </c>
      <c r="K45" s="19" t="s">
        <v>384</v>
      </c>
      <c r="L45" s="22"/>
      <c r="M45" s="23"/>
      <c r="N45" s="31" t="str">
        <f t="shared" si="6"/>
        <v/>
      </c>
      <c r="O45" s="32" t="str">
        <f t="shared" si="7"/>
        <v/>
      </c>
    </row>
    <row r="46" spans="1:15" x14ac:dyDescent="0.45">
      <c r="A46" s="27" t="str">
        <f>'Activity List'!A43</f>
        <v>T1-042</v>
      </c>
      <c r="B46" s="27" t="str">
        <f>'Activity List'!D43</f>
        <v>Cherry Drying on Bed</v>
      </c>
      <c r="C46" s="27" t="str">
        <f>'Activity List'!E43</f>
        <v>bed</v>
      </c>
      <c r="D46" s="22"/>
      <c r="E46" s="28"/>
      <c r="F46" s="22"/>
      <c r="G46" s="28"/>
      <c r="H46" s="19" t="s">
        <v>182</v>
      </c>
      <c r="I46" s="29" t="str">
        <f t="shared" si="4"/>
        <v/>
      </c>
      <c r="J46" s="30" t="str">
        <f t="shared" si="5"/>
        <v/>
      </c>
      <c r="K46" s="19" t="s">
        <v>384</v>
      </c>
      <c r="L46" s="22"/>
      <c r="M46" s="23"/>
      <c r="N46" s="31" t="str">
        <f t="shared" si="6"/>
        <v/>
      </c>
      <c r="O46" s="32" t="str">
        <f t="shared" si="7"/>
        <v/>
      </c>
    </row>
    <row r="47" spans="1:15" x14ac:dyDescent="0.45">
      <c r="A47" s="27" t="str">
        <f>'Activity List'!A44</f>
        <v>T1-043</v>
      </c>
      <c r="B47" s="27" t="str">
        <f>'Activity List'!D44</f>
        <v>Drying Bed Maintenance</v>
      </c>
      <c r="C47" s="27" t="str">
        <f>'Activity List'!E44</f>
        <v>bed</v>
      </c>
      <c r="D47" s="22"/>
      <c r="E47" s="28"/>
      <c r="F47" s="22"/>
      <c r="G47" s="28"/>
      <c r="H47" s="19" t="s">
        <v>182</v>
      </c>
      <c r="I47" s="29" t="str">
        <f t="shared" si="4"/>
        <v/>
      </c>
      <c r="J47" s="30" t="str">
        <f t="shared" si="5"/>
        <v/>
      </c>
      <c r="K47" s="19" t="s">
        <v>384</v>
      </c>
      <c r="L47" s="22"/>
      <c r="M47" s="23"/>
      <c r="N47" s="31" t="str">
        <f t="shared" si="6"/>
        <v/>
      </c>
      <c r="O47" s="32" t="str">
        <f t="shared" si="7"/>
        <v/>
      </c>
    </row>
    <row r="48" spans="1:15" x14ac:dyDescent="0.45">
      <c r="A48" s="27" t="str">
        <f>'Activity List'!A45</f>
        <v>T1-044</v>
      </c>
      <c r="B48" s="27" t="str">
        <f>'Activity List'!D45</f>
        <v>Weighing and Arranging Dry Coffee</v>
      </c>
      <c r="C48" s="27" t="str">
        <f>'Activity List'!E45</f>
        <v>jute bag</v>
      </c>
      <c r="D48" s="22"/>
      <c r="E48" s="28"/>
      <c r="F48" s="22"/>
      <c r="G48" s="28"/>
      <c r="H48" s="19" t="s">
        <v>182</v>
      </c>
      <c r="I48" s="29" t="str">
        <f t="shared" si="4"/>
        <v/>
      </c>
      <c r="J48" s="30" t="str">
        <f t="shared" si="5"/>
        <v/>
      </c>
      <c r="K48" s="19" t="s">
        <v>384</v>
      </c>
      <c r="L48" s="22"/>
      <c r="M48" s="23"/>
      <c r="N48" s="31" t="str">
        <f t="shared" si="6"/>
        <v/>
      </c>
      <c r="O48" s="32" t="str">
        <f t="shared" si="7"/>
        <v/>
      </c>
    </row>
    <row r="49" spans="1:15" x14ac:dyDescent="0.45">
      <c r="A49" s="27" t="str">
        <f>'Activity List'!A46</f>
        <v>T1-045</v>
      </c>
      <c r="B49" s="27" t="str">
        <f>'Activity List'!D46</f>
        <v>Loading Dry Coffee, Farm 1 to 2</v>
      </c>
      <c r="C49" s="27" t="str">
        <f>'Activity List'!E46</f>
        <v>jute bag</v>
      </c>
      <c r="D49" s="22"/>
      <c r="E49" s="28"/>
      <c r="F49" s="22"/>
      <c r="G49" s="28"/>
      <c r="H49" s="19" t="s">
        <v>182</v>
      </c>
      <c r="I49" s="29" t="str">
        <f t="shared" si="4"/>
        <v/>
      </c>
      <c r="J49" s="30" t="str">
        <f t="shared" si="5"/>
        <v/>
      </c>
      <c r="K49" s="19" t="s">
        <v>384</v>
      </c>
      <c r="L49" s="22"/>
      <c r="M49" s="23"/>
      <c r="N49" s="31" t="str">
        <f t="shared" si="6"/>
        <v/>
      </c>
      <c r="O49" s="32" t="str">
        <f t="shared" si="7"/>
        <v/>
      </c>
    </row>
    <row r="50" spans="1:15" x14ac:dyDescent="0.45">
      <c r="A50" s="27" t="str">
        <f>'Activity List'!A47</f>
        <v>T1-046</v>
      </c>
      <c r="B50" s="27" t="str">
        <f>'Activity List'!D47</f>
        <v>Loading Dry Coffee, Farm to Hulling</v>
      </c>
      <c r="C50" s="27" t="str">
        <f>'Activity List'!E47</f>
        <v>jute bag</v>
      </c>
      <c r="D50" s="22"/>
      <c r="E50" s="28"/>
      <c r="F50" s="22"/>
      <c r="G50" s="28"/>
      <c r="H50" s="19" t="s">
        <v>182</v>
      </c>
      <c r="I50" s="29" t="str">
        <f t="shared" si="4"/>
        <v/>
      </c>
      <c r="J50" s="30" t="str">
        <f t="shared" si="5"/>
        <v/>
      </c>
      <c r="K50" s="19" t="s">
        <v>384</v>
      </c>
      <c r="L50" s="22"/>
      <c r="M50" s="23"/>
      <c r="N50" s="31" t="str">
        <f t="shared" si="6"/>
        <v/>
      </c>
      <c r="O50" s="32" t="str">
        <f t="shared" si="7"/>
        <v/>
      </c>
    </row>
    <row r="51" spans="1:15" x14ac:dyDescent="0.45">
      <c r="A51" s="27" t="str">
        <f>'Activity List'!A48</f>
        <v>T1-047</v>
      </c>
      <c r="B51" s="27" t="str">
        <f>'Activity List'!D48</f>
        <v>Transport Vehicle Rental</v>
      </c>
      <c r="C51" s="27" t="str">
        <f>'Activity List'!E48</f>
        <v>jute bag</v>
      </c>
      <c r="D51" s="22"/>
      <c r="E51" s="28"/>
      <c r="F51" s="22"/>
      <c r="G51" s="28"/>
      <c r="H51" s="19" t="s">
        <v>182</v>
      </c>
      <c r="I51" s="29" t="str">
        <f t="shared" si="4"/>
        <v/>
      </c>
      <c r="J51" s="30" t="str">
        <f t="shared" si="5"/>
        <v/>
      </c>
      <c r="K51" s="19" t="s">
        <v>384</v>
      </c>
      <c r="L51" s="22"/>
      <c r="M51" s="23"/>
      <c r="N51" s="31" t="str">
        <f t="shared" si="6"/>
        <v/>
      </c>
      <c r="O51" s="32" t="str">
        <f t="shared" si="7"/>
        <v/>
      </c>
    </row>
    <row r="52" spans="1:15" x14ac:dyDescent="0.45">
      <c r="A52" s="27" t="str">
        <f>'Activity List'!A49</f>
        <v>T1-048</v>
      </c>
      <c r="B52" s="27" t="str">
        <f>'Activity List'!D49</f>
        <v>Unloading Dry Coffee at Hulling</v>
      </c>
      <c r="C52" s="27" t="str">
        <f>'Activity List'!E49</f>
        <v>jute bag</v>
      </c>
      <c r="D52" s="22"/>
      <c r="E52" s="28"/>
      <c r="F52" s="22"/>
      <c r="G52" s="28"/>
      <c r="H52" s="19" t="s">
        <v>182</v>
      </c>
      <c r="I52" s="29" t="str">
        <f t="shared" si="4"/>
        <v/>
      </c>
      <c r="J52" s="30" t="str">
        <f t="shared" si="5"/>
        <v/>
      </c>
      <c r="K52" s="19" t="s">
        <v>384</v>
      </c>
      <c r="L52" s="22"/>
      <c r="M52" s="23"/>
      <c r="N52" s="31" t="str">
        <f t="shared" si="6"/>
        <v/>
      </c>
      <c r="O52" s="32" t="str">
        <f t="shared" si="7"/>
        <v/>
      </c>
    </row>
    <row r="53" spans="1:15" x14ac:dyDescent="0.45">
      <c r="A53" s="27" t="str">
        <f>'Activity List'!A50</f>
        <v>T1-049</v>
      </c>
      <c r="B53" s="27" t="str">
        <f>'Activity List'!D50</f>
        <v>Hulling of Dry Coffee (incl. VAT)</v>
      </c>
      <c r="C53" s="27" t="str">
        <f>'Activity List'!E50</f>
        <v>jute bag</v>
      </c>
      <c r="D53" s="22"/>
      <c r="E53" s="28"/>
      <c r="F53" s="22"/>
      <c r="G53" s="28"/>
      <c r="H53" s="19" t="s">
        <v>182</v>
      </c>
      <c r="I53" s="29" t="str">
        <f t="shared" si="4"/>
        <v/>
      </c>
      <c r="J53" s="30" t="str">
        <f t="shared" si="5"/>
        <v/>
      </c>
      <c r="K53" s="19" t="s">
        <v>384</v>
      </c>
      <c r="L53" s="22"/>
      <c r="M53" s="23"/>
      <c r="N53" s="31" t="str">
        <f t="shared" si="6"/>
        <v/>
      </c>
      <c r="O53" s="32" t="str">
        <f t="shared" si="7"/>
        <v/>
      </c>
    </row>
    <row r="54" spans="1:15" x14ac:dyDescent="0.45">
      <c r="A54" s="27" t="str">
        <f>'Activity List'!A51</f>
        <v>T1-050</v>
      </c>
      <c r="B54" s="27" t="str">
        <f>'Activity List'!D51</f>
        <v>Unloading at Warehouse</v>
      </c>
      <c r="C54" s="27" t="str">
        <f>'Activity List'!E51</f>
        <v>quintal</v>
      </c>
      <c r="D54" s="22"/>
      <c r="E54" s="28"/>
      <c r="F54" s="22"/>
      <c r="G54" s="28"/>
      <c r="H54" s="19" t="s">
        <v>182</v>
      </c>
      <c r="I54" s="29" t="str">
        <f t="shared" si="4"/>
        <v/>
      </c>
      <c r="J54" s="30" t="str">
        <f t="shared" si="5"/>
        <v/>
      </c>
      <c r="K54" s="19" t="s">
        <v>384</v>
      </c>
      <c r="L54" s="22"/>
      <c r="M54" s="23"/>
      <c r="N54" s="31" t="str">
        <f t="shared" si="6"/>
        <v/>
      </c>
      <c r="O54" s="32" t="str">
        <f t="shared" si="7"/>
        <v/>
      </c>
    </row>
    <row r="55" spans="1:15" x14ac:dyDescent="0.45">
      <c r="A55" s="27" t="str">
        <f>'Activity List'!A52</f>
        <v>T1-051</v>
      </c>
      <c r="B55" s="27" t="str">
        <f>'Activity List'!D52</f>
        <v>Transport Clean Coffee to Addis Ababa</v>
      </c>
      <c r="C55" s="27" t="str">
        <f>'Activity List'!E52</f>
        <v>quintal</v>
      </c>
      <c r="D55" s="22"/>
      <c r="E55" s="28"/>
      <c r="F55" s="22"/>
      <c r="G55" s="28"/>
      <c r="H55" s="19" t="s">
        <v>182</v>
      </c>
      <c r="I55" s="29" t="str">
        <f t="shared" si="4"/>
        <v/>
      </c>
      <c r="J55" s="30" t="str">
        <f t="shared" si="5"/>
        <v/>
      </c>
      <c r="K55" s="19" t="s">
        <v>384</v>
      </c>
      <c r="L55" s="22"/>
      <c r="M55" s="23"/>
      <c r="N55" s="31" t="str">
        <f t="shared" si="6"/>
        <v/>
      </c>
      <c r="O55" s="32" t="str">
        <f t="shared" si="7"/>
        <v/>
      </c>
    </row>
    <row r="56" spans="1:15" x14ac:dyDescent="0.45">
      <c r="A56" s="27" t="str">
        <f>'Activity List'!A53</f>
        <v>T1-052</v>
      </c>
      <c r="B56" s="27" t="str">
        <f>'Activity List'!D53</f>
        <v>Drying Bed Removal</v>
      </c>
      <c r="C56" s="27" t="str">
        <f>'Activity List'!E53</f>
        <v>bed</v>
      </c>
      <c r="D56" s="22"/>
      <c r="E56" s="28"/>
      <c r="F56" s="22"/>
      <c r="G56" s="28"/>
      <c r="H56" s="19" t="s">
        <v>182</v>
      </c>
      <c r="I56" s="29" t="str">
        <f t="shared" si="4"/>
        <v/>
      </c>
      <c r="J56" s="30" t="str">
        <f t="shared" si="5"/>
        <v/>
      </c>
      <c r="K56" s="19" t="s">
        <v>384</v>
      </c>
      <c r="L56" s="22"/>
      <c r="M56" s="23"/>
      <c r="N56" s="31" t="str">
        <f t="shared" si="6"/>
        <v/>
      </c>
      <c r="O56" s="32" t="str">
        <f t="shared" si="7"/>
        <v/>
      </c>
    </row>
    <row r="57" spans="1:15" x14ac:dyDescent="0.45">
      <c r="A57" s="27" t="str">
        <f>'Activity List'!A54</f>
        <v>T2-001</v>
      </c>
      <c r="B57" s="27" t="str">
        <f>'Activity List'!D54</f>
        <v>Harvest Planning</v>
      </c>
      <c r="C57" s="27" t="str">
        <f>'Activity List'!E54</f>
        <v>farm</v>
      </c>
      <c r="D57" s="22"/>
      <c r="E57" s="28"/>
      <c r="F57" s="22"/>
      <c r="G57" s="28"/>
      <c r="H57" s="19" t="s">
        <v>182</v>
      </c>
      <c r="I57" s="29" t="str">
        <f t="shared" si="4"/>
        <v/>
      </c>
      <c r="J57" s="30" t="str">
        <f t="shared" si="5"/>
        <v/>
      </c>
      <c r="K57" s="19" t="s">
        <v>384</v>
      </c>
      <c r="L57" s="22"/>
      <c r="M57" s="23"/>
      <c r="N57" s="31" t="str">
        <f t="shared" si="6"/>
        <v/>
      </c>
      <c r="O57" s="32" t="str">
        <f t="shared" si="7"/>
        <v/>
      </c>
    </row>
    <row r="58" spans="1:15" x14ac:dyDescent="0.45">
      <c r="A58" s="27" t="str">
        <f>'Activity List'!A55</f>
        <v>T2-002</v>
      </c>
      <c r="B58" s="27" t="str">
        <f>'Activity List'!D55</f>
        <v>Labour Mobilisation</v>
      </c>
      <c r="C58" s="27" t="str">
        <f>'Activity List'!E55</f>
        <v>farm</v>
      </c>
      <c r="D58" s="22"/>
      <c r="E58" s="28"/>
      <c r="F58" s="22"/>
      <c r="G58" s="28"/>
      <c r="H58" s="19" t="s">
        <v>182</v>
      </c>
      <c r="I58" s="29" t="str">
        <f t="shared" si="4"/>
        <v/>
      </c>
      <c r="J58" s="30" t="str">
        <f t="shared" si="5"/>
        <v/>
      </c>
      <c r="K58" s="19" t="s">
        <v>384</v>
      </c>
      <c r="L58" s="22"/>
      <c r="M58" s="23"/>
      <c r="N58" s="31" t="str">
        <f t="shared" si="6"/>
        <v/>
      </c>
      <c r="O58" s="32" t="str">
        <f t="shared" si="7"/>
        <v/>
      </c>
    </row>
    <row r="59" spans="1:15" x14ac:dyDescent="0.45">
      <c r="A59" s="27" t="str">
        <f>'Activity List'!A56</f>
        <v>T2-003</v>
      </c>
      <c r="B59" s="27" t="str">
        <f>'Activity List'!D56</f>
        <v>Harvest Supervision</v>
      </c>
      <c r="C59" s="27" t="str">
        <f>'Activity List'!E56</f>
        <v>ha</v>
      </c>
      <c r="D59" s="22"/>
      <c r="E59" s="28"/>
      <c r="F59" s="22"/>
      <c r="G59" s="28"/>
      <c r="H59" s="19" t="s">
        <v>182</v>
      </c>
      <c r="I59" s="29" t="str">
        <f t="shared" si="4"/>
        <v/>
      </c>
      <c r="J59" s="30" t="str">
        <f t="shared" si="5"/>
        <v/>
      </c>
      <c r="K59" s="19" t="s">
        <v>384</v>
      </c>
      <c r="L59" s="22"/>
      <c r="M59" s="23"/>
      <c r="N59" s="31" t="str">
        <f t="shared" si="6"/>
        <v/>
      </c>
      <c r="O59" s="32" t="str">
        <f t="shared" si="7"/>
        <v/>
      </c>
    </row>
    <row r="60" spans="1:15" x14ac:dyDescent="0.45">
      <c r="A60" s="27" t="str">
        <f>'Activity List'!A57</f>
        <v>T2-004</v>
      </c>
      <c r="B60" s="27" t="str">
        <f>'Activity List'!D57</f>
        <v>Daily Production Monitoring</v>
      </c>
      <c r="C60" s="27" t="str">
        <f>'Activity List'!E57</f>
        <v>farm</v>
      </c>
      <c r="D60" s="22"/>
      <c r="E60" s="28"/>
      <c r="F60" s="22"/>
      <c r="G60" s="28"/>
      <c r="H60" s="19" t="s">
        <v>182</v>
      </c>
      <c r="I60" s="29" t="str">
        <f t="shared" si="4"/>
        <v/>
      </c>
      <c r="J60" s="30" t="str">
        <f t="shared" si="5"/>
        <v/>
      </c>
      <c r="K60" s="19" t="s">
        <v>384</v>
      </c>
      <c r="L60" s="22"/>
      <c r="M60" s="23"/>
      <c r="N60" s="31" t="str">
        <f t="shared" si="6"/>
        <v/>
      </c>
      <c r="O60" s="32" t="str">
        <f t="shared" si="7"/>
        <v/>
      </c>
    </row>
    <row r="61" spans="1:15" x14ac:dyDescent="0.45">
      <c r="A61" s="27" t="str">
        <f>'Activity List'!A58</f>
        <v>T2-005</v>
      </c>
      <c r="B61" s="27" t="str">
        <f>'Activity List'!D58</f>
        <v>Quality Monitoring (Harvest)</v>
      </c>
      <c r="C61" s="27" t="str">
        <f>'Activity List'!E58</f>
        <v>farm</v>
      </c>
      <c r="D61" s="22"/>
      <c r="E61" s="28"/>
      <c r="F61" s="22"/>
      <c r="G61" s="28"/>
      <c r="H61" s="19" t="s">
        <v>182</v>
      </c>
      <c r="I61" s="29" t="str">
        <f t="shared" si="4"/>
        <v/>
      </c>
      <c r="J61" s="30" t="str">
        <f t="shared" si="5"/>
        <v/>
      </c>
      <c r="K61" s="19" t="s">
        <v>384</v>
      </c>
      <c r="L61" s="22"/>
      <c r="M61" s="23"/>
      <c r="N61" s="31" t="str">
        <f t="shared" si="6"/>
        <v/>
      </c>
      <c r="O61" s="32" t="str">
        <f t="shared" si="7"/>
        <v/>
      </c>
    </row>
    <row r="62" spans="1:15" x14ac:dyDescent="0.45">
      <c r="A62" s="27" t="str">
        <f>'Activity List'!A59</f>
        <v>T2-006</v>
      </c>
      <c r="B62" s="27" t="str">
        <f>'Activity List'!D59</f>
        <v>Cherry Movement Coordination</v>
      </c>
      <c r="C62" s="27" t="str">
        <f>'Activity List'!E59</f>
        <v>farm</v>
      </c>
      <c r="D62" s="22"/>
      <c r="E62" s="28"/>
      <c r="F62" s="22"/>
      <c r="G62" s="28"/>
      <c r="H62" s="19" t="s">
        <v>182</v>
      </c>
      <c r="I62" s="29" t="str">
        <f t="shared" si="4"/>
        <v/>
      </c>
      <c r="J62" s="30" t="str">
        <f t="shared" si="5"/>
        <v/>
      </c>
      <c r="K62" s="19" t="s">
        <v>384</v>
      </c>
      <c r="L62" s="22"/>
      <c r="M62" s="23"/>
      <c r="N62" s="31" t="str">
        <f t="shared" si="6"/>
        <v/>
      </c>
      <c r="O62" s="32" t="str">
        <f t="shared" si="7"/>
        <v/>
      </c>
    </row>
    <row r="63" spans="1:15" x14ac:dyDescent="0.45">
      <c r="A63" s="27" t="str">
        <f>'Activity List'!A60</f>
        <v>T2-007</v>
      </c>
      <c r="B63" s="27" t="str">
        <f>'Activity List'!D60</f>
        <v>Daily Harvest Reporting</v>
      </c>
      <c r="C63" s="27" t="str">
        <f>'Activity List'!E60</f>
        <v>farm</v>
      </c>
      <c r="D63" s="22"/>
      <c r="E63" s="28"/>
      <c r="F63" s="22"/>
      <c r="G63" s="28"/>
      <c r="H63" s="19" t="s">
        <v>182</v>
      </c>
      <c r="I63" s="29" t="str">
        <f t="shared" si="4"/>
        <v/>
      </c>
      <c r="J63" s="30" t="str">
        <f t="shared" si="5"/>
        <v/>
      </c>
      <c r="K63" s="19" t="s">
        <v>384</v>
      </c>
      <c r="L63" s="22"/>
      <c r="M63" s="23"/>
      <c r="N63" s="31" t="str">
        <f t="shared" si="6"/>
        <v/>
      </c>
      <c r="O63" s="32" t="str">
        <f t="shared" si="7"/>
        <v/>
      </c>
    </row>
    <row r="64" spans="1:15" x14ac:dyDescent="0.45">
      <c r="A64" s="27" t="str">
        <f>'Activity List'!A61</f>
        <v>T2-008</v>
      </c>
      <c r="B64" s="27" t="str">
        <f>'Activity List'!D61</f>
        <v>Yield Reconciliation</v>
      </c>
      <c r="C64" s="27" t="str">
        <f>'Activity List'!E61</f>
        <v>farm</v>
      </c>
      <c r="D64" s="22"/>
      <c r="E64" s="28"/>
      <c r="F64" s="22"/>
      <c r="G64" s="28"/>
      <c r="H64" s="19" t="s">
        <v>182</v>
      </c>
      <c r="I64" s="29" t="str">
        <f t="shared" si="4"/>
        <v/>
      </c>
      <c r="J64" s="30" t="str">
        <f t="shared" si="5"/>
        <v/>
      </c>
      <c r="K64" s="19" t="s">
        <v>384</v>
      </c>
      <c r="L64" s="22"/>
      <c r="M64" s="23"/>
      <c r="N64" s="31" t="str">
        <f t="shared" si="6"/>
        <v/>
      </c>
      <c r="O64" s="32" t="str">
        <f t="shared" si="7"/>
        <v/>
      </c>
    </row>
    <row r="65" spans="1:15" x14ac:dyDescent="0.45">
      <c r="A65" s="27" t="str">
        <f>'Activity List'!A62</f>
        <v>T2-009</v>
      </c>
      <c r="B65" s="27" t="str">
        <f>'Activity List'!D62</f>
        <v>Harvest Close-Out</v>
      </c>
      <c r="C65" s="27" t="str">
        <f>'Activity List'!E62</f>
        <v>farm</v>
      </c>
      <c r="D65" s="22"/>
      <c r="E65" s="28"/>
      <c r="F65" s="22"/>
      <c r="G65" s="28"/>
      <c r="H65" s="19" t="s">
        <v>182</v>
      </c>
      <c r="I65" s="29" t="str">
        <f t="shared" si="4"/>
        <v/>
      </c>
      <c r="J65" s="30" t="str">
        <f t="shared" si="5"/>
        <v/>
      </c>
      <c r="K65" s="19" t="s">
        <v>384</v>
      </c>
      <c r="L65" s="22"/>
      <c r="M65" s="23"/>
      <c r="N65" s="31" t="str">
        <f t="shared" si="6"/>
        <v/>
      </c>
      <c r="O65" s="32" t="str">
        <f t="shared" si="7"/>
        <v/>
      </c>
    </row>
    <row r="66" spans="1:15" x14ac:dyDescent="0.45">
      <c r="A66" s="27" t="str">
        <f>'Activity List'!A63</f>
        <v>T2-010</v>
      </c>
      <c r="B66" s="27" t="str">
        <f>'Activity List'!D63</f>
        <v>Cherry Reception</v>
      </c>
      <c r="C66" s="27" t="str">
        <f>'Activity List'!E63</f>
        <v>farm</v>
      </c>
      <c r="D66" s="22"/>
      <c r="E66" s="28"/>
      <c r="F66" s="22"/>
      <c r="G66" s="28"/>
      <c r="H66" s="19" t="s">
        <v>182</v>
      </c>
      <c r="I66" s="29" t="str">
        <f t="shared" si="4"/>
        <v/>
      </c>
      <c r="J66" s="30" t="str">
        <f t="shared" si="5"/>
        <v/>
      </c>
      <c r="K66" s="19" t="s">
        <v>384</v>
      </c>
      <c r="L66" s="22"/>
      <c r="M66" s="23"/>
      <c r="N66" s="31" t="str">
        <f t="shared" si="6"/>
        <v/>
      </c>
      <c r="O66" s="32" t="str">
        <f t="shared" si="7"/>
        <v/>
      </c>
    </row>
    <row r="67" spans="1:15" x14ac:dyDescent="0.45">
      <c r="A67" s="27" t="str">
        <f>'Activity List'!A64</f>
        <v>T2-011</v>
      </c>
      <c r="B67" s="27" t="str">
        <f>'Activity List'!D64</f>
        <v>Washing Supervision</v>
      </c>
      <c r="C67" s="27" t="str">
        <f>'Activity List'!E64</f>
        <v>farm</v>
      </c>
      <c r="D67" s="22"/>
      <c r="E67" s="28"/>
      <c r="F67" s="22"/>
      <c r="G67" s="28"/>
      <c r="H67" s="19" t="s">
        <v>182</v>
      </c>
      <c r="I67" s="29" t="str">
        <f t="shared" si="4"/>
        <v/>
      </c>
      <c r="J67" s="30" t="str">
        <f t="shared" si="5"/>
        <v/>
      </c>
      <c r="K67" s="19" t="s">
        <v>384</v>
      </c>
      <c r="L67" s="22"/>
      <c r="M67" s="23"/>
      <c r="N67" s="31" t="str">
        <f t="shared" si="6"/>
        <v/>
      </c>
      <c r="O67" s="32" t="str">
        <f t="shared" si="7"/>
        <v/>
      </c>
    </row>
    <row r="68" spans="1:15" x14ac:dyDescent="0.45">
      <c r="A68" s="27" t="str">
        <f>'Activity List'!A65</f>
        <v>T2-012</v>
      </c>
      <c r="B68" s="27" t="str">
        <f>'Activity List'!D65</f>
        <v>Fermentation Supervision</v>
      </c>
      <c r="C68" s="27" t="str">
        <f>'Activity List'!E65</f>
        <v>farm</v>
      </c>
      <c r="D68" s="22"/>
      <c r="E68" s="28"/>
      <c r="F68" s="22"/>
      <c r="G68" s="28"/>
      <c r="H68" s="19" t="s">
        <v>182</v>
      </c>
      <c r="I68" s="29" t="str">
        <f t="shared" si="4"/>
        <v/>
      </c>
      <c r="J68" s="30" t="str">
        <f t="shared" si="5"/>
        <v/>
      </c>
      <c r="K68" s="19" t="s">
        <v>384</v>
      </c>
      <c r="L68" s="22"/>
      <c r="M68" s="23"/>
      <c r="N68" s="31" t="str">
        <f t="shared" si="6"/>
        <v/>
      </c>
      <c r="O68" s="32" t="str">
        <f t="shared" si="7"/>
        <v/>
      </c>
    </row>
    <row r="69" spans="1:15" x14ac:dyDescent="0.45">
      <c r="A69" s="27" t="str">
        <f>'Activity List'!A66</f>
        <v>T2-013</v>
      </c>
      <c r="B69" s="27" t="str">
        <f>'Activity List'!D66</f>
        <v>Drying Supervision</v>
      </c>
      <c r="C69" s="27" t="str">
        <f>'Activity List'!E66</f>
        <v>farm</v>
      </c>
      <c r="D69" s="22"/>
      <c r="E69" s="28"/>
      <c r="F69" s="22"/>
      <c r="G69" s="28"/>
      <c r="H69" s="19" t="s">
        <v>182</v>
      </c>
      <c r="I69" s="29" t="str">
        <f t="shared" ref="I69:I100" si="8">IFERROR(AVERAGE(E69,G69),"")</f>
        <v/>
      </c>
      <c r="J69" s="30" t="str">
        <f t="shared" ref="J69:J100" si="9">I69</f>
        <v/>
      </c>
      <c r="K69" s="19" t="s">
        <v>384</v>
      </c>
      <c r="L69" s="22"/>
      <c r="M69" s="23"/>
      <c r="N69" s="31" t="str">
        <f t="shared" ref="N69:N100" si="10">IF(M69="","",EDATE(M69,12))</f>
        <v/>
      </c>
      <c r="O69" s="32" t="str">
        <f t="shared" ref="O69:O100" si="11">IF(K69="Approved",J69,"")</f>
        <v/>
      </c>
    </row>
    <row r="70" spans="1:15" x14ac:dyDescent="0.45">
      <c r="A70" s="27" t="str">
        <f>'Activity List'!A67</f>
        <v>T2-014</v>
      </c>
      <c r="B70" s="27" t="str">
        <f>'Activity List'!D67</f>
        <v>Moisture Management</v>
      </c>
      <c r="C70" s="27" t="str">
        <f>'Activity List'!E67</f>
        <v>farm</v>
      </c>
      <c r="D70" s="22"/>
      <c r="E70" s="28"/>
      <c r="F70" s="22"/>
      <c r="G70" s="28"/>
      <c r="H70" s="19" t="s">
        <v>182</v>
      </c>
      <c r="I70" s="29" t="str">
        <f t="shared" si="8"/>
        <v/>
      </c>
      <c r="J70" s="30" t="str">
        <f t="shared" si="9"/>
        <v/>
      </c>
      <c r="K70" s="19" t="s">
        <v>384</v>
      </c>
      <c r="L70" s="22"/>
      <c r="M70" s="23"/>
      <c r="N70" s="31" t="str">
        <f t="shared" si="10"/>
        <v/>
      </c>
      <c r="O70" s="32" t="str">
        <f t="shared" si="11"/>
        <v/>
      </c>
    </row>
    <row r="71" spans="1:15" x14ac:dyDescent="0.45">
      <c r="A71" s="27" t="str">
        <f>'Activity List'!A68</f>
        <v>T2-015</v>
      </c>
      <c r="B71" s="27" t="str">
        <f>'Activity List'!D68</f>
        <v>Parchment Storage</v>
      </c>
      <c r="C71" s="27" t="str">
        <f>'Activity List'!E68</f>
        <v>farm</v>
      </c>
      <c r="D71" s="22"/>
      <c r="E71" s="28"/>
      <c r="F71" s="22"/>
      <c r="G71" s="28"/>
      <c r="H71" s="19" t="s">
        <v>182</v>
      </c>
      <c r="I71" s="29" t="str">
        <f t="shared" si="8"/>
        <v/>
      </c>
      <c r="J71" s="30" t="str">
        <f t="shared" si="9"/>
        <v/>
      </c>
      <c r="K71" s="19" t="s">
        <v>384</v>
      </c>
      <c r="L71" s="22"/>
      <c r="M71" s="23"/>
      <c r="N71" s="31" t="str">
        <f t="shared" si="10"/>
        <v/>
      </c>
      <c r="O71" s="32" t="str">
        <f t="shared" si="11"/>
        <v/>
      </c>
    </row>
    <row r="72" spans="1:15" x14ac:dyDescent="0.45">
      <c r="A72" s="27" t="str">
        <f>'Activity List'!A69</f>
        <v>T2-016</v>
      </c>
      <c r="B72" s="27" t="str">
        <f>'Activity List'!D69</f>
        <v>Warehouse Management</v>
      </c>
      <c r="C72" s="27" t="str">
        <f>'Activity List'!E69</f>
        <v>farm</v>
      </c>
      <c r="D72" s="22"/>
      <c r="E72" s="28"/>
      <c r="F72" s="22"/>
      <c r="G72" s="28"/>
      <c r="H72" s="19" t="s">
        <v>182</v>
      </c>
      <c r="I72" s="29" t="str">
        <f t="shared" si="8"/>
        <v/>
      </c>
      <c r="J72" s="30" t="str">
        <f t="shared" si="9"/>
        <v/>
      </c>
      <c r="K72" s="19" t="s">
        <v>384</v>
      </c>
      <c r="L72" s="22"/>
      <c r="M72" s="23"/>
      <c r="N72" s="31" t="str">
        <f t="shared" si="10"/>
        <v/>
      </c>
      <c r="O72" s="32" t="str">
        <f t="shared" si="11"/>
        <v/>
      </c>
    </row>
    <row r="73" spans="1:15" x14ac:dyDescent="0.45">
      <c r="A73" s="27" t="str">
        <f>'Activity List'!A70</f>
        <v>T2-017</v>
      </c>
      <c r="B73" s="27" t="str">
        <f>'Activity List'!D70</f>
        <v>Inventory Reconciliation</v>
      </c>
      <c r="C73" s="27" t="str">
        <f>'Activity List'!E70</f>
        <v>farm</v>
      </c>
      <c r="D73" s="22"/>
      <c r="E73" s="28"/>
      <c r="F73" s="22"/>
      <c r="G73" s="28"/>
      <c r="H73" s="19" t="s">
        <v>182</v>
      </c>
      <c r="I73" s="29" t="str">
        <f t="shared" si="8"/>
        <v/>
      </c>
      <c r="J73" s="30" t="str">
        <f t="shared" si="9"/>
        <v/>
      </c>
      <c r="K73" s="19" t="s">
        <v>384</v>
      </c>
      <c r="L73" s="22"/>
      <c r="M73" s="23"/>
      <c r="N73" s="31" t="str">
        <f t="shared" si="10"/>
        <v/>
      </c>
      <c r="O73" s="32" t="str">
        <f t="shared" si="11"/>
        <v/>
      </c>
    </row>
    <row r="74" spans="1:15" x14ac:dyDescent="0.45">
      <c r="A74" s="27" t="str">
        <f>'Activity List'!A71</f>
        <v>T2-018</v>
      </c>
      <c r="B74" s="27" t="str">
        <f>'Activity List'!D71</f>
        <v>Internal Transport Coordination</v>
      </c>
      <c r="C74" s="27" t="str">
        <f>'Activity List'!E71</f>
        <v>farm</v>
      </c>
      <c r="D74" s="22"/>
      <c r="E74" s="28"/>
      <c r="F74" s="22"/>
      <c r="G74" s="28"/>
      <c r="H74" s="19" t="s">
        <v>182</v>
      </c>
      <c r="I74" s="29" t="str">
        <f t="shared" si="8"/>
        <v/>
      </c>
      <c r="J74" s="30" t="str">
        <f t="shared" si="9"/>
        <v/>
      </c>
      <c r="K74" s="19" t="s">
        <v>384</v>
      </c>
      <c r="L74" s="22"/>
      <c r="M74" s="23"/>
      <c r="N74" s="31" t="str">
        <f t="shared" si="10"/>
        <v/>
      </c>
      <c r="O74" s="32" t="str">
        <f t="shared" si="11"/>
        <v/>
      </c>
    </row>
    <row r="75" spans="1:15" x14ac:dyDescent="0.45">
      <c r="A75" s="27" t="str">
        <f>'Activity List'!A72</f>
        <v>T2-019</v>
      </c>
      <c r="B75" s="27" t="str">
        <f>'Activity List'!D72</f>
        <v>Hulling Supervision</v>
      </c>
      <c r="C75" s="27" t="str">
        <f>'Activity List'!E72</f>
        <v>farm</v>
      </c>
      <c r="D75" s="22"/>
      <c r="E75" s="28"/>
      <c r="F75" s="22"/>
      <c r="G75" s="28"/>
      <c r="H75" s="19" t="s">
        <v>182</v>
      </c>
      <c r="I75" s="29" t="str">
        <f t="shared" si="8"/>
        <v/>
      </c>
      <c r="J75" s="30" t="str">
        <f t="shared" si="9"/>
        <v/>
      </c>
      <c r="K75" s="19" t="s">
        <v>384</v>
      </c>
      <c r="L75" s="22"/>
      <c r="M75" s="23"/>
      <c r="N75" s="31" t="str">
        <f t="shared" si="10"/>
        <v/>
      </c>
      <c r="O75" s="32" t="str">
        <f t="shared" si="11"/>
        <v/>
      </c>
    </row>
    <row r="76" spans="1:15" x14ac:dyDescent="0.45">
      <c r="A76" s="27" t="str">
        <f>'Activity List'!A73</f>
        <v>T2-020</v>
      </c>
      <c r="B76" s="27" t="str">
        <f>'Activity List'!D73</f>
        <v>Stock Management</v>
      </c>
      <c r="C76" s="27" t="str">
        <f>'Activity List'!E73</f>
        <v>farm</v>
      </c>
      <c r="D76" s="22"/>
      <c r="E76" s="28"/>
      <c r="F76" s="22"/>
      <c r="G76" s="28"/>
      <c r="H76" s="19" t="s">
        <v>182</v>
      </c>
      <c r="I76" s="29" t="str">
        <f t="shared" si="8"/>
        <v/>
      </c>
      <c r="J76" s="30" t="str">
        <f t="shared" si="9"/>
        <v/>
      </c>
      <c r="K76" s="19" t="s">
        <v>384</v>
      </c>
      <c r="L76" s="22"/>
      <c r="M76" s="23"/>
      <c r="N76" s="31" t="str">
        <f t="shared" si="10"/>
        <v/>
      </c>
      <c r="O76" s="32" t="str">
        <f t="shared" si="11"/>
        <v/>
      </c>
    </row>
    <row r="77" spans="1:15" x14ac:dyDescent="0.45">
      <c r="A77" s="27" t="str">
        <f>'Activity List'!A74</f>
        <v>T2-021</v>
      </c>
      <c r="B77" s="27" t="str">
        <f>'Activity List'!D74</f>
        <v>Loss Control</v>
      </c>
      <c r="C77" s="27" t="str">
        <f>'Activity List'!E74</f>
        <v>farm</v>
      </c>
      <c r="D77" s="22"/>
      <c r="E77" s="28"/>
      <c r="F77" s="22"/>
      <c r="G77" s="28"/>
      <c r="H77" s="19" t="s">
        <v>182</v>
      </c>
      <c r="I77" s="29" t="str">
        <f t="shared" si="8"/>
        <v/>
      </c>
      <c r="J77" s="30" t="str">
        <f t="shared" si="9"/>
        <v/>
      </c>
      <c r="K77" s="19" t="s">
        <v>384</v>
      </c>
      <c r="L77" s="22"/>
      <c r="M77" s="23"/>
      <c r="N77" s="31" t="str">
        <f t="shared" si="10"/>
        <v/>
      </c>
      <c r="O77" s="32" t="str">
        <f t="shared" si="11"/>
        <v/>
      </c>
    </row>
    <row r="78" spans="1:15" x14ac:dyDescent="0.45">
      <c r="A78" s="27" t="str">
        <f>'Activity List'!A75</f>
        <v>T2-022</v>
      </c>
      <c r="B78" s="27" t="str">
        <f>'Activity List'!D75</f>
        <v>Export Grading Coordination</v>
      </c>
      <c r="C78" s="27" t="str">
        <f>'Activity List'!E75</f>
        <v>farm</v>
      </c>
      <c r="D78" s="22"/>
      <c r="E78" s="28"/>
      <c r="F78" s="22"/>
      <c r="G78" s="28"/>
      <c r="H78" s="19" t="s">
        <v>182</v>
      </c>
      <c r="I78" s="29" t="str">
        <f t="shared" si="8"/>
        <v/>
      </c>
      <c r="J78" s="30" t="str">
        <f t="shared" si="9"/>
        <v/>
      </c>
      <c r="K78" s="19" t="s">
        <v>384</v>
      </c>
      <c r="L78" s="22"/>
      <c r="M78" s="23"/>
      <c r="N78" s="31" t="str">
        <f t="shared" si="10"/>
        <v/>
      </c>
      <c r="O78" s="32" t="str">
        <f t="shared" si="11"/>
        <v/>
      </c>
    </row>
    <row r="79" spans="1:15" x14ac:dyDescent="0.45">
      <c r="A79" s="27" t="str">
        <f>'Activity List'!A76</f>
        <v>T2-023</v>
      </c>
      <c r="B79" s="27" t="str">
        <f>'Activity List'!D76</f>
        <v>Quality Inspection Coordination</v>
      </c>
      <c r="C79" s="27" t="str">
        <f>'Activity List'!E76</f>
        <v>farm</v>
      </c>
      <c r="D79" s="22"/>
      <c r="E79" s="28"/>
      <c r="F79" s="22"/>
      <c r="G79" s="28"/>
      <c r="H79" s="19" t="s">
        <v>182</v>
      </c>
      <c r="I79" s="29" t="str">
        <f t="shared" si="8"/>
        <v/>
      </c>
      <c r="J79" s="30" t="str">
        <f t="shared" si="9"/>
        <v/>
      </c>
      <c r="K79" s="19" t="s">
        <v>384</v>
      </c>
      <c r="L79" s="22"/>
      <c r="M79" s="23"/>
      <c r="N79" s="31" t="str">
        <f t="shared" si="10"/>
        <v/>
      </c>
      <c r="O79" s="32" t="str">
        <f t="shared" si="11"/>
        <v/>
      </c>
    </row>
    <row r="80" spans="1:15" x14ac:dyDescent="0.45">
      <c r="A80" s="27" t="str">
        <f>'Activity List'!A77</f>
        <v>T2-024</v>
      </c>
      <c r="B80" s="27" t="str">
        <f>'Activity List'!D77</f>
        <v>Sample Preparation</v>
      </c>
      <c r="C80" s="27" t="str">
        <f>'Activity List'!E77</f>
        <v>farm</v>
      </c>
      <c r="D80" s="22"/>
      <c r="E80" s="28"/>
      <c r="F80" s="22"/>
      <c r="G80" s="28"/>
      <c r="H80" s="19" t="s">
        <v>182</v>
      </c>
      <c r="I80" s="29" t="str">
        <f t="shared" si="8"/>
        <v/>
      </c>
      <c r="J80" s="30" t="str">
        <f t="shared" si="9"/>
        <v/>
      </c>
      <c r="K80" s="19" t="s">
        <v>384</v>
      </c>
      <c r="L80" s="22"/>
      <c r="M80" s="23"/>
      <c r="N80" s="31" t="str">
        <f t="shared" si="10"/>
        <v/>
      </c>
      <c r="O80" s="32" t="str">
        <f t="shared" si="11"/>
        <v/>
      </c>
    </row>
    <row r="81" spans="1:15" x14ac:dyDescent="0.45">
      <c r="A81" s="27" t="str">
        <f>'Activity List'!A78</f>
        <v>T2-025</v>
      </c>
      <c r="B81" s="27" t="str">
        <f>'Activity List'!D78</f>
        <v>Client Correspondence</v>
      </c>
      <c r="C81" s="27" t="str">
        <f>'Activity List'!E78</f>
        <v>farm</v>
      </c>
      <c r="D81" s="22"/>
      <c r="E81" s="28"/>
      <c r="F81" s="22"/>
      <c r="G81" s="28"/>
      <c r="H81" s="19" t="s">
        <v>182</v>
      </c>
      <c r="I81" s="29" t="str">
        <f t="shared" si="8"/>
        <v/>
      </c>
      <c r="J81" s="30" t="str">
        <f t="shared" si="9"/>
        <v/>
      </c>
      <c r="K81" s="19" t="s">
        <v>384</v>
      </c>
      <c r="L81" s="22"/>
      <c r="M81" s="23"/>
      <c r="N81" s="31" t="str">
        <f t="shared" si="10"/>
        <v/>
      </c>
      <c r="O81" s="32" t="str">
        <f t="shared" si="11"/>
        <v/>
      </c>
    </row>
    <row r="82" spans="1:15" x14ac:dyDescent="0.45">
      <c r="A82" s="27" t="str">
        <f>'Activity List'!A79</f>
        <v>T2-026</v>
      </c>
      <c r="B82" s="27" t="str">
        <f>'Activity List'!D79</f>
        <v>Contract Administration</v>
      </c>
      <c r="C82" s="27" t="str">
        <f>'Activity List'!E79</f>
        <v>farm</v>
      </c>
      <c r="D82" s="22"/>
      <c r="E82" s="28"/>
      <c r="F82" s="22"/>
      <c r="G82" s="28"/>
      <c r="H82" s="19" t="s">
        <v>182</v>
      </c>
      <c r="I82" s="29" t="str">
        <f t="shared" si="8"/>
        <v/>
      </c>
      <c r="J82" s="30" t="str">
        <f t="shared" si="9"/>
        <v/>
      </c>
      <c r="K82" s="19" t="s">
        <v>384</v>
      </c>
      <c r="L82" s="22"/>
      <c r="M82" s="23"/>
      <c r="N82" s="31" t="str">
        <f t="shared" si="10"/>
        <v/>
      </c>
      <c r="O82" s="32" t="str">
        <f t="shared" si="11"/>
        <v/>
      </c>
    </row>
    <row r="83" spans="1:15" x14ac:dyDescent="0.45">
      <c r="A83" s="27" t="str">
        <f>'Activity List'!A80</f>
        <v>T2-027</v>
      </c>
      <c r="B83" s="27" t="str">
        <f>'Activity List'!D80</f>
        <v>Buyer Coordination</v>
      </c>
      <c r="C83" s="27" t="str">
        <f>'Activity List'!E80</f>
        <v>farm</v>
      </c>
      <c r="D83" s="22"/>
      <c r="E83" s="28"/>
      <c r="F83" s="22"/>
      <c r="G83" s="28"/>
      <c r="H83" s="19" t="s">
        <v>182</v>
      </c>
      <c r="I83" s="29" t="str">
        <f t="shared" si="8"/>
        <v/>
      </c>
      <c r="J83" s="30" t="str">
        <f t="shared" si="9"/>
        <v/>
      </c>
      <c r="K83" s="19" t="s">
        <v>384</v>
      </c>
      <c r="L83" s="22"/>
      <c r="M83" s="23"/>
      <c r="N83" s="31" t="str">
        <f t="shared" si="10"/>
        <v/>
      </c>
      <c r="O83" s="32" t="str">
        <f t="shared" si="11"/>
        <v/>
      </c>
    </row>
    <row r="84" spans="1:15" x14ac:dyDescent="0.45">
      <c r="A84" s="27" t="str">
        <f>'Activity List'!A81</f>
        <v>T2-028</v>
      </c>
      <c r="B84" s="27" t="str">
        <f>'Activity List'!D81</f>
        <v>Letters of Credit Coordination</v>
      </c>
      <c r="C84" s="27" t="str">
        <f>'Activity List'!E81</f>
        <v>farm</v>
      </c>
      <c r="D84" s="22"/>
      <c r="E84" s="28"/>
      <c r="F84" s="22"/>
      <c r="G84" s="28"/>
      <c r="H84" s="19" t="s">
        <v>182</v>
      </c>
      <c r="I84" s="29" t="str">
        <f t="shared" si="8"/>
        <v/>
      </c>
      <c r="J84" s="30" t="str">
        <f t="shared" si="9"/>
        <v/>
      </c>
      <c r="K84" s="19" t="s">
        <v>384</v>
      </c>
      <c r="L84" s="22"/>
      <c r="M84" s="23"/>
      <c r="N84" s="31" t="str">
        <f t="shared" si="10"/>
        <v/>
      </c>
      <c r="O84" s="32" t="str">
        <f t="shared" si="11"/>
        <v/>
      </c>
    </row>
    <row r="85" spans="1:15" x14ac:dyDescent="0.45">
      <c r="A85" s="27" t="str">
        <f>'Activity List'!A82</f>
        <v>T2-029</v>
      </c>
      <c r="B85" s="27" t="str">
        <f>'Activity List'!D82</f>
        <v>Export Documentation</v>
      </c>
      <c r="C85" s="27" t="str">
        <f>'Activity List'!E82</f>
        <v>farm</v>
      </c>
      <c r="D85" s="22"/>
      <c r="E85" s="28"/>
      <c r="F85" s="22"/>
      <c r="G85" s="28"/>
      <c r="H85" s="19" t="s">
        <v>182</v>
      </c>
      <c r="I85" s="29" t="str">
        <f t="shared" si="8"/>
        <v/>
      </c>
      <c r="J85" s="30" t="str">
        <f t="shared" si="9"/>
        <v/>
      </c>
      <c r="K85" s="19" t="s">
        <v>384</v>
      </c>
      <c r="L85" s="22"/>
      <c r="M85" s="23"/>
      <c r="N85" s="31" t="str">
        <f t="shared" si="10"/>
        <v/>
      </c>
      <c r="O85" s="32" t="str">
        <f t="shared" si="11"/>
        <v/>
      </c>
    </row>
    <row r="86" spans="1:15" x14ac:dyDescent="0.45">
      <c r="A86" s="27" t="str">
        <f>'Activity List'!A83</f>
        <v>T2-030</v>
      </c>
      <c r="B86" s="27" t="str">
        <f>'Activity List'!D83</f>
        <v>Shipping Coordination</v>
      </c>
      <c r="C86" s="27" t="str">
        <f>'Activity List'!E83</f>
        <v>farm</v>
      </c>
      <c r="D86" s="22"/>
      <c r="E86" s="28"/>
      <c r="F86" s="22"/>
      <c r="G86" s="28"/>
      <c r="H86" s="19" t="s">
        <v>182</v>
      </c>
      <c r="I86" s="29" t="str">
        <f t="shared" si="8"/>
        <v/>
      </c>
      <c r="J86" s="30" t="str">
        <f t="shared" si="9"/>
        <v/>
      </c>
      <c r="K86" s="19" t="s">
        <v>384</v>
      </c>
      <c r="L86" s="22"/>
      <c r="M86" s="23"/>
      <c r="N86" s="31" t="str">
        <f t="shared" si="10"/>
        <v/>
      </c>
      <c r="O86" s="32" t="str">
        <f t="shared" si="11"/>
        <v/>
      </c>
    </row>
    <row r="87" spans="1:15" x14ac:dyDescent="0.45">
      <c r="A87" s="27" t="str">
        <f>'Activity List'!A84</f>
        <v>T2-031</v>
      </c>
      <c r="B87" s="27" t="str">
        <f>'Activity List'!D84</f>
        <v>Export Compliance</v>
      </c>
      <c r="C87" s="27" t="str">
        <f>'Activity List'!E84</f>
        <v>farm</v>
      </c>
      <c r="D87" s="22"/>
      <c r="E87" s="28"/>
      <c r="F87" s="22"/>
      <c r="G87" s="28"/>
      <c r="H87" s="19" t="s">
        <v>182</v>
      </c>
      <c r="I87" s="29" t="str">
        <f t="shared" si="8"/>
        <v/>
      </c>
      <c r="J87" s="30" t="str">
        <f t="shared" si="9"/>
        <v/>
      </c>
      <c r="K87" s="19" t="s">
        <v>384</v>
      </c>
      <c r="L87" s="22"/>
      <c r="M87" s="23"/>
      <c r="N87" s="31" t="str">
        <f t="shared" si="10"/>
        <v/>
      </c>
      <c r="O87" s="32" t="str">
        <f t="shared" si="11"/>
        <v/>
      </c>
    </row>
    <row r="88" spans="1:15" x14ac:dyDescent="0.45">
      <c r="A88" s="27" t="str">
        <f>'Activity List'!A85</f>
        <v>T2-032</v>
      </c>
      <c r="B88" s="27" t="str">
        <f>'Activity List'!D85</f>
        <v>Shipment Follow-Up</v>
      </c>
      <c r="C88" s="27" t="str">
        <f>'Activity List'!E85</f>
        <v>farm</v>
      </c>
      <c r="D88" s="22"/>
      <c r="E88" s="28"/>
      <c r="F88" s="22"/>
      <c r="G88" s="28"/>
      <c r="H88" s="19" t="s">
        <v>182</v>
      </c>
      <c r="I88" s="29" t="str">
        <f t="shared" si="8"/>
        <v/>
      </c>
      <c r="J88" s="30" t="str">
        <f t="shared" si="9"/>
        <v/>
      </c>
      <c r="K88" s="19" t="s">
        <v>384</v>
      </c>
      <c r="L88" s="22"/>
      <c r="M88" s="23"/>
      <c r="N88" s="31" t="str">
        <f t="shared" si="10"/>
        <v/>
      </c>
      <c r="O88" s="32" t="str">
        <f t="shared" si="11"/>
        <v/>
      </c>
    </row>
    <row r="89" spans="1:15" x14ac:dyDescent="0.45">
      <c r="A89" s="27" t="str">
        <f>'Activity List'!A86</f>
        <v>T2-033</v>
      </c>
      <c r="B89" s="27" t="str">
        <f>'Activity List'!D86</f>
        <v>Export Proceeds Receipt and Reconciliation</v>
      </c>
      <c r="C89" s="27" t="str">
        <f>'Activity List'!E86</f>
        <v>farm</v>
      </c>
      <c r="D89" s="22"/>
      <c r="E89" s="28"/>
      <c r="F89" s="22"/>
      <c r="G89" s="28"/>
      <c r="H89" s="19" t="s">
        <v>182</v>
      </c>
      <c r="I89" s="29" t="str">
        <f t="shared" si="8"/>
        <v/>
      </c>
      <c r="J89" s="30" t="str">
        <f t="shared" si="9"/>
        <v/>
      </c>
      <c r="K89" s="19" t="s">
        <v>384</v>
      </c>
      <c r="L89" s="22"/>
      <c r="M89" s="23"/>
      <c r="N89" s="31" t="str">
        <f t="shared" si="10"/>
        <v/>
      </c>
      <c r="O89" s="32" t="str">
        <f t="shared" si="11"/>
        <v/>
      </c>
    </row>
    <row r="90" spans="1:15" x14ac:dyDescent="0.45">
      <c r="A90" s="27" t="str">
        <f>'Activity List'!A87</f>
        <v>T2-034</v>
      </c>
      <c r="B90" s="27" t="str">
        <f>'Activity List'!D87</f>
        <v>Washing Station Rehabilitation</v>
      </c>
      <c r="C90" s="27" t="str">
        <f>'Activity List'!E87</f>
        <v>project</v>
      </c>
      <c r="D90" s="22"/>
      <c r="E90" s="28"/>
      <c r="F90" s="22"/>
      <c r="G90" s="28"/>
      <c r="H90" s="19" t="s">
        <v>182</v>
      </c>
      <c r="I90" s="29" t="str">
        <f t="shared" si="8"/>
        <v/>
      </c>
      <c r="J90" s="30" t="str">
        <f t="shared" si="9"/>
        <v/>
      </c>
      <c r="K90" s="19" t="s">
        <v>384</v>
      </c>
      <c r="L90" s="22"/>
      <c r="M90" s="23"/>
      <c r="N90" s="31" t="str">
        <f t="shared" si="10"/>
        <v/>
      </c>
      <c r="O90" s="32" t="str">
        <f t="shared" si="11"/>
        <v/>
      </c>
    </row>
    <row r="91" spans="1:15" x14ac:dyDescent="0.45">
      <c r="A91" s="27" t="str">
        <f>'Activity List'!A88</f>
        <v>T2-035</v>
      </c>
      <c r="B91" s="27" t="str">
        <f>'Activity List'!D88</f>
        <v>Huller Rehabilitation</v>
      </c>
      <c r="C91" s="27" t="str">
        <f>'Activity List'!E88</f>
        <v>project</v>
      </c>
      <c r="D91" s="22"/>
      <c r="E91" s="28"/>
      <c r="F91" s="22"/>
      <c r="G91" s="28"/>
      <c r="H91" s="19" t="s">
        <v>182</v>
      </c>
      <c r="I91" s="29" t="str">
        <f t="shared" si="8"/>
        <v/>
      </c>
      <c r="J91" s="30" t="str">
        <f t="shared" si="9"/>
        <v/>
      </c>
      <c r="K91" s="19" t="s">
        <v>384</v>
      </c>
      <c r="L91" s="22"/>
      <c r="M91" s="23"/>
      <c r="N91" s="31" t="str">
        <f t="shared" si="10"/>
        <v/>
      </c>
      <c r="O91" s="32" t="str">
        <f t="shared" si="11"/>
        <v/>
      </c>
    </row>
    <row r="92" spans="1:15" x14ac:dyDescent="0.45">
      <c r="A92" s="27" t="str">
        <f>'Activity List'!A89</f>
        <v>T2-036</v>
      </c>
      <c r="B92" s="27" t="str">
        <f>'Activity List'!D89</f>
        <v>Irrigation Systems</v>
      </c>
      <c r="C92" s="27" t="str">
        <f>'Activity List'!E89</f>
        <v>project</v>
      </c>
      <c r="D92" s="22"/>
      <c r="E92" s="28"/>
      <c r="F92" s="22"/>
      <c r="G92" s="28"/>
      <c r="H92" s="19" t="s">
        <v>182</v>
      </c>
      <c r="I92" s="29" t="str">
        <f t="shared" si="8"/>
        <v/>
      </c>
      <c r="J92" s="30" t="str">
        <f t="shared" si="9"/>
        <v/>
      </c>
      <c r="K92" s="19" t="s">
        <v>384</v>
      </c>
      <c r="L92" s="22"/>
      <c r="M92" s="23"/>
      <c r="N92" s="31" t="str">
        <f t="shared" si="10"/>
        <v/>
      </c>
      <c r="O92" s="32" t="str">
        <f t="shared" si="11"/>
        <v/>
      </c>
    </row>
    <row r="93" spans="1:15" x14ac:dyDescent="0.45">
      <c r="A93" s="27" t="str">
        <f>'Activity List'!A90</f>
        <v>T2-037</v>
      </c>
      <c r="B93" s="27" t="str">
        <f>'Activity List'!D90</f>
        <v>On-Farm Water Systems Development</v>
      </c>
      <c r="C93" s="27" t="str">
        <f>'Activity List'!E90</f>
        <v>project</v>
      </c>
      <c r="D93" s="22"/>
      <c r="E93" s="28"/>
      <c r="F93" s="22"/>
      <c r="G93" s="28"/>
      <c r="H93" s="19" t="s">
        <v>182</v>
      </c>
      <c r="I93" s="29" t="str">
        <f t="shared" si="8"/>
        <v/>
      </c>
      <c r="J93" s="30" t="str">
        <f t="shared" si="9"/>
        <v/>
      </c>
      <c r="K93" s="19" t="s">
        <v>384</v>
      </c>
      <c r="L93" s="22"/>
      <c r="M93" s="23"/>
      <c r="N93" s="31" t="str">
        <f t="shared" si="10"/>
        <v/>
      </c>
      <c r="O93" s="32" t="str">
        <f t="shared" si="11"/>
        <v/>
      </c>
    </row>
    <row r="94" spans="1:15" x14ac:dyDescent="0.45">
      <c r="A94" s="27" t="str">
        <f>'Activity List'!A91</f>
        <v>T2-038</v>
      </c>
      <c r="B94" s="27" t="str">
        <f>'Activity List'!D91</f>
        <v>Roads</v>
      </c>
      <c r="C94" s="27" t="str">
        <f>'Activity List'!E91</f>
        <v>project</v>
      </c>
      <c r="D94" s="22"/>
      <c r="E94" s="28"/>
      <c r="F94" s="22"/>
      <c r="G94" s="28"/>
      <c r="H94" s="19" t="s">
        <v>182</v>
      </c>
      <c r="I94" s="29" t="str">
        <f t="shared" si="8"/>
        <v/>
      </c>
      <c r="J94" s="30" t="str">
        <f t="shared" si="9"/>
        <v/>
      </c>
      <c r="K94" s="19" t="s">
        <v>384</v>
      </c>
      <c r="L94" s="22"/>
      <c r="M94" s="23"/>
      <c r="N94" s="31" t="str">
        <f t="shared" si="10"/>
        <v/>
      </c>
      <c r="O94" s="32" t="str">
        <f t="shared" si="11"/>
        <v/>
      </c>
    </row>
    <row r="95" spans="1:15" x14ac:dyDescent="0.45">
      <c r="A95" s="27" t="str">
        <f>'Activity List'!A92</f>
        <v>T2-039</v>
      </c>
      <c r="B95" s="27" t="str">
        <f>'Activity List'!D92</f>
        <v>Buildings</v>
      </c>
      <c r="C95" s="27" t="str">
        <f>'Activity List'!E92</f>
        <v>project</v>
      </c>
      <c r="D95" s="22"/>
      <c r="E95" s="28"/>
      <c r="F95" s="22"/>
      <c r="G95" s="28"/>
      <c r="H95" s="19" t="s">
        <v>182</v>
      </c>
      <c r="I95" s="29" t="str">
        <f t="shared" si="8"/>
        <v/>
      </c>
      <c r="J95" s="30" t="str">
        <f t="shared" si="9"/>
        <v/>
      </c>
      <c r="K95" s="19" t="s">
        <v>384</v>
      </c>
      <c r="L95" s="22"/>
      <c r="M95" s="23"/>
      <c r="N95" s="31" t="str">
        <f t="shared" si="10"/>
        <v/>
      </c>
      <c r="O95" s="32" t="str">
        <f t="shared" si="11"/>
        <v/>
      </c>
    </row>
    <row r="96" spans="1:15" x14ac:dyDescent="0.45">
      <c r="A96" s="27" t="str">
        <f>'Activity List'!A93</f>
        <v>T2-040</v>
      </c>
      <c r="B96" s="27" t="str">
        <f>'Activity List'!D93</f>
        <v>Staff Housing</v>
      </c>
      <c r="C96" s="27" t="str">
        <f>'Activity List'!E93</f>
        <v>project</v>
      </c>
      <c r="D96" s="22"/>
      <c r="E96" s="28"/>
      <c r="F96" s="22"/>
      <c r="G96" s="28"/>
      <c r="H96" s="19" t="s">
        <v>182</v>
      </c>
      <c r="I96" s="29" t="str">
        <f t="shared" si="8"/>
        <v/>
      </c>
      <c r="J96" s="30" t="str">
        <f t="shared" si="9"/>
        <v/>
      </c>
      <c r="K96" s="19" t="s">
        <v>384</v>
      </c>
      <c r="L96" s="22"/>
      <c r="M96" s="23"/>
      <c r="N96" s="31" t="str">
        <f t="shared" si="10"/>
        <v/>
      </c>
      <c r="O96" s="32" t="str">
        <f t="shared" si="11"/>
        <v/>
      </c>
    </row>
    <row r="97" spans="1:15" x14ac:dyDescent="0.45">
      <c r="A97" s="27" t="str">
        <f>'Activity List'!A94</f>
        <v>T2-041</v>
      </c>
      <c r="B97" s="27" t="str">
        <f>'Activity List'!D94</f>
        <v>Workshops</v>
      </c>
      <c r="C97" s="27" t="str">
        <f>'Activity List'!E94</f>
        <v>project</v>
      </c>
      <c r="D97" s="22"/>
      <c r="E97" s="28"/>
      <c r="F97" s="22"/>
      <c r="G97" s="28"/>
      <c r="H97" s="19" t="s">
        <v>182</v>
      </c>
      <c r="I97" s="29" t="str">
        <f t="shared" si="8"/>
        <v/>
      </c>
      <c r="J97" s="30" t="str">
        <f t="shared" si="9"/>
        <v/>
      </c>
      <c r="K97" s="19" t="s">
        <v>384</v>
      </c>
      <c r="L97" s="22"/>
      <c r="M97" s="23"/>
      <c r="N97" s="31" t="str">
        <f t="shared" si="10"/>
        <v/>
      </c>
      <c r="O97" s="32" t="str">
        <f t="shared" si="11"/>
        <v/>
      </c>
    </row>
    <row r="98" spans="1:15" x14ac:dyDescent="0.45">
      <c r="A98" s="27" t="str">
        <f>'Activity List'!A95</f>
        <v>T2-042</v>
      </c>
      <c r="B98" s="27" t="str">
        <f>'Activity List'!D95</f>
        <v>Machinery Procurement</v>
      </c>
      <c r="C98" s="27" t="str">
        <f>'Activity List'!E95</f>
        <v>project</v>
      </c>
      <c r="D98" s="22"/>
      <c r="E98" s="28"/>
      <c r="F98" s="22"/>
      <c r="G98" s="28"/>
      <c r="H98" s="19" t="s">
        <v>182</v>
      </c>
      <c r="I98" s="29" t="str">
        <f t="shared" si="8"/>
        <v/>
      </c>
      <c r="J98" s="30" t="str">
        <f t="shared" si="9"/>
        <v/>
      </c>
      <c r="K98" s="19" t="s">
        <v>384</v>
      </c>
      <c r="L98" s="22"/>
      <c r="M98" s="23"/>
      <c r="N98" s="31" t="str">
        <f t="shared" si="10"/>
        <v/>
      </c>
      <c r="O98" s="32" t="str">
        <f t="shared" si="11"/>
        <v/>
      </c>
    </row>
    <row r="99" spans="1:15" x14ac:dyDescent="0.45">
      <c r="A99" s="27" t="str">
        <f>'Activity List'!A96</f>
        <v>T2-043</v>
      </c>
      <c r="B99" s="27" t="str">
        <f>'Activity List'!D96</f>
        <v>Utilities</v>
      </c>
      <c r="C99" s="27" t="str">
        <f>'Activity List'!E96</f>
        <v>project</v>
      </c>
      <c r="D99" s="22"/>
      <c r="E99" s="28"/>
      <c r="F99" s="22"/>
      <c r="G99" s="28"/>
      <c r="H99" s="19" t="s">
        <v>182</v>
      </c>
      <c r="I99" s="29" t="str">
        <f t="shared" si="8"/>
        <v/>
      </c>
      <c r="J99" s="30" t="str">
        <f t="shared" si="9"/>
        <v/>
      </c>
      <c r="K99" s="19" t="s">
        <v>384</v>
      </c>
      <c r="L99" s="22"/>
      <c r="M99" s="23"/>
      <c r="N99" s="31" t="str">
        <f t="shared" si="10"/>
        <v/>
      </c>
      <c r="O99" s="32" t="str">
        <f t="shared" si="11"/>
        <v/>
      </c>
    </row>
    <row r="100" spans="1:15" x14ac:dyDescent="0.45">
      <c r="A100" s="27" t="str">
        <f>'Activity List'!A97</f>
        <v>T2-044</v>
      </c>
      <c r="B100" s="27" t="str">
        <f>'Activity List'!D97</f>
        <v>Solar Systems (incl. Staff Welfare)</v>
      </c>
      <c r="C100" s="27" t="str">
        <f>'Activity List'!E97</f>
        <v>project</v>
      </c>
      <c r="D100" s="22"/>
      <c r="E100" s="28"/>
      <c r="F100" s="22"/>
      <c r="G100" s="28"/>
      <c r="H100" s="19" t="s">
        <v>182</v>
      </c>
      <c r="I100" s="29" t="str">
        <f t="shared" si="8"/>
        <v/>
      </c>
      <c r="J100" s="30" t="str">
        <f t="shared" si="9"/>
        <v/>
      </c>
      <c r="K100" s="19" t="s">
        <v>384</v>
      </c>
      <c r="L100" s="22"/>
      <c r="M100" s="23"/>
      <c r="N100" s="31" t="str">
        <f t="shared" si="10"/>
        <v/>
      </c>
      <c r="O100" s="32" t="str">
        <f t="shared" si="11"/>
        <v/>
      </c>
    </row>
    <row r="101" spans="1:15" x14ac:dyDescent="0.45">
      <c r="A101" s="27" t="str">
        <f>'Activity List'!A98</f>
        <v>T2-045</v>
      </c>
      <c r="B101" s="27" t="str">
        <f>'Activity List'!D98</f>
        <v>Farm Expansion</v>
      </c>
      <c r="C101" s="27" t="str">
        <f>'Activity List'!E98</f>
        <v>project</v>
      </c>
      <c r="D101" s="22"/>
      <c r="E101" s="28"/>
      <c r="F101" s="22"/>
      <c r="G101" s="28"/>
      <c r="H101" s="19" t="s">
        <v>182</v>
      </c>
      <c r="I101" s="29" t="str">
        <f t="shared" ref="I101:I132" si="12">IFERROR(AVERAGE(E101,G101),"")</f>
        <v/>
      </c>
      <c r="J101" s="30" t="str">
        <f t="shared" ref="J101:J132" si="13">I101</f>
        <v/>
      </c>
      <c r="K101" s="19" t="s">
        <v>384</v>
      </c>
      <c r="L101" s="22"/>
      <c r="M101" s="23"/>
      <c r="N101" s="31" t="str">
        <f t="shared" ref="N101:N132" si="14">IF(M101="","",EDATE(M101,12))</f>
        <v/>
      </c>
      <c r="O101" s="32" t="str">
        <f t="shared" ref="O101:O132" si="15">IF(K101="Approved",J101,"")</f>
        <v/>
      </c>
    </row>
    <row r="102" spans="1:15" x14ac:dyDescent="0.45">
      <c r="A102" s="27" t="str">
        <f>'Activity List'!A99</f>
        <v>T2-046</v>
      </c>
      <c r="B102" s="27" t="str">
        <f>'Activity List'!D99</f>
        <v>New Planting Blocks</v>
      </c>
      <c r="C102" s="27" t="str">
        <f>'Activity List'!E99</f>
        <v>project</v>
      </c>
      <c r="D102" s="22"/>
      <c r="E102" s="28"/>
      <c r="F102" s="22"/>
      <c r="G102" s="28"/>
      <c r="H102" s="19" t="s">
        <v>182</v>
      </c>
      <c r="I102" s="29" t="str">
        <f t="shared" si="12"/>
        <v/>
      </c>
      <c r="J102" s="30" t="str">
        <f t="shared" si="13"/>
        <v/>
      </c>
      <c r="K102" s="19" t="s">
        <v>384</v>
      </c>
      <c r="L102" s="22"/>
      <c r="M102" s="23"/>
      <c r="N102" s="31" t="str">
        <f t="shared" si="14"/>
        <v/>
      </c>
      <c r="O102" s="32" t="str">
        <f t="shared" si="15"/>
        <v/>
      </c>
    </row>
    <row r="103" spans="1:15" x14ac:dyDescent="0.45">
      <c r="A103" s="27" t="str">
        <f>'Activity List'!A100</f>
        <v>T2-047</v>
      </c>
      <c r="B103" s="27" t="str">
        <f>'Activity List'!D100</f>
        <v>Security Infrastructure (incl. Camp Monitoring)</v>
      </c>
      <c r="C103" s="27" t="str">
        <f>'Activity List'!E100</f>
        <v>project</v>
      </c>
      <c r="D103" s="22"/>
      <c r="E103" s="28"/>
      <c r="F103" s="22"/>
      <c r="G103" s="28"/>
      <c r="H103" s="19" t="s">
        <v>182</v>
      </c>
      <c r="I103" s="29" t="str">
        <f t="shared" si="12"/>
        <v/>
      </c>
      <c r="J103" s="30" t="str">
        <f t="shared" si="13"/>
        <v/>
      </c>
      <c r="K103" s="19" t="s">
        <v>384</v>
      </c>
      <c r="L103" s="22"/>
      <c r="M103" s="23"/>
      <c r="N103" s="31" t="str">
        <f t="shared" si="14"/>
        <v/>
      </c>
      <c r="O103" s="32" t="str">
        <f t="shared" si="15"/>
        <v/>
      </c>
    </row>
    <row r="104" spans="1:15" x14ac:dyDescent="0.45">
      <c r="A104" s="27" t="str">
        <f>'Activity List'!A101</f>
        <v>T3-001</v>
      </c>
      <c r="B104" s="27" t="str">
        <f>'Activity List'!D101</f>
        <v>Investment Due Diligence</v>
      </c>
      <c r="C104" s="27" t="str">
        <f>'Activity List'!E101</f>
        <v>assignment</v>
      </c>
      <c r="D104" s="22"/>
      <c r="E104" s="28"/>
      <c r="F104" s="22"/>
      <c r="G104" s="28"/>
      <c r="H104" s="19" t="s">
        <v>182</v>
      </c>
      <c r="I104" s="29" t="str">
        <f t="shared" si="12"/>
        <v/>
      </c>
      <c r="J104" s="30" t="str">
        <f t="shared" si="13"/>
        <v/>
      </c>
      <c r="K104" s="19" t="s">
        <v>384</v>
      </c>
      <c r="L104" s="22"/>
      <c r="M104" s="23"/>
      <c r="N104" s="31" t="str">
        <f t="shared" si="14"/>
        <v/>
      </c>
      <c r="O104" s="32" t="str">
        <f t="shared" si="15"/>
        <v/>
      </c>
    </row>
    <row r="105" spans="1:15" x14ac:dyDescent="0.45">
      <c r="A105" s="27" t="str">
        <f>'Activity List'!A102</f>
        <v>T3-002</v>
      </c>
      <c r="B105" s="27" t="str">
        <f>'Activity List'!D102</f>
        <v>Technical Due Diligence</v>
      </c>
      <c r="C105" s="27" t="str">
        <f>'Activity List'!E102</f>
        <v>assignment</v>
      </c>
      <c r="D105" s="22"/>
      <c r="E105" s="28"/>
      <c r="F105" s="22"/>
      <c r="G105" s="28"/>
      <c r="H105" s="19" t="s">
        <v>182</v>
      </c>
      <c r="I105" s="29" t="str">
        <f t="shared" si="12"/>
        <v/>
      </c>
      <c r="J105" s="30" t="str">
        <f t="shared" si="13"/>
        <v/>
      </c>
      <c r="K105" s="19" t="s">
        <v>384</v>
      </c>
      <c r="L105" s="22"/>
      <c r="M105" s="23"/>
      <c r="N105" s="31" t="str">
        <f t="shared" si="14"/>
        <v/>
      </c>
      <c r="O105" s="32" t="str">
        <f t="shared" si="15"/>
        <v/>
      </c>
    </row>
    <row r="106" spans="1:15" x14ac:dyDescent="0.45">
      <c r="A106" s="27" t="str">
        <f>'Activity List'!A103</f>
        <v>T3-003</v>
      </c>
      <c r="B106" s="27" t="str">
        <f>'Activity List'!D103</f>
        <v>Turnaround Assessments</v>
      </c>
      <c r="C106" s="27" t="str">
        <f>'Activity List'!E103</f>
        <v>assignment</v>
      </c>
      <c r="D106" s="22"/>
      <c r="E106" s="28"/>
      <c r="F106" s="22"/>
      <c r="G106" s="28"/>
      <c r="H106" s="19" t="s">
        <v>182</v>
      </c>
      <c r="I106" s="29" t="str">
        <f t="shared" si="12"/>
        <v/>
      </c>
      <c r="J106" s="30" t="str">
        <f t="shared" si="13"/>
        <v/>
      </c>
      <c r="K106" s="19" t="s">
        <v>384</v>
      </c>
      <c r="L106" s="22"/>
      <c r="M106" s="23"/>
      <c r="N106" s="31" t="str">
        <f t="shared" si="14"/>
        <v/>
      </c>
      <c r="O106" s="32" t="str">
        <f t="shared" si="15"/>
        <v/>
      </c>
    </row>
    <row r="107" spans="1:15" x14ac:dyDescent="0.45">
      <c r="A107" s="27" t="str">
        <f>'Activity List'!A104</f>
        <v>T3-004</v>
      </c>
      <c r="B107" s="27" t="str">
        <f>'Activity List'!D104</f>
        <v>Strategic Reviews</v>
      </c>
      <c r="C107" s="27" t="str">
        <f>'Activity List'!E104</f>
        <v>assignment</v>
      </c>
      <c r="D107" s="22"/>
      <c r="E107" s="28"/>
      <c r="F107" s="22"/>
      <c r="G107" s="28"/>
      <c r="H107" s="19" t="s">
        <v>182</v>
      </c>
      <c r="I107" s="29" t="str">
        <f t="shared" si="12"/>
        <v/>
      </c>
      <c r="J107" s="30" t="str">
        <f t="shared" si="13"/>
        <v/>
      </c>
      <c r="K107" s="19" t="s">
        <v>384</v>
      </c>
      <c r="L107" s="22"/>
      <c r="M107" s="23"/>
      <c r="N107" s="31" t="str">
        <f t="shared" si="14"/>
        <v/>
      </c>
      <c r="O107" s="32" t="str">
        <f t="shared" si="15"/>
        <v/>
      </c>
    </row>
    <row r="108" spans="1:15" x14ac:dyDescent="0.45">
      <c r="A108" s="27" t="str">
        <f>'Activity List'!A105</f>
        <v>T3-005</v>
      </c>
      <c r="B108" s="27" t="str">
        <f>'Activity List'!D105</f>
        <v>Major Procurement</v>
      </c>
      <c r="C108" s="27" t="str">
        <f>'Activity List'!E105</f>
        <v>assignment</v>
      </c>
      <c r="D108" s="22"/>
      <c r="E108" s="28"/>
      <c r="F108" s="22"/>
      <c r="G108" s="28"/>
      <c r="H108" s="19" t="s">
        <v>182</v>
      </c>
      <c r="I108" s="29" t="str">
        <f t="shared" si="12"/>
        <v/>
      </c>
      <c r="J108" s="30" t="str">
        <f t="shared" si="13"/>
        <v/>
      </c>
      <c r="K108" s="19" t="s">
        <v>384</v>
      </c>
      <c r="L108" s="22"/>
      <c r="M108" s="23"/>
      <c r="N108" s="31" t="str">
        <f t="shared" si="14"/>
        <v/>
      </c>
      <c r="O108" s="32" t="str">
        <f t="shared" si="15"/>
        <v/>
      </c>
    </row>
    <row r="109" spans="1:15" x14ac:dyDescent="0.45">
      <c r="A109" s="27" t="str">
        <f>'Activity List'!A106</f>
        <v>T3-006</v>
      </c>
      <c r="B109" s="27" t="str">
        <f>'Activity List'!D106</f>
        <v>Organisational Reviews</v>
      </c>
      <c r="C109" s="27" t="str">
        <f>'Activity List'!E106</f>
        <v>assignment</v>
      </c>
      <c r="D109" s="22"/>
      <c r="E109" s="28"/>
      <c r="F109" s="22"/>
      <c r="G109" s="28"/>
      <c r="H109" s="19" t="s">
        <v>182</v>
      </c>
      <c r="I109" s="29" t="str">
        <f t="shared" si="12"/>
        <v/>
      </c>
      <c r="J109" s="30" t="str">
        <f t="shared" si="13"/>
        <v/>
      </c>
      <c r="K109" s="19" t="s">
        <v>384</v>
      </c>
      <c r="L109" s="22"/>
      <c r="M109" s="23"/>
      <c r="N109" s="31" t="str">
        <f t="shared" si="14"/>
        <v/>
      </c>
      <c r="O109" s="32" t="str">
        <f t="shared" si="15"/>
        <v/>
      </c>
    </row>
    <row r="110" spans="1:15" x14ac:dyDescent="0.45">
      <c r="A110" s="27" t="str">
        <f>'Activity List'!A107</f>
        <v>T3-007</v>
      </c>
      <c r="B110" s="27" t="str">
        <f>'Activity List'!D107</f>
        <v>Performance Audits</v>
      </c>
      <c r="C110" s="27" t="str">
        <f>'Activity List'!E107</f>
        <v>assignment</v>
      </c>
      <c r="D110" s="22"/>
      <c r="E110" s="28"/>
      <c r="F110" s="22"/>
      <c r="G110" s="28"/>
      <c r="H110" s="19" t="s">
        <v>182</v>
      </c>
      <c r="I110" s="29" t="str">
        <f t="shared" si="12"/>
        <v/>
      </c>
      <c r="J110" s="30" t="str">
        <f t="shared" si="13"/>
        <v/>
      </c>
      <c r="K110" s="19" t="s">
        <v>384</v>
      </c>
      <c r="L110" s="22"/>
      <c r="M110" s="23"/>
      <c r="N110" s="31" t="str">
        <f t="shared" si="14"/>
        <v/>
      </c>
      <c r="O110" s="32" t="str">
        <f t="shared" si="15"/>
        <v/>
      </c>
    </row>
    <row r="111" spans="1:15" x14ac:dyDescent="0.45">
      <c r="A111" s="27" t="str">
        <f>'Activity List'!A108</f>
        <v>T3-008</v>
      </c>
      <c r="B111" s="27" t="str">
        <f>'Activity List'!D108</f>
        <v>Recruitment Support</v>
      </c>
      <c r="C111" s="27" t="str">
        <f>'Activity List'!E108</f>
        <v>assignment</v>
      </c>
      <c r="D111" s="22"/>
      <c r="E111" s="28"/>
      <c r="F111" s="22"/>
      <c r="G111" s="28"/>
      <c r="H111" s="19" t="s">
        <v>182</v>
      </c>
      <c r="I111" s="29" t="str">
        <f t="shared" si="12"/>
        <v/>
      </c>
      <c r="J111" s="30" t="str">
        <f t="shared" si="13"/>
        <v/>
      </c>
      <c r="K111" s="19" t="s">
        <v>384</v>
      </c>
      <c r="L111" s="22"/>
      <c r="M111" s="23"/>
      <c r="N111" s="31" t="str">
        <f t="shared" si="14"/>
        <v/>
      </c>
      <c r="O111" s="32" t="str">
        <f t="shared" si="15"/>
        <v/>
      </c>
    </row>
    <row r="112" spans="1:15" x14ac:dyDescent="0.45">
      <c r="A112" s="27" t="str">
        <f>'Activity List'!A109</f>
        <v>T3-009</v>
      </c>
      <c r="B112" s="27" t="str">
        <f>'Activity List'!D109</f>
        <v>Regulatory Coordination and Monitoring</v>
      </c>
      <c r="C112" s="27" t="str">
        <f>'Activity List'!E109</f>
        <v>assignment</v>
      </c>
      <c r="D112" s="22"/>
      <c r="E112" s="28"/>
      <c r="F112" s="22"/>
      <c r="G112" s="28"/>
      <c r="H112" s="19" t="s">
        <v>182</v>
      </c>
      <c r="I112" s="29" t="str">
        <f t="shared" si="12"/>
        <v/>
      </c>
      <c r="J112" s="30" t="str">
        <f t="shared" si="13"/>
        <v/>
      </c>
      <c r="K112" s="19" t="s">
        <v>384</v>
      </c>
      <c r="L112" s="22"/>
      <c r="M112" s="23"/>
      <c r="N112" s="31" t="str">
        <f t="shared" si="14"/>
        <v/>
      </c>
      <c r="O112" s="32" t="str">
        <f t="shared" si="15"/>
        <v/>
      </c>
    </row>
    <row r="113" spans="1:15" x14ac:dyDescent="0.45">
      <c r="A113" s="27" t="str">
        <f>'Activity List'!A110</f>
        <v>T3-010</v>
      </c>
      <c r="B113" s="27" t="str">
        <f>'Activity List'!D110</f>
        <v>Security Assessments</v>
      </c>
      <c r="C113" s="27" t="str">
        <f>'Activity List'!E110</f>
        <v>assignment</v>
      </c>
      <c r="D113" s="22"/>
      <c r="E113" s="28"/>
      <c r="F113" s="22"/>
      <c r="G113" s="28"/>
      <c r="H113" s="19" t="s">
        <v>182</v>
      </c>
      <c r="I113" s="29" t="str">
        <f t="shared" si="12"/>
        <v/>
      </c>
      <c r="J113" s="30" t="str">
        <f t="shared" si="13"/>
        <v/>
      </c>
      <c r="K113" s="19" t="s">
        <v>384</v>
      </c>
      <c r="L113" s="22"/>
      <c r="M113" s="23"/>
      <c r="N113" s="31" t="str">
        <f t="shared" si="14"/>
        <v/>
      </c>
      <c r="O113" s="32" t="str">
        <f t="shared" si="15"/>
        <v/>
      </c>
    </row>
    <row r="114" spans="1:15" x14ac:dyDescent="0.45">
      <c r="A114" s="27" t="str">
        <f>'Activity List'!A111</f>
        <v>T3-011</v>
      </c>
      <c r="B114" s="27" t="str">
        <f>'Activity List'!D111</f>
        <v>Special Investigations</v>
      </c>
      <c r="C114" s="27" t="str">
        <f>'Activity List'!E111</f>
        <v>assignment</v>
      </c>
      <c r="D114" s="22"/>
      <c r="E114" s="28"/>
      <c r="F114" s="22"/>
      <c r="G114" s="28"/>
      <c r="H114" s="19" t="s">
        <v>182</v>
      </c>
      <c r="I114" s="29" t="str">
        <f t="shared" si="12"/>
        <v/>
      </c>
      <c r="J114" s="30" t="str">
        <f t="shared" si="13"/>
        <v/>
      </c>
      <c r="K114" s="19" t="s">
        <v>384</v>
      </c>
      <c r="L114" s="22"/>
      <c r="M114" s="23"/>
      <c r="N114" s="31" t="str">
        <f t="shared" si="14"/>
        <v/>
      </c>
      <c r="O114" s="32" t="str">
        <f t="shared" si="15"/>
        <v/>
      </c>
    </row>
    <row r="115" spans="1:15" x14ac:dyDescent="0.45">
      <c r="A115" s="27" t="str">
        <f>'Activity List'!A112</f>
        <v>T3-012</v>
      </c>
      <c r="B115" s="27" t="str">
        <f>'Activity List'!D112</f>
        <v>Board Reporting</v>
      </c>
      <c r="C115" s="27" t="str">
        <f>'Activity List'!E112</f>
        <v>assignment</v>
      </c>
      <c r="D115" s="22"/>
      <c r="E115" s="28"/>
      <c r="F115" s="22"/>
      <c r="G115" s="28"/>
      <c r="H115" s="19" t="s">
        <v>182</v>
      </c>
      <c r="I115" s="29" t="str">
        <f t="shared" si="12"/>
        <v/>
      </c>
      <c r="J115" s="30" t="str">
        <f t="shared" si="13"/>
        <v/>
      </c>
      <c r="K115" s="19" t="s">
        <v>384</v>
      </c>
      <c r="L115" s="22"/>
      <c r="M115" s="23"/>
      <c r="N115" s="31" t="str">
        <f t="shared" si="14"/>
        <v/>
      </c>
      <c r="O115" s="32" t="str">
        <f t="shared" si="15"/>
        <v/>
      </c>
    </row>
    <row r="116" spans="1:15" x14ac:dyDescent="0.45">
      <c r="A116" s="27" t="str">
        <f>'Activity List'!A113</f>
        <v>T3-013</v>
      </c>
      <c r="B116" s="27" t="str">
        <f>'Activity List'!D113</f>
        <v>Investor Reporting</v>
      </c>
      <c r="C116" s="27" t="str">
        <f>'Activity List'!E113</f>
        <v>assignment</v>
      </c>
      <c r="D116" s="22"/>
      <c r="E116" s="28"/>
      <c r="F116" s="22"/>
      <c r="G116" s="28"/>
      <c r="H116" s="19" t="s">
        <v>182</v>
      </c>
      <c r="I116" s="29" t="str">
        <f t="shared" si="12"/>
        <v/>
      </c>
      <c r="J116" s="30" t="str">
        <f t="shared" si="13"/>
        <v/>
      </c>
      <c r="K116" s="19" t="s">
        <v>384</v>
      </c>
      <c r="L116" s="22"/>
      <c r="M116" s="23"/>
      <c r="N116" s="31" t="str">
        <f t="shared" si="14"/>
        <v/>
      </c>
      <c r="O116" s="32" t="str">
        <f t="shared" si="15"/>
        <v/>
      </c>
    </row>
    <row r="117" spans="1:15" x14ac:dyDescent="0.45">
      <c r="A117" s="27" t="str">
        <f>'Activity List'!A114</f>
        <v>T3-014</v>
      </c>
      <c r="B117" s="27" t="str">
        <f>'Activity List'!D114</f>
        <v>Staff Capability Development</v>
      </c>
      <c r="C117" s="27" t="str">
        <f>'Activity List'!E114</f>
        <v>assignment</v>
      </c>
      <c r="D117" s="22"/>
      <c r="E117" s="28"/>
      <c r="F117" s="22"/>
      <c r="G117" s="28"/>
      <c r="H117" s="19" t="s">
        <v>182</v>
      </c>
      <c r="I117" s="29" t="str">
        <f t="shared" si="12"/>
        <v/>
      </c>
      <c r="J117" s="30" t="str">
        <f t="shared" si="13"/>
        <v/>
      </c>
      <c r="K117" s="19" t="s">
        <v>384</v>
      </c>
      <c r="L117" s="22"/>
      <c r="M117" s="23"/>
      <c r="N117" s="31" t="str">
        <f t="shared" si="14"/>
        <v/>
      </c>
      <c r="O117" s="32" t="str">
        <f t="shared" si="15"/>
        <v/>
      </c>
    </row>
    <row r="118" spans="1:15" x14ac:dyDescent="0.45">
      <c r="A118" s="27" t="str">
        <f>'Activity List'!A115</f>
        <v>T3-015</v>
      </c>
      <c r="B118" s="27" t="str">
        <f>'Activity List'!D115</f>
        <v>Operational Benchmarking</v>
      </c>
      <c r="C118" s="27" t="str">
        <f>'Activity List'!E115</f>
        <v>assignment</v>
      </c>
      <c r="D118" s="22"/>
      <c r="E118" s="28"/>
      <c r="F118" s="22"/>
      <c r="G118" s="28"/>
      <c r="H118" s="19" t="s">
        <v>182</v>
      </c>
      <c r="I118" s="29" t="str">
        <f t="shared" si="12"/>
        <v/>
      </c>
      <c r="J118" s="30" t="str">
        <f t="shared" si="13"/>
        <v/>
      </c>
      <c r="K118" s="19" t="s">
        <v>384</v>
      </c>
      <c r="L118" s="22"/>
      <c r="M118" s="23"/>
      <c r="N118" s="31" t="str">
        <f t="shared" si="14"/>
        <v/>
      </c>
      <c r="O118" s="32" t="str">
        <f t="shared" si="15"/>
        <v/>
      </c>
    </row>
    <row r="119" spans="1:15" x14ac:dyDescent="0.45">
      <c r="A119" s="27" t="str">
        <f>'Activity List'!A116</f>
        <v>T3-016</v>
      </c>
      <c r="B119" s="27" t="str">
        <f>'Activity List'!D116</f>
        <v>Feasibility Studies</v>
      </c>
      <c r="C119" s="27" t="str">
        <f>'Activity List'!E116</f>
        <v>assignment</v>
      </c>
      <c r="D119" s="22"/>
      <c r="E119" s="28"/>
      <c r="F119" s="22"/>
      <c r="G119" s="28"/>
      <c r="H119" s="19" t="s">
        <v>182</v>
      </c>
      <c r="I119" s="29" t="str">
        <f t="shared" si="12"/>
        <v/>
      </c>
      <c r="J119" s="30" t="str">
        <f t="shared" si="13"/>
        <v/>
      </c>
      <c r="K119" s="19" t="s">
        <v>384</v>
      </c>
      <c r="L119" s="22"/>
      <c r="M119" s="23"/>
      <c r="N119" s="31" t="str">
        <f t="shared" si="14"/>
        <v/>
      </c>
      <c r="O119" s="32" t="str">
        <f t="shared" si="15"/>
        <v/>
      </c>
    </row>
    <row r="120" spans="1:15" x14ac:dyDescent="0.45">
      <c r="A120" s="27" t="str">
        <f>'Activity List'!A117</f>
        <v>T3-017</v>
      </c>
      <c r="B120" s="27" t="str">
        <f>'Activity List'!D117</f>
        <v>Owner Representation</v>
      </c>
      <c r="C120" s="27" t="str">
        <f>'Activity List'!E117</f>
        <v>assignment</v>
      </c>
      <c r="D120" s="22"/>
      <c r="E120" s="28"/>
      <c r="F120" s="22"/>
      <c r="G120" s="28"/>
      <c r="H120" s="19" t="s">
        <v>182</v>
      </c>
      <c r="I120" s="29" t="str">
        <f t="shared" si="12"/>
        <v/>
      </c>
      <c r="J120" s="30" t="str">
        <f t="shared" si="13"/>
        <v/>
      </c>
      <c r="K120" s="19" t="s">
        <v>384</v>
      </c>
      <c r="L120" s="22"/>
      <c r="M120" s="23"/>
      <c r="N120" s="31" t="str">
        <f t="shared" si="14"/>
        <v/>
      </c>
      <c r="O120" s="32" t="str">
        <f t="shared" si="15"/>
        <v/>
      </c>
    </row>
    <row r="121" spans="1:15" x14ac:dyDescent="0.45">
      <c r="A121" s="27" t="str">
        <f>'Activity List'!A118</f>
        <v>T3-018</v>
      </c>
      <c r="B121" s="27" t="str">
        <f>'Activity List'!D118</f>
        <v>Coordination of Legal Advisers</v>
      </c>
      <c r="C121" s="27" t="str">
        <f>'Activity List'!E118</f>
        <v>assignment</v>
      </c>
      <c r="D121" s="22"/>
      <c r="E121" s="28"/>
      <c r="F121" s="22"/>
      <c r="G121" s="28"/>
      <c r="H121" s="19" t="s">
        <v>182</v>
      </c>
      <c r="I121" s="29" t="str">
        <f t="shared" si="12"/>
        <v/>
      </c>
      <c r="J121" s="30" t="str">
        <f t="shared" si="13"/>
        <v/>
      </c>
      <c r="K121" s="19" t="s">
        <v>384</v>
      </c>
      <c r="L121" s="22"/>
      <c r="M121" s="23"/>
      <c r="N121" s="31" t="str">
        <f t="shared" si="14"/>
        <v/>
      </c>
      <c r="O121" s="32" t="str">
        <f t="shared" si="15"/>
        <v/>
      </c>
    </row>
    <row r="122" spans="1:15" x14ac:dyDescent="0.45">
      <c r="A122" s="27" t="str">
        <f>'Activity List'!A119</f>
        <v>T3-019</v>
      </c>
      <c r="B122" s="27" t="str">
        <f>'Activity List'!D119</f>
        <v>Coordination of Tax Advisers</v>
      </c>
      <c r="C122" s="27" t="str">
        <f>'Activity List'!E119</f>
        <v>assignment</v>
      </c>
      <c r="D122" s="22"/>
      <c r="E122" s="28"/>
      <c r="F122" s="22"/>
      <c r="G122" s="28"/>
      <c r="H122" s="19" t="s">
        <v>182</v>
      </c>
      <c r="I122" s="29" t="str">
        <f t="shared" si="12"/>
        <v/>
      </c>
      <c r="J122" s="30" t="str">
        <f t="shared" si="13"/>
        <v/>
      </c>
      <c r="K122" s="19" t="s">
        <v>384</v>
      </c>
      <c r="L122" s="22"/>
      <c r="M122" s="23"/>
      <c r="N122" s="31" t="str">
        <f t="shared" si="14"/>
        <v/>
      </c>
      <c r="O122" s="32" t="str">
        <f t="shared" si="15"/>
        <v/>
      </c>
    </row>
    <row r="123" spans="1:15" x14ac:dyDescent="0.45">
      <c r="A123" s="27" t="str">
        <f>'Activity List'!A120</f>
        <v>T3-020</v>
      </c>
      <c r="B123" s="27" t="str">
        <f>'Activity List'!D120</f>
        <v>Governance Oversight</v>
      </c>
      <c r="C123" s="27" t="str">
        <f>'Activity List'!E120</f>
        <v>assignment</v>
      </c>
      <c r="D123" s="22"/>
      <c r="E123" s="28"/>
      <c r="F123" s="22"/>
      <c r="G123" s="28"/>
      <c r="H123" s="19" t="s">
        <v>182</v>
      </c>
      <c r="I123" s="29" t="str">
        <f t="shared" si="12"/>
        <v/>
      </c>
      <c r="J123" s="30" t="str">
        <f t="shared" si="13"/>
        <v/>
      </c>
      <c r="K123" s="19" t="s">
        <v>384</v>
      </c>
      <c r="L123" s="22"/>
      <c r="M123" s="23"/>
      <c r="N123" s="31" t="str">
        <f t="shared" si="14"/>
        <v/>
      </c>
      <c r="O123" s="32" t="str">
        <f t="shared" si="15"/>
        <v/>
      </c>
    </row>
    <row r="124" spans="1:15" x14ac:dyDescent="0.45">
      <c r="A124" s="27" t="str">
        <f>'Activity List'!A121</f>
        <v>T3-021</v>
      </c>
      <c r="B124" s="27" t="str">
        <f>'Activity List'!D121</f>
        <v>Debt Raising Support</v>
      </c>
      <c r="C124" s="27" t="str">
        <f>'Activity List'!E121</f>
        <v>assignment</v>
      </c>
      <c r="D124" s="22"/>
      <c r="E124" s="28"/>
      <c r="F124" s="22"/>
      <c r="G124" s="28"/>
      <c r="H124" s="19" t="s">
        <v>182</v>
      </c>
      <c r="I124" s="29" t="str">
        <f t="shared" si="12"/>
        <v/>
      </c>
      <c r="J124" s="30" t="str">
        <f t="shared" si="13"/>
        <v/>
      </c>
      <c r="K124" s="19" t="s">
        <v>384</v>
      </c>
      <c r="L124" s="22"/>
      <c r="M124" s="23"/>
      <c r="N124" s="31" t="str">
        <f t="shared" si="14"/>
        <v/>
      </c>
      <c r="O124" s="32" t="str">
        <f t="shared" si="15"/>
        <v/>
      </c>
    </row>
    <row r="125" spans="1:15" x14ac:dyDescent="0.45">
      <c r="A125" s="27" t="str">
        <f>'Activity List'!A122</f>
        <v>T3-022</v>
      </c>
      <c r="B125" s="27" t="str">
        <f>'Activity List'!D122</f>
        <v>Lender Coordination</v>
      </c>
      <c r="C125" s="27" t="str">
        <f>'Activity List'!E122</f>
        <v>assignment</v>
      </c>
      <c r="D125" s="22"/>
      <c r="E125" s="28"/>
      <c r="F125" s="22"/>
      <c r="G125" s="28"/>
      <c r="H125" s="19" t="s">
        <v>182</v>
      </c>
      <c r="I125" s="29" t="str">
        <f t="shared" si="12"/>
        <v/>
      </c>
      <c r="J125" s="30" t="str">
        <f t="shared" si="13"/>
        <v/>
      </c>
      <c r="K125" s="19" t="s">
        <v>384</v>
      </c>
      <c r="L125" s="22"/>
      <c r="M125" s="23"/>
      <c r="N125" s="31" t="str">
        <f t="shared" si="14"/>
        <v/>
      </c>
      <c r="O125" s="32" t="str">
        <f t="shared" si="15"/>
        <v/>
      </c>
    </row>
    <row r="126" spans="1:15" x14ac:dyDescent="0.45">
      <c r="A126" s="27" t="str">
        <f>'Activity List'!A123</f>
        <v>T3-023</v>
      </c>
      <c r="B126" s="27" t="str">
        <f>'Activity List'!D123</f>
        <v>Strategic Stakeholder Engagement</v>
      </c>
      <c r="C126" s="27" t="str">
        <f>'Activity List'!E123</f>
        <v>assignment</v>
      </c>
      <c r="D126" s="22"/>
      <c r="E126" s="28"/>
      <c r="F126" s="22"/>
      <c r="G126" s="28"/>
      <c r="H126" s="19" t="s">
        <v>182</v>
      </c>
      <c r="I126" s="29" t="str">
        <f t="shared" si="12"/>
        <v/>
      </c>
      <c r="J126" s="30" t="str">
        <f t="shared" si="13"/>
        <v/>
      </c>
      <c r="K126" s="19" t="s">
        <v>384</v>
      </c>
      <c r="L126" s="22"/>
      <c r="M126" s="23"/>
      <c r="N126" s="31" t="str">
        <f t="shared" si="14"/>
        <v/>
      </c>
      <c r="O126" s="32" t="str">
        <f t="shared" si="15"/>
        <v/>
      </c>
    </row>
    <row r="127" spans="1:15" x14ac:dyDescent="0.45">
      <c r="A127" s="27" t="str">
        <f>'Activity List'!A124</f>
        <v>T3-024</v>
      </c>
      <c r="B127" s="27" t="str">
        <f>'Activity List'!D124</f>
        <v>Reputation Management</v>
      </c>
      <c r="C127" s="27" t="str">
        <f>'Activity List'!E124</f>
        <v>assignment</v>
      </c>
      <c r="D127" s="22"/>
      <c r="E127" s="28"/>
      <c r="F127" s="22"/>
      <c r="G127" s="28"/>
      <c r="H127" s="19" t="s">
        <v>182</v>
      </c>
      <c r="I127" s="29" t="str">
        <f t="shared" si="12"/>
        <v/>
      </c>
      <c r="J127" s="30" t="str">
        <f t="shared" si="13"/>
        <v/>
      </c>
      <c r="K127" s="19" t="s">
        <v>384</v>
      </c>
      <c r="L127" s="22"/>
      <c r="M127" s="23"/>
      <c r="N127" s="31" t="str">
        <f t="shared" si="14"/>
        <v/>
      </c>
      <c r="O127" s="32" t="str">
        <f t="shared" si="15"/>
        <v/>
      </c>
    </row>
    <row r="128" spans="1:15" x14ac:dyDescent="0.45">
      <c r="A128" s="27" t="str">
        <f>'Activity List'!A125</f>
        <v>T3-025</v>
      </c>
      <c r="B128" s="27" t="str">
        <f>'Activity List'!D125</f>
        <v>Strategic Reporting</v>
      </c>
      <c r="C128" s="27" t="str">
        <f>'Activity List'!E125</f>
        <v>assignment</v>
      </c>
      <c r="D128" s="22"/>
      <c r="E128" s="28"/>
      <c r="F128" s="22"/>
      <c r="G128" s="28"/>
      <c r="H128" s="19" t="s">
        <v>182</v>
      </c>
      <c r="I128" s="29" t="str">
        <f t="shared" si="12"/>
        <v/>
      </c>
      <c r="J128" s="30" t="str">
        <f t="shared" si="13"/>
        <v/>
      </c>
      <c r="K128" s="19" t="s">
        <v>384</v>
      </c>
      <c r="L128" s="22"/>
      <c r="M128" s="23"/>
      <c r="N128" s="31" t="str">
        <f t="shared" si="14"/>
        <v/>
      </c>
      <c r="O128" s="32" t="str">
        <f t="shared" si="15"/>
        <v/>
      </c>
    </row>
    <row r="129" spans="1:15" x14ac:dyDescent="0.45">
      <c r="A129" s="27" t="str">
        <f>'Activity List'!A126</f>
        <v>T3-026</v>
      </c>
      <c r="B129" s="27" t="str">
        <f>'Activity List'!D126</f>
        <v>Coordination of Specialist Advisers</v>
      </c>
      <c r="C129" s="27" t="str">
        <f>'Activity List'!E126</f>
        <v>assignment</v>
      </c>
      <c r="D129" s="22"/>
      <c r="E129" s="28"/>
      <c r="F129" s="22"/>
      <c r="G129" s="28"/>
      <c r="H129" s="19" t="s">
        <v>182</v>
      </c>
      <c r="I129" s="29" t="str">
        <f t="shared" si="12"/>
        <v/>
      </c>
      <c r="J129" s="30" t="str">
        <f t="shared" si="13"/>
        <v/>
      </c>
      <c r="K129" s="19" t="s">
        <v>384</v>
      </c>
      <c r="L129" s="22"/>
      <c r="M129" s="23"/>
      <c r="N129" s="31" t="str">
        <f t="shared" si="14"/>
        <v/>
      </c>
      <c r="O129" s="32" t="str">
        <f t="shared" si="15"/>
        <v/>
      </c>
    </row>
    <row r="130" spans="1:15" x14ac:dyDescent="0.45">
      <c r="A130" s="27" t="str">
        <f>'Activity List'!A127</f>
        <v>T3-027</v>
      </c>
      <c r="B130" s="27" t="str">
        <f>'Activity List'!D127</f>
        <v>Soil Sampling and Analysis</v>
      </c>
      <c r="C130" s="27" t="str">
        <f>'Activity List'!E127</f>
        <v>sample</v>
      </c>
      <c r="D130" s="22"/>
      <c r="E130" s="28"/>
      <c r="F130" s="22"/>
      <c r="G130" s="28"/>
      <c r="H130" s="19" t="s">
        <v>182</v>
      </c>
      <c r="I130" s="29" t="str">
        <f t="shared" si="12"/>
        <v/>
      </c>
      <c r="J130" s="30" t="str">
        <f t="shared" si="13"/>
        <v/>
      </c>
      <c r="K130" s="19" t="s">
        <v>384</v>
      </c>
      <c r="L130" s="22"/>
      <c r="M130" s="23"/>
      <c r="N130" s="31" t="str">
        <f t="shared" si="14"/>
        <v/>
      </c>
      <c r="O130" s="32" t="str">
        <f t="shared" si="15"/>
        <v/>
      </c>
    </row>
    <row r="131" spans="1:15" x14ac:dyDescent="0.45">
      <c r="A131" s="27" t="str">
        <f>'Activity List'!A128</f>
        <v>T3-028</v>
      </c>
      <c r="B131" s="27" t="str">
        <f>'Activity List'!D128</f>
        <v>Soil Fertility and Nutrient Status Reporting</v>
      </c>
      <c r="C131" s="27" t="str">
        <f>'Activity List'!E128</f>
        <v>farm</v>
      </c>
      <c r="D131" s="22"/>
      <c r="E131" s="28"/>
      <c r="F131" s="22"/>
      <c r="G131" s="28"/>
      <c r="H131" s="19" t="s">
        <v>182</v>
      </c>
      <c r="I131" s="29" t="str">
        <f t="shared" si="12"/>
        <v/>
      </c>
      <c r="J131" s="30" t="str">
        <f t="shared" si="13"/>
        <v/>
      </c>
      <c r="K131" s="19" t="s">
        <v>384</v>
      </c>
      <c r="L131" s="22"/>
      <c r="M131" s="23"/>
      <c r="N131" s="31" t="str">
        <f t="shared" si="14"/>
        <v/>
      </c>
      <c r="O131" s="32" t="str">
        <f t="shared" si="15"/>
        <v/>
      </c>
    </row>
    <row r="132" spans="1:15" x14ac:dyDescent="0.45">
      <c r="A132" s="27" t="str">
        <f>'Activity List'!A129</f>
        <v>T3-029</v>
      </c>
      <c r="B132" s="27" t="str">
        <f>'Activity List'!D129</f>
        <v>Liming and Soil Amendment Recommendations</v>
      </c>
      <c r="C132" s="27" t="str">
        <f>'Activity List'!E129</f>
        <v>farm</v>
      </c>
      <c r="D132" s="22"/>
      <c r="E132" s="28"/>
      <c r="F132" s="22"/>
      <c r="G132" s="28"/>
      <c r="H132" s="19" t="s">
        <v>182</v>
      </c>
      <c r="I132" s="29" t="str">
        <f t="shared" si="12"/>
        <v/>
      </c>
      <c r="J132" s="30" t="str">
        <f t="shared" si="13"/>
        <v/>
      </c>
      <c r="K132" s="19" t="s">
        <v>384</v>
      </c>
      <c r="L132" s="22"/>
      <c r="M132" s="23"/>
      <c r="N132" s="31" t="str">
        <f t="shared" si="14"/>
        <v/>
      </c>
      <c r="O132" s="32" t="str">
        <f t="shared" si="15"/>
        <v/>
      </c>
    </row>
    <row r="133" spans="1:15" x14ac:dyDescent="0.45">
      <c r="A133" s="27" t="str">
        <f>'Activity List'!A130</f>
        <v>T3-030</v>
      </c>
      <c r="B133" s="27" t="str">
        <f>'Activity List'!D130</f>
        <v>GPS Farm Boundary and Block Mapping</v>
      </c>
      <c r="C133" s="27" t="str">
        <f>'Activity List'!E130</f>
        <v>farm</v>
      </c>
      <c r="D133" s="22"/>
      <c r="E133" s="28"/>
      <c r="F133" s="22"/>
      <c r="G133" s="28"/>
      <c r="H133" s="19" t="s">
        <v>182</v>
      </c>
      <c r="I133" s="29" t="str">
        <f t="shared" ref="I133:I138" si="16">IFERROR(AVERAGE(E133,G133),"")</f>
        <v/>
      </c>
      <c r="J133" s="30" t="str">
        <f t="shared" ref="J133:J164" si="17">I133</f>
        <v/>
      </c>
      <c r="K133" s="19" t="s">
        <v>384</v>
      </c>
      <c r="L133" s="22"/>
      <c r="M133" s="23"/>
      <c r="N133" s="31" t="str">
        <f t="shared" ref="N133:N164" si="18">IF(M133="","",EDATE(M133,12))</f>
        <v/>
      </c>
      <c r="O133" s="32" t="str">
        <f t="shared" ref="O133:O138" si="19">IF(K133="Approved",J133,"")</f>
        <v/>
      </c>
    </row>
    <row r="134" spans="1:15" x14ac:dyDescent="0.45">
      <c r="A134" s="27" t="str">
        <f>'Activity List'!A131</f>
        <v>T3-031</v>
      </c>
      <c r="B134" s="27" t="str">
        <f>'Activity List'!D131</f>
        <v>GIS Layering (Soil, Slope, Drainage, Shade, Productivity)</v>
      </c>
      <c r="C134" s="27" t="str">
        <f>'Activity List'!E131</f>
        <v>farm</v>
      </c>
      <c r="D134" s="22"/>
      <c r="E134" s="28"/>
      <c r="F134" s="22"/>
      <c r="G134" s="28"/>
      <c r="H134" s="19" t="s">
        <v>182</v>
      </c>
      <c r="I134" s="29" t="str">
        <f t="shared" si="16"/>
        <v/>
      </c>
      <c r="J134" s="30" t="str">
        <f t="shared" si="17"/>
        <v/>
      </c>
      <c r="K134" s="19" t="s">
        <v>384</v>
      </c>
      <c r="L134" s="22"/>
      <c r="M134" s="23"/>
      <c r="N134" s="31" t="str">
        <f t="shared" si="18"/>
        <v/>
      </c>
      <c r="O134" s="32" t="str">
        <f t="shared" si="19"/>
        <v/>
      </c>
    </row>
    <row r="135" spans="1:15" x14ac:dyDescent="0.45">
      <c r="A135" s="27" t="str">
        <f>'Activity List'!A132</f>
        <v>T3-032</v>
      </c>
      <c r="B135" s="27" t="str">
        <f>'Activity List'!D132</f>
        <v>Weather Station Installation and Management</v>
      </c>
      <c r="C135" s="27" t="str">
        <f>'Activity List'!E132</f>
        <v>farm</v>
      </c>
      <c r="D135" s="22"/>
      <c r="E135" s="28"/>
      <c r="F135" s="22"/>
      <c r="G135" s="28"/>
      <c r="H135" s="19" t="s">
        <v>182</v>
      </c>
      <c r="I135" s="29" t="str">
        <f t="shared" si="16"/>
        <v/>
      </c>
      <c r="J135" s="30" t="str">
        <f t="shared" si="17"/>
        <v/>
      </c>
      <c r="K135" s="19" t="s">
        <v>384</v>
      </c>
      <c r="L135" s="22"/>
      <c r="M135" s="23"/>
      <c r="N135" s="31" t="str">
        <f t="shared" si="18"/>
        <v/>
      </c>
      <c r="O135" s="32" t="str">
        <f t="shared" si="19"/>
        <v/>
      </c>
    </row>
    <row r="136" spans="1:15" x14ac:dyDescent="0.45">
      <c r="A136" s="27" t="str">
        <f>'Activity List'!A133</f>
        <v>T3-033</v>
      </c>
      <c r="B136" s="27" t="str">
        <f>'Activity List'!D133</f>
        <v>Farm Operating Manuals and SOPs</v>
      </c>
      <c r="C136" s="27" t="str">
        <f>'Activity List'!E133</f>
        <v>farm</v>
      </c>
      <c r="D136" s="22"/>
      <c r="E136" s="28"/>
      <c r="F136" s="22"/>
      <c r="G136" s="28"/>
      <c r="H136" s="19" t="s">
        <v>182</v>
      </c>
      <c r="I136" s="29" t="str">
        <f t="shared" si="16"/>
        <v/>
      </c>
      <c r="J136" s="30" t="str">
        <f t="shared" si="17"/>
        <v/>
      </c>
      <c r="K136" s="19" t="s">
        <v>384</v>
      </c>
      <c r="L136" s="22"/>
      <c r="M136" s="23"/>
      <c r="N136" s="31" t="str">
        <f t="shared" si="18"/>
        <v/>
      </c>
      <c r="O136" s="32" t="str">
        <f t="shared" si="19"/>
        <v/>
      </c>
    </row>
    <row r="137" spans="1:15" x14ac:dyDescent="0.45">
      <c r="A137" s="27" t="str">
        <f>'Activity List'!A134</f>
        <v>T3-034</v>
      </c>
      <c r="B137" s="27" t="str">
        <f>'Activity List'!D134</f>
        <v>SpiralLabs Cupping, Grading and Quality Control</v>
      </c>
      <c r="C137" s="27" t="str">
        <f>'Activity List'!E134</f>
        <v>farm</v>
      </c>
      <c r="D137" s="22"/>
      <c r="E137" s="28"/>
      <c r="F137" s="22"/>
      <c r="G137" s="28"/>
      <c r="H137" s="19" t="s">
        <v>182</v>
      </c>
      <c r="I137" s="29" t="str">
        <f t="shared" si="16"/>
        <v/>
      </c>
      <c r="J137" s="30" t="str">
        <f t="shared" si="17"/>
        <v/>
      </c>
      <c r="K137" s="19" t="s">
        <v>384</v>
      </c>
      <c r="L137" s="22"/>
      <c r="M137" s="23"/>
      <c r="N137" s="31" t="str">
        <f t="shared" si="18"/>
        <v/>
      </c>
      <c r="O137" s="32" t="str">
        <f t="shared" si="19"/>
        <v/>
      </c>
    </row>
    <row r="138" spans="1:15" x14ac:dyDescent="0.45">
      <c r="A138" s="27" t="str">
        <f>'Activity List'!A135</f>
        <v>T3-035</v>
      </c>
      <c r="B138" s="27" t="str">
        <f>'Activity List'!D135</f>
        <v>Buyer Hosting at SpiralLabs</v>
      </c>
      <c r="C138" s="27" t="str">
        <f>'Activity List'!E135</f>
        <v>event</v>
      </c>
      <c r="D138" s="22"/>
      <c r="E138" s="28"/>
      <c r="F138" s="22"/>
      <c r="G138" s="28"/>
      <c r="H138" s="19" t="s">
        <v>182</v>
      </c>
      <c r="I138" s="29" t="str">
        <f t="shared" si="16"/>
        <v/>
      </c>
      <c r="J138" s="30" t="str">
        <f t="shared" si="17"/>
        <v/>
      </c>
      <c r="K138" s="19" t="s">
        <v>384</v>
      </c>
      <c r="L138" s="22"/>
      <c r="M138" s="23"/>
      <c r="N138" s="31" t="str">
        <f t="shared" si="18"/>
        <v/>
      </c>
      <c r="O138" s="32" t="str">
        <f t="shared" si="19"/>
        <v/>
      </c>
    </row>
    <row r="140" spans="1:15" ht="90" customHeight="1" x14ac:dyDescent="0.45">
      <c r="A140" s="5" t="s">
        <v>385</v>
      </c>
      <c r="B140" s="5"/>
      <c r="C140" s="5"/>
      <c r="D140" s="5"/>
      <c r="E140" s="5"/>
      <c r="F140" s="5"/>
      <c r="G140" s="5"/>
      <c r="H140" s="5"/>
      <c r="I140" s="5"/>
      <c r="J140" s="5"/>
      <c r="K140" s="5"/>
      <c r="L140" s="5"/>
      <c r="M140" s="5"/>
      <c r="N140" s="5"/>
      <c r="O140" s="5"/>
    </row>
  </sheetData>
  <mergeCells count="2">
    <mergeCell ref="A2:O2"/>
    <mergeCell ref="A140:O14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7"/>
  <sheetViews>
    <sheetView zoomScaleNormal="100" workbookViewId="0">
      <pane ySplit="1" topLeftCell="A2" activePane="bottomLeft" state="frozen"/>
      <selection pane="bottomLeft"/>
    </sheetView>
  </sheetViews>
  <sheetFormatPr defaultColWidth="8.6640625" defaultRowHeight="14.25" x14ac:dyDescent="0.45"/>
  <cols>
    <col min="1" max="1" width="10" customWidth="1"/>
    <col min="2" max="2" width="42" customWidth="1"/>
    <col min="3" max="3" width="14" customWidth="1"/>
    <col min="4" max="4" width="16" customWidth="1"/>
    <col min="5" max="7" width="18" customWidth="1"/>
    <col min="8" max="8" width="30" customWidth="1"/>
  </cols>
  <sheetData>
    <row r="1" spans="1:8" ht="30" customHeight="1" x14ac:dyDescent="0.45">
      <c r="A1" s="15" t="s">
        <v>46</v>
      </c>
      <c r="B1" s="15" t="s">
        <v>49</v>
      </c>
      <c r="C1" s="15" t="s">
        <v>372</v>
      </c>
      <c r="D1" s="15" t="s">
        <v>386</v>
      </c>
      <c r="E1" s="15" t="s">
        <v>387</v>
      </c>
      <c r="F1" s="15" t="s">
        <v>388</v>
      </c>
      <c r="G1" s="15" t="s">
        <v>389</v>
      </c>
      <c r="H1" s="15" t="s">
        <v>390</v>
      </c>
    </row>
    <row r="2" spans="1:8" x14ac:dyDescent="0.45">
      <c r="A2" s="27" t="str">
        <f>'Activity List'!A2</f>
        <v>T1-001</v>
      </c>
      <c r="B2" s="27" t="str">
        <f>'Activity List'!D2</f>
        <v>Land Clearing</v>
      </c>
      <c r="C2" s="27" t="str">
        <f>'Activity List'!E2</f>
        <v>ha</v>
      </c>
      <c r="D2" s="22"/>
      <c r="E2" s="22"/>
      <c r="F2" s="33">
        <f t="shared" ref="F2:F33" si="0">IF(OR(D2="",E2=""),0,D2*E2)</f>
        <v>0</v>
      </c>
      <c r="G2" s="34">
        <f>IF('Benchmark Rate Survey'!O5&lt;&gt;"",'Benchmark Rate Survey'!O5,F2)</f>
        <v>0</v>
      </c>
      <c r="H2" s="35" t="s">
        <v>391</v>
      </c>
    </row>
    <row r="3" spans="1:8" x14ac:dyDescent="0.45">
      <c r="A3" s="27" t="str">
        <f>'Activity List'!A3</f>
        <v>T1-002</v>
      </c>
      <c r="B3" s="27" t="str">
        <f>'Activity List'!D3</f>
        <v>Tree Felling</v>
      </c>
      <c r="C3" s="27" t="str">
        <f>'Activity List'!E3</f>
        <v>ha</v>
      </c>
      <c r="D3" s="22"/>
      <c r="E3" s="22"/>
      <c r="F3" s="33">
        <f t="shared" si="0"/>
        <v>0</v>
      </c>
      <c r="G3" s="34">
        <f>IF('Benchmark Rate Survey'!O6&lt;&gt;"",'Benchmark Rate Survey'!O6,F3)</f>
        <v>0</v>
      </c>
      <c r="H3" s="35" t="s">
        <v>391</v>
      </c>
    </row>
    <row r="4" spans="1:8" x14ac:dyDescent="0.45">
      <c r="A4" s="27" t="str">
        <f>'Activity List'!A4</f>
        <v>T1-003</v>
      </c>
      <c r="B4" s="27" t="str">
        <f>'Activity List'!D4</f>
        <v>Soil Heaping</v>
      </c>
      <c r="C4" s="27" t="str">
        <f>'Activity List'!E4</f>
        <v>m3</v>
      </c>
      <c r="D4" s="22"/>
      <c r="E4" s="22"/>
      <c r="F4" s="33">
        <f t="shared" si="0"/>
        <v>0</v>
      </c>
      <c r="G4" s="34">
        <f>IF('Benchmark Rate Survey'!O7&lt;&gt;"",'Benchmark Rate Survey'!O7,F4)</f>
        <v>0</v>
      </c>
      <c r="H4" s="35" t="s">
        <v>391</v>
      </c>
    </row>
    <row r="5" spans="1:8" x14ac:dyDescent="0.45">
      <c r="A5" s="27" t="str">
        <f>'Activity List'!A5</f>
        <v>T1-004</v>
      </c>
      <c r="B5" s="27" t="str">
        <f>'Activity List'!D5</f>
        <v>Polytube Cutting</v>
      </c>
      <c r="C5" s="27" t="str">
        <f>'Activity List'!E5</f>
        <v>kg</v>
      </c>
      <c r="D5" s="22"/>
      <c r="E5" s="22"/>
      <c r="F5" s="33">
        <f t="shared" si="0"/>
        <v>0</v>
      </c>
      <c r="G5" s="34">
        <f>IF('Benchmark Rate Survey'!O8&lt;&gt;"",'Benchmark Rate Survey'!O8,F5)</f>
        <v>0</v>
      </c>
      <c r="H5" s="35" t="s">
        <v>391</v>
      </c>
    </row>
    <row r="6" spans="1:8" x14ac:dyDescent="0.45">
      <c r="A6" s="27" t="str">
        <f>'Activity List'!A6</f>
        <v>T1-005</v>
      </c>
      <c r="B6" s="27" t="str">
        <f>'Activity List'!D6</f>
        <v>Polytube Filling</v>
      </c>
      <c r="C6" s="27" t="str">
        <f>'Activity List'!E6</f>
        <v>seedling</v>
      </c>
      <c r="D6" s="22"/>
      <c r="E6" s="22"/>
      <c r="F6" s="33">
        <f t="shared" si="0"/>
        <v>0</v>
      </c>
      <c r="G6" s="34">
        <f>IF('Benchmark Rate Survey'!O9&lt;&gt;"",'Benchmark Rate Survey'!O9,F6)</f>
        <v>0</v>
      </c>
      <c r="H6" s="35" t="s">
        <v>391</v>
      </c>
    </row>
    <row r="7" spans="1:8" x14ac:dyDescent="0.45">
      <c r="A7" s="27" t="str">
        <f>'Activity List'!A7</f>
        <v>T1-006</v>
      </c>
      <c r="B7" s="27" t="str">
        <f>'Activity List'!D7</f>
        <v>Seedbed Preparation</v>
      </c>
      <c r="C7" s="27" t="str">
        <f>'Activity List'!E7</f>
        <v>bed</v>
      </c>
      <c r="D7" s="22"/>
      <c r="E7" s="22"/>
      <c r="F7" s="33">
        <f t="shared" si="0"/>
        <v>0</v>
      </c>
      <c r="G7" s="34">
        <f>IF('Benchmark Rate Survey'!O10&lt;&gt;"",'Benchmark Rate Survey'!O10,F7)</f>
        <v>0</v>
      </c>
      <c r="H7" s="35" t="s">
        <v>391</v>
      </c>
    </row>
    <row r="8" spans="1:8" x14ac:dyDescent="0.45">
      <c r="A8" s="27" t="str">
        <f>'Activity List'!A8</f>
        <v>T1-007</v>
      </c>
      <c r="B8" s="27" t="str">
        <f>'Activity List'!D8</f>
        <v>Polytube Arranging</v>
      </c>
      <c r="C8" s="27" t="str">
        <f>'Activity List'!E8</f>
        <v>bed</v>
      </c>
      <c r="D8" s="22"/>
      <c r="E8" s="22"/>
      <c r="F8" s="33">
        <f t="shared" si="0"/>
        <v>0</v>
      </c>
      <c r="G8" s="34">
        <f>IF('Benchmark Rate Survey'!O11&lt;&gt;"",'Benchmark Rate Survey'!O11,F8)</f>
        <v>0</v>
      </c>
      <c r="H8" s="35" t="s">
        <v>391</v>
      </c>
    </row>
    <row r="9" spans="1:8" x14ac:dyDescent="0.45">
      <c r="A9" s="27" t="str">
        <f>'Activity List'!A9</f>
        <v>T1-008</v>
      </c>
      <c r="B9" s="27" t="str">
        <f>'Activity List'!D9</f>
        <v>Seed Sowing</v>
      </c>
      <c r="C9" s="27" t="str">
        <f>'Activity List'!E9</f>
        <v>bed</v>
      </c>
      <c r="D9" s="22"/>
      <c r="E9" s="22"/>
      <c r="F9" s="33">
        <f t="shared" si="0"/>
        <v>0</v>
      </c>
      <c r="G9" s="34">
        <f>IF('Benchmark Rate Survey'!O12&lt;&gt;"",'Benchmark Rate Survey'!O12,F9)</f>
        <v>0</v>
      </c>
      <c r="H9" s="35" t="s">
        <v>391</v>
      </c>
    </row>
    <row r="10" spans="1:8" x14ac:dyDescent="0.45">
      <c r="A10" s="27" t="str">
        <f>'Activity List'!A10</f>
        <v>T1-009</v>
      </c>
      <c r="B10" s="27" t="str">
        <f>'Activity List'!D10</f>
        <v>Mulch Material Preparation</v>
      </c>
      <c r="C10" s="27" t="str">
        <f>'Activity List'!E10</f>
        <v>bed</v>
      </c>
      <c r="D10" s="22"/>
      <c r="E10" s="22"/>
      <c r="F10" s="33">
        <f t="shared" si="0"/>
        <v>0</v>
      </c>
      <c r="G10" s="34">
        <f>IF('Benchmark Rate Survey'!O13&lt;&gt;"",'Benchmark Rate Survey'!O13,F10)</f>
        <v>0</v>
      </c>
      <c r="H10" s="35" t="s">
        <v>391</v>
      </c>
    </row>
    <row r="11" spans="1:8" x14ac:dyDescent="0.45">
      <c r="A11" s="27" t="str">
        <f>'Activity List'!A11</f>
        <v>T1-010</v>
      </c>
      <c r="B11" s="27" t="str">
        <f>'Activity List'!D11</f>
        <v>Mulch Application</v>
      </c>
      <c r="C11" s="27" t="str">
        <f>'Activity List'!E11</f>
        <v>bed</v>
      </c>
      <c r="D11" s="22"/>
      <c r="E11" s="22"/>
      <c r="F11" s="33">
        <f t="shared" si="0"/>
        <v>0</v>
      </c>
      <c r="G11" s="34">
        <f>IF('Benchmark Rate Survey'!O14&lt;&gt;"",'Benchmark Rate Survey'!O14,F11)</f>
        <v>0</v>
      </c>
      <c r="H11" s="35" t="s">
        <v>391</v>
      </c>
    </row>
    <row r="12" spans="1:8" x14ac:dyDescent="0.45">
      <c r="A12" s="27" t="str">
        <f>'Activity List'!A12</f>
        <v>T1-011</v>
      </c>
      <c r="B12" s="27" t="str">
        <f>'Activity List'!D12</f>
        <v>Shade Material Preparation</v>
      </c>
      <c r="C12" s="27" t="str">
        <f>'Activity List'!E12</f>
        <v>bed</v>
      </c>
      <c r="D12" s="22"/>
      <c r="E12" s="22"/>
      <c r="F12" s="33">
        <f t="shared" si="0"/>
        <v>0</v>
      </c>
      <c r="G12" s="34">
        <f>IF('Benchmark Rate Survey'!O15&lt;&gt;"",'Benchmark Rate Survey'!O15,F12)</f>
        <v>0</v>
      </c>
      <c r="H12" s="35" t="s">
        <v>391</v>
      </c>
    </row>
    <row r="13" spans="1:8" x14ac:dyDescent="0.45">
      <c r="A13" s="27" t="str">
        <f>'Activity List'!A13</f>
        <v>T1-012</v>
      </c>
      <c r="B13" s="27" t="str">
        <f>'Activity List'!D13</f>
        <v>Shade Construction</v>
      </c>
      <c r="C13" s="27" t="str">
        <f>'Activity List'!E13</f>
        <v>bed</v>
      </c>
      <c r="D13" s="22"/>
      <c r="E13" s="22"/>
      <c r="F13" s="33">
        <f t="shared" si="0"/>
        <v>0</v>
      </c>
      <c r="G13" s="34">
        <f>IF('Benchmark Rate Survey'!O16&lt;&gt;"",'Benchmark Rate Survey'!O16,F13)</f>
        <v>0</v>
      </c>
      <c r="H13" s="35" t="s">
        <v>391</v>
      </c>
    </row>
    <row r="14" spans="1:8" x14ac:dyDescent="0.45">
      <c r="A14" s="27" t="str">
        <f>'Activity List'!A14</f>
        <v>T1-013</v>
      </c>
      <c r="B14" s="27" t="str">
        <f>'Activity List'!D14</f>
        <v>Mulch Removal</v>
      </c>
      <c r="C14" s="27" t="str">
        <f>'Activity List'!E14</f>
        <v>bed</v>
      </c>
      <c r="D14" s="22"/>
      <c r="E14" s="22"/>
      <c r="F14" s="33">
        <f t="shared" si="0"/>
        <v>0</v>
      </c>
      <c r="G14" s="34">
        <f>IF('Benchmark Rate Survey'!O17&lt;&gt;"",'Benchmark Rate Survey'!O17,F14)</f>
        <v>0</v>
      </c>
      <c r="H14" s="35" t="s">
        <v>391</v>
      </c>
    </row>
    <row r="15" spans="1:8" x14ac:dyDescent="0.45">
      <c r="A15" s="27" t="str">
        <f>'Activity List'!A15</f>
        <v>T1-014</v>
      </c>
      <c r="B15" s="27" t="str">
        <f>'Activity List'!D15</f>
        <v>Nursery Weeding</v>
      </c>
      <c r="C15" s="27" t="str">
        <f>'Activity List'!E15</f>
        <v>bed</v>
      </c>
      <c r="D15" s="22"/>
      <c r="E15" s="22"/>
      <c r="F15" s="33">
        <f t="shared" si="0"/>
        <v>0</v>
      </c>
      <c r="G15" s="34">
        <f>IF('Benchmark Rate Survey'!O18&lt;&gt;"",'Benchmark Rate Survey'!O18,F15)</f>
        <v>0</v>
      </c>
      <c r="H15" s="35" t="s">
        <v>391</v>
      </c>
    </row>
    <row r="16" spans="1:8" x14ac:dyDescent="0.45">
      <c r="A16" s="27" t="str">
        <f>'Activity List'!A16</f>
        <v>T1-015</v>
      </c>
      <c r="B16" s="27" t="str">
        <f>'Activity List'!D16</f>
        <v>Shade Thinning</v>
      </c>
      <c r="C16" s="27" t="str">
        <f>'Activity List'!E16</f>
        <v>bed</v>
      </c>
      <c r="D16" s="22"/>
      <c r="E16" s="22"/>
      <c r="F16" s="33">
        <f t="shared" si="0"/>
        <v>0</v>
      </c>
      <c r="G16" s="34">
        <f>IF('Benchmark Rate Survey'!O19&lt;&gt;"",'Benchmark Rate Survey'!O19,F16)</f>
        <v>0</v>
      </c>
      <c r="H16" s="35" t="s">
        <v>391</v>
      </c>
    </row>
    <row r="17" spans="1:8" x14ac:dyDescent="0.45">
      <c r="A17" s="27" t="str">
        <f>'Activity List'!A17</f>
        <v>T1-016</v>
      </c>
      <c r="B17" s="27" t="str">
        <f>'Activity List'!D17</f>
        <v>Shade Removal</v>
      </c>
      <c r="C17" s="27" t="str">
        <f>'Activity List'!E17</f>
        <v>bed</v>
      </c>
      <c r="D17" s="22"/>
      <c r="E17" s="22"/>
      <c r="F17" s="33">
        <f t="shared" si="0"/>
        <v>0</v>
      </c>
      <c r="G17" s="34">
        <f>IF('Benchmark Rate Survey'!O20&lt;&gt;"",'Benchmark Rate Survey'!O20,F17)</f>
        <v>0</v>
      </c>
      <c r="H17" s="35" t="s">
        <v>391</v>
      </c>
    </row>
    <row r="18" spans="1:8" x14ac:dyDescent="0.45">
      <c r="A18" s="27" t="str">
        <f>'Activity List'!A18</f>
        <v>T1-017</v>
      </c>
      <c r="B18" s="27" t="str">
        <f>'Activity List'!D18</f>
        <v>Hoeing (Young Coffee)</v>
      </c>
      <c r="C18" s="27" t="str">
        <f>'Activity List'!E18</f>
        <v>tree</v>
      </c>
      <c r="D18" s="22"/>
      <c r="E18" s="22"/>
      <c r="F18" s="33">
        <f t="shared" si="0"/>
        <v>0</v>
      </c>
      <c r="G18" s="34">
        <f>IF('Benchmark Rate Survey'!O21&lt;&gt;"",'Benchmark Rate Survey'!O21,F18)</f>
        <v>0</v>
      </c>
      <c r="H18" s="35" t="s">
        <v>391</v>
      </c>
    </row>
    <row r="19" spans="1:8" x14ac:dyDescent="0.45">
      <c r="A19" s="27" t="str">
        <f>'Activity List'!A19</f>
        <v>T1-018</v>
      </c>
      <c r="B19" s="27" t="str">
        <f>'Activity List'!D19</f>
        <v>Fertilizing (Young Coffee)</v>
      </c>
      <c r="C19" s="27" t="str">
        <f>'Activity List'!E19</f>
        <v>tree</v>
      </c>
      <c r="D19" s="22"/>
      <c r="E19" s="22"/>
      <c r="F19" s="33">
        <f t="shared" si="0"/>
        <v>0</v>
      </c>
      <c r="G19" s="34">
        <f>IF('Benchmark Rate Survey'!O22&lt;&gt;"",'Benchmark Rate Survey'!O22,F19)</f>
        <v>0</v>
      </c>
      <c r="H19" s="35" t="s">
        <v>391</v>
      </c>
    </row>
    <row r="20" spans="1:8" x14ac:dyDescent="0.45">
      <c r="A20" s="27" t="str">
        <f>'Activity List'!A20</f>
        <v>T1-019</v>
      </c>
      <c r="B20" s="27" t="str">
        <f>'Activity List'!D20</f>
        <v>Ring Weeding of Seedlings</v>
      </c>
      <c r="C20" s="27" t="str">
        <f>'Activity List'!E20</f>
        <v>tree</v>
      </c>
      <c r="D20" s="22"/>
      <c r="E20" s="22"/>
      <c r="F20" s="33">
        <f t="shared" si="0"/>
        <v>0</v>
      </c>
      <c r="G20" s="34">
        <f>IF('Benchmark Rate Survey'!O23&lt;&gt;"",'Benchmark Rate Survey'!O23,F20)</f>
        <v>0</v>
      </c>
      <c r="H20" s="35" t="s">
        <v>391</v>
      </c>
    </row>
    <row r="21" spans="1:8" x14ac:dyDescent="0.45">
      <c r="A21" s="27" t="str">
        <f>'Activity List'!A21</f>
        <v>T1-020</v>
      </c>
      <c r="B21" s="27" t="str">
        <f>'Activity List'!D21</f>
        <v>Shade Tree Regulation</v>
      </c>
      <c r="C21" s="27" t="str">
        <f>'Activity List'!E21</f>
        <v>ha</v>
      </c>
      <c r="D21" s="22"/>
      <c r="E21" s="22"/>
      <c r="F21" s="33">
        <f t="shared" si="0"/>
        <v>0</v>
      </c>
      <c r="G21" s="34">
        <f>IF('Benchmark Rate Survey'!O24&lt;&gt;"",'Benchmark Rate Survey'!O24,F21)</f>
        <v>0</v>
      </c>
      <c r="H21" s="35" t="s">
        <v>391</v>
      </c>
    </row>
    <row r="22" spans="1:8" x14ac:dyDescent="0.45">
      <c r="A22" s="27" t="str">
        <f>'Activity List'!A22</f>
        <v>T1-021</v>
      </c>
      <c r="B22" s="27" t="str">
        <f>'Activity List'!D22</f>
        <v>Compost Preparation</v>
      </c>
      <c r="C22" s="27" t="str">
        <f>'Activity List'!E22</f>
        <v>m3</v>
      </c>
      <c r="D22" s="22"/>
      <c r="E22" s="22"/>
      <c r="F22" s="33">
        <f t="shared" si="0"/>
        <v>0</v>
      </c>
      <c r="G22" s="34">
        <f>IF('Benchmark Rate Survey'!O25&lt;&gt;"",'Benchmark Rate Survey'!O25,F22)</f>
        <v>0</v>
      </c>
      <c r="H22" s="35" t="s">
        <v>391</v>
      </c>
    </row>
    <row r="23" spans="1:8" x14ac:dyDescent="0.45">
      <c r="A23" s="27" t="str">
        <f>'Activity List'!A23</f>
        <v>T1-022</v>
      </c>
      <c r="B23" s="27" t="str">
        <f>'Activity List'!D23</f>
        <v>Ridge Construction</v>
      </c>
      <c r="C23" s="27" t="str">
        <f>'Activity List'!E23</f>
        <v>meter</v>
      </c>
      <c r="D23" s="22"/>
      <c r="E23" s="22"/>
      <c r="F23" s="33">
        <f t="shared" si="0"/>
        <v>0</v>
      </c>
      <c r="G23" s="34">
        <f>IF('Benchmark Rate Survey'!O26&lt;&gt;"",'Benchmark Rate Survey'!O26,F23)</f>
        <v>0</v>
      </c>
      <c r="H23" s="35" t="s">
        <v>391</v>
      </c>
    </row>
    <row r="24" spans="1:8" x14ac:dyDescent="0.45">
      <c r="A24" s="27" t="str">
        <f>'Activity List'!A24</f>
        <v>T1-023</v>
      </c>
      <c r="B24" s="27" t="str">
        <f>'Activity List'!D24</f>
        <v>Manual Weeding</v>
      </c>
      <c r="C24" s="27" t="str">
        <f>'Activity List'!E24</f>
        <v>ha</v>
      </c>
      <c r="D24" s="22"/>
      <c r="E24" s="22"/>
      <c r="F24" s="33">
        <f t="shared" si="0"/>
        <v>0</v>
      </c>
      <c r="G24" s="34">
        <f>IF('Benchmark Rate Survey'!O27&lt;&gt;"",'Benchmark Rate Survey'!O27,F24)</f>
        <v>0</v>
      </c>
      <c r="H24" s="35" t="s">
        <v>391</v>
      </c>
    </row>
    <row r="25" spans="1:8" x14ac:dyDescent="0.45">
      <c r="A25" s="27" t="str">
        <f>'Activity List'!A25</f>
        <v>T1-024</v>
      </c>
      <c r="B25" s="27" t="str">
        <f>'Activity List'!D25</f>
        <v>Chemical Weeding</v>
      </c>
      <c r="C25" s="27" t="str">
        <f>'Activity List'!E25</f>
        <v>ha</v>
      </c>
      <c r="D25" s="22"/>
      <c r="E25" s="22"/>
      <c r="F25" s="33">
        <f t="shared" si="0"/>
        <v>0</v>
      </c>
      <c r="G25" s="34">
        <f>IF('Benchmark Rate Survey'!O28&lt;&gt;"",'Benchmark Rate Survey'!O28,F25)</f>
        <v>0</v>
      </c>
      <c r="H25" s="35" t="s">
        <v>391</v>
      </c>
    </row>
    <row r="26" spans="1:8" x14ac:dyDescent="0.45">
      <c r="A26" s="27" t="str">
        <f>'Activity List'!A26</f>
        <v>T1-025</v>
      </c>
      <c r="B26" s="27" t="str">
        <f>'Activity List'!D26</f>
        <v>Pruning (Matured Coffee)</v>
      </c>
      <c r="C26" s="27" t="str">
        <f>'Activity List'!E26</f>
        <v>tree</v>
      </c>
      <c r="D26" s="22"/>
      <c r="E26" s="22"/>
      <c r="F26" s="33">
        <f t="shared" si="0"/>
        <v>0</v>
      </c>
      <c r="G26" s="34">
        <f>IF('Benchmark Rate Survey'!O29&lt;&gt;"",'Benchmark Rate Survey'!O29,F26)</f>
        <v>0</v>
      </c>
      <c r="H26" s="35" t="s">
        <v>391</v>
      </c>
    </row>
    <row r="27" spans="1:8" x14ac:dyDescent="0.45">
      <c r="A27" s="27" t="str">
        <f>'Activity List'!A27</f>
        <v>T1-026</v>
      </c>
      <c r="B27" s="27" t="str">
        <f>'Activity List'!D27</f>
        <v>Topping (Matured Coffee)</v>
      </c>
      <c r="C27" s="27" t="str">
        <f>'Activity List'!E27</f>
        <v>tree</v>
      </c>
      <c r="D27" s="22"/>
      <c r="E27" s="22"/>
      <c r="F27" s="33">
        <f t="shared" si="0"/>
        <v>0</v>
      </c>
      <c r="G27" s="34">
        <f>IF('Benchmark Rate Survey'!O30&lt;&gt;"",'Benchmark Rate Survey'!O30,F27)</f>
        <v>0</v>
      </c>
      <c r="H27" s="35" t="s">
        <v>391</v>
      </c>
    </row>
    <row r="28" spans="1:8" x14ac:dyDescent="0.45">
      <c r="A28" s="27" t="str">
        <f>'Activity List'!A28</f>
        <v>T1-027</v>
      </c>
      <c r="B28" s="27" t="str">
        <f>'Activity List'!D28</f>
        <v>Handling and Desuckering</v>
      </c>
      <c r="C28" s="27" t="str">
        <f>'Activity List'!E28</f>
        <v>tree</v>
      </c>
      <c r="D28" s="22"/>
      <c r="E28" s="22"/>
      <c r="F28" s="33">
        <f t="shared" si="0"/>
        <v>0</v>
      </c>
      <c r="G28" s="34">
        <f>IF('Benchmark Rate Survey'!O31&lt;&gt;"",'Benchmark Rate Survey'!O31,F28)</f>
        <v>0</v>
      </c>
      <c r="H28" s="35" t="s">
        <v>391</v>
      </c>
    </row>
    <row r="29" spans="1:8" x14ac:dyDescent="0.45">
      <c r="A29" s="27" t="str">
        <f>'Activity List'!A29</f>
        <v>T1-028</v>
      </c>
      <c r="B29" s="27" t="str">
        <f>'Activity List'!D29</f>
        <v>Coffee Tree Support/Staking</v>
      </c>
      <c r="C29" s="27" t="str">
        <f>'Activity List'!E29</f>
        <v>tree</v>
      </c>
      <c r="D29" s="22"/>
      <c r="E29" s="22"/>
      <c r="F29" s="33">
        <f t="shared" si="0"/>
        <v>0</v>
      </c>
      <c r="G29" s="34">
        <f>IF('Benchmark Rate Survey'!O32&lt;&gt;"",'Benchmark Rate Survey'!O32,F29)</f>
        <v>0</v>
      </c>
      <c r="H29" s="35" t="s">
        <v>391</v>
      </c>
    </row>
    <row r="30" spans="1:8" x14ac:dyDescent="0.45">
      <c r="A30" s="27" t="str">
        <f>'Activity List'!A30</f>
        <v>T1-029</v>
      </c>
      <c r="B30" s="27" t="str">
        <f>'Activity List'!D30</f>
        <v>Watchman Tower (Matured Block)</v>
      </c>
      <c r="C30" s="27" t="str">
        <f>'Activity List'!E30</f>
        <v>tower</v>
      </c>
      <c r="D30" s="22"/>
      <c r="E30" s="22"/>
      <c r="F30" s="33">
        <f t="shared" si="0"/>
        <v>0</v>
      </c>
      <c r="G30" s="34">
        <f>IF('Benchmark Rate Survey'!O33&lt;&gt;"",'Benchmark Rate Survey'!O33,F30)</f>
        <v>0</v>
      </c>
      <c r="H30" s="35" t="s">
        <v>391</v>
      </c>
    </row>
    <row r="31" spans="1:8" x14ac:dyDescent="0.45">
      <c r="A31" s="27" t="str">
        <f>'Activity List'!A31</f>
        <v>T1-030</v>
      </c>
      <c r="B31" s="27" t="str">
        <f>'Activity List'!D31</f>
        <v>Infill Peg Preparation</v>
      </c>
      <c r="C31" s="27" t="str">
        <f>'Activity List'!E31</f>
        <v>planting point</v>
      </c>
      <c r="D31" s="22"/>
      <c r="E31" s="22"/>
      <c r="F31" s="33">
        <f t="shared" si="0"/>
        <v>0</v>
      </c>
      <c r="G31" s="34">
        <f>IF('Benchmark Rate Survey'!O34&lt;&gt;"",'Benchmark Rate Survey'!O34,F31)</f>
        <v>0</v>
      </c>
      <c r="H31" s="35" t="s">
        <v>391</v>
      </c>
    </row>
    <row r="32" spans="1:8" x14ac:dyDescent="0.45">
      <c r="A32" s="27" t="str">
        <f>'Activity List'!A32</f>
        <v>T1-031</v>
      </c>
      <c r="B32" s="27" t="str">
        <f>'Activity List'!D32</f>
        <v>Infill Layout and Pegging</v>
      </c>
      <c r="C32" s="27" t="str">
        <f>'Activity List'!E32</f>
        <v>planting point</v>
      </c>
      <c r="D32" s="22"/>
      <c r="E32" s="22"/>
      <c r="F32" s="33">
        <f t="shared" si="0"/>
        <v>0</v>
      </c>
      <c r="G32" s="34">
        <f>IF('Benchmark Rate Survey'!O35&lt;&gt;"",'Benchmark Rate Survey'!O35,F32)</f>
        <v>0</v>
      </c>
      <c r="H32" s="35" t="s">
        <v>391</v>
      </c>
    </row>
    <row r="33" spans="1:8" x14ac:dyDescent="0.45">
      <c r="A33" s="27" t="str">
        <f>'Activity List'!A33</f>
        <v>T1-032</v>
      </c>
      <c r="B33" s="27" t="str">
        <f>'Activity List'!D33</f>
        <v>Infill Hole Digging</v>
      </c>
      <c r="C33" s="27" t="str">
        <f>'Activity List'!E33</f>
        <v>planting point</v>
      </c>
      <c r="D33" s="22"/>
      <c r="E33" s="22"/>
      <c r="F33" s="33">
        <f t="shared" si="0"/>
        <v>0</v>
      </c>
      <c r="G33" s="34">
        <f>IF('Benchmark Rate Survey'!O36&lt;&gt;"",'Benchmark Rate Survey'!O36,F33)</f>
        <v>0</v>
      </c>
      <c r="H33" s="35" t="s">
        <v>391</v>
      </c>
    </row>
    <row r="34" spans="1:8" x14ac:dyDescent="0.45">
      <c r="A34" s="27" t="str">
        <f>'Activity List'!A34</f>
        <v>T1-033</v>
      </c>
      <c r="B34" s="27" t="str">
        <f>'Activity List'!D34</f>
        <v>Infill Hole Refilling</v>
      </c>
      <c r="C34" s="27" t="str">
        <f>'Activity List'!E34</f>
        <v>planting point</v>
      </c>
      <c r="D34" s="22"/>
      <c r="E34" s="22"/>
      <c r="F34" s="33">
        <f t="shared" ref="F34:F65" si="1">IF(OR(D34="",E34=""),0,D34*E34)</f>
        <v>0</v>
      </c>
      <c r="G34" s="34">
        <f>IF('Benchmark Rate Survey'!O37&lt;&gt;"",'Benchmark Rate Survey'!O37,F34)</f>
        <v>0</v>
      </c>
      <c r="H34" s="35" t="s">
        <v>391</v>
      </c>
    </row>
    <row r="35" spans="1:8" x14ac:dyDescent="0.45">
      <c r="A35" s="27" t="str">
        <f>'Activity List'!A35</f>
        <v>T1-034</v>
      </c>
      <c r="B35" s="27" t="str">
        <f>'Activity List'!D35</f>
        <v>Infill Watchman Tower Prep</v>
      </c>
      <c r="C35" s="27" t="str">
        <f>'Activity List'!E35</f>
        <v>tower</v>
      </c>
      <c r="D35" s="22"/>
      <c r="E35" s="22"/>
      <c r="F35" s="33">
        <f t="shared" si="1"/>
        <v>0</v>
      </c>
      <c r="G35" s="34">
        <f>IF('Benchmark Rate Survey'!O38&lt;&gt;"",'Benchmark Rate Survey'!O38,F35)</f>
        <v>0</v>
      </c>
      <c r="H35" s="35" t="s">
        <v>391</v>
      </c>
    </row>
    <row r="36" spans="1:8" x14ac:dyDescent="0.45">
      <c r="A36" s="27" t="str">
        <f>'Activity List'!A36</f>
        <v>T1-035</v>
      </c>
      <c r="B36" s="27" t="str">
        <f>'Activity List'!D36</f>
        <v>Infill Seedling Transport</v>
      </c>
      <c r="C36" s="27" t="str">
        <f>'Activity List'!E36</f>
        <v>seedling</v>
      </c>
      <c r="D36" s="22"/>
      <c r="E36" s="22"/>
      <c r="F36" s="33">
        <f t="shared" si="1"/>
        <v>0</v>
      </c>
      <c r="G36" s="34">
        <f>IF('Benchmark Rate Survey'!O39&lt;&gt;"",'Benchmark Rate Survey'!O39,F36)</f>
        <v>0</v>
      </c>
      <c r="H36" s="35" t="s">
        <v>391</v>
      </c>
    </row>
    <row r="37" spans="1:8" x14ac:dyDescent="0.45">
      <c r="A37" s="27" t="str">
        <f>'Activity List'!A37</f>
        <v>T1-036</v>
      </c>
      <c r="B37" s="27" t="str">
        <f>'Activity List'!D37</f>
        <v>Infill Planting</v>
      </c>
      <c r="C37" s="27" t="str">
        <f>'Activity List'!E37</f>
        <v>seedling</v>
      </c>
      <c r="D37" s="22"/>
      <c r="E37" s="22"/>
      <c r="F37" s="33">
        <f t="shared" si="1"/>
        <v>0</v>
      </c>
      <c r="G37" s="34">
        <f>IF('Benchmark Rate Survey'!O40&lt;&gt;"",'Benchmark Rate Survey'!O40,F37)</f>
        <v>0</v>
      </c>
      <c r="H37" s="35" t="s">
        <v>391</v>
      </c>
    </row>
    <row r="38" spans="1:8" x14ac:dyDescent="0.45">
      <c r="A38" s="27" t="str">
        <f>'Activity List'!A38</f>
        <v>T1-037</v>
      </c>
      <c r="B38" s="27" t="str">
        <f>'Activity List'!D38</f>
        <v>Harvest Watchman Tower Prep</v>
      </c>
      <c r="C38" s="27" t="str">
        <f>'Activity List'!E38</f>
        <v>tower</v>
      </c>
      <c r="D38" s="22"/>
      <c r="E38" s="22"/>
      <c r="F38" s="33">
        <f t="shared" si="1"/>
        <v>0</v>
      </c>
      <c r="G38" s="34">
        <f>IF('Benchmark Rate Survey'!O41&lt;&gt;"",'Benchmark Rate Survey'!O41,F38)</f>
        <v>0</v>
      </c>
      <c r="H38" s="35" t="s">
        <v>391</v>
      </c>
    </row>
    <row r="39" spans="1:8" x14ac:dyDescent="0.45">
      <c r="A39" s="27" t="str">
        <f>'Activity List'!A39</f>
        <v>T1-038</v>
      </c>
      <c r="B39" s="27" t="str">
        <f>'Activity List'!D39</f>
        <v>Drying Bed Material Prep and Transport</v>
      </c>
      <c r="C39" s="27" t="str">
        <f>'Activity List'!E39</f>
        <v>bed</v>
      </c>
      <c r="D39" s="22"/>
      <c r="E39" s="22"/>
      <c r="F39" s="33">
        <f t="shared" si="1"/>
        <v>0</v>
      </c>
      <c r="G39" s="34">
        <f>IF('Benchmark Rate Survey'!O42&lt;&gt;"",'Benchmark Rate Survey'!O42,F39)</f>
        <v>0</v>
      </c>
      <c r="H39" s="35" t="s">
        <v>391</v>
      </c>
    </row>
    <row r="40" spans="1:8" x14ac:dyDescent="0.45">
      <c r="A40" s="27" t="str">
        <f>'Activity List'!A40</f>
        <v>T1-039</v>
      </c>
      <c r="B40" s="27" t="str">
        <f>'Activity List'!D40</f>
        <v>Drying Bed Site Cleaning</v>
      </c>
      <c r="C40" s="27" t="str">
        <f>'Activity List'!E40</f>
        <v>bed</v>
      </c>
      <c r="D40" s="22"/>
      <c r="E40" s="22"/>
      <c r="F40" s="33">
        <f t="shared" si="1"/>
        <v>0</v>
      </c>
      <c r="G40" s="34">
        <f>IF('Benchmark Rate Survey'!O43&lt;&gt;"",'Benchmark Rate Survey'!O43,F40)</f>
        <v>0</v>
      </c>
      <c r="H40" s="35" t="s">
        <v>391</v>
      </c>
    </row>
    <row r="41" spans="1:8" x14ac:dyDescent="0.45">
      <c r="A41" s="27" t="str">
        <f>'Activity List'!A41</f>
        <v>T1-040</v>
      </c>
      <c r="B41" s="27" t="str">
        <f>'Activity List'!D41</f>
        <v>Drying Bed Construction</v>
      </c>
      <c r="C41" s="27" t="str">
        <f>'Activity List'!E41</f>
        <v>bed</v>
      </c>
      <c r="D41" s="22"/>
      <c r="E41" s="22"/>
      <c r="F41" s="33">
        <f t="shared" si="1"/>
        <v>0</v>
      </c>
      <c r="G41" s="34">
        <f>IF('Benchmark Rate Survey'!O44&lt;&gt;"",'Benchmark Rate Survey'!O44,F41)</f>
        <v>0</v>
      </c>
      <c r="H41" s="35" t="s">
        <v>391</v>
      </c>
    </row>
    <row r="42" spans="1:8" x14ac:dyDescent="0.45">
      <c r="A42" s="27" t="str">
        <f>'Activity List'!A42</f>
        <v>T1-041</v>
      </c>
      <c r="B42" s="27" t="str">
        <f>'Activity List'!D42</f>
        <v>Selective Picking, Red Cherry</v>
      </c>
      <c r="C42" s="27" t="str">
        <f>'Activity List'!E42</f>
        <v>kg</v>
      </c>
      <c r="D42" s="22"/>
      <c r="E42" s="22"/>
      <c r="F42" s="33">
        <f t="shared" si="1"/>
        <v>0</v>
      </c>
      <c r="G42" s="34">
        <f>IF('Benchmark Rate Survey'!O45&lt;&gt;"",'Benchmark Rate Survey'!O45,F42)</f>
        <v>0</v>
      </c>
      <c r="H42" s="35" t="s">
        <v>391</v>
      </c>
    </row>
    <row r="43" spans="1:8" x14ac:dyDescent="0.45">
      <c r="A43" s="27" t="str">
        <f>'Activity List'!A43</f>
        <v>T1-042</v>
      </c>
      <c r="B43" s="27" t="str">
        <f>'Activity List'!D43</f>
        <v>Cherry Drying on Bed</v>
      </c>
      <c r="C43" s="27" t="str">
        <f>'Activity List'!E43</f>
        <v>bed</v>
      </c>
      <c r="D43" s="22"/>
      <c r="E43" s="22"/>
      <c r="F43" s="33">
        <f t="shared" si="1"/>
        <v>0</v>
      </c>
      <c r="G43" s="34">
        <f>IF('Benchmark Rate Survey'!O46&lt;&gt;"",'Benchmark Rate Survey'!O46,F43)</f>
        <v>0</v>
      </c>
      <c r="H43" s="35" t="s">
        <v>391</v>
      </c>
    </row>
    <row r="44" spans="1:8" x14ac:dyDescent="0.45">
      <c r="A44" s="27" t="str">
        <f>'Activity List'!A44</f>
        <v>T1-043</v>
      </c>
      <c r="B44" s="27" t="str">
        <f>'Activity List'!D44</f>
        <v>Drying Bed Maintenance</v>
      </c>
      <c r="C44" s="27" t="str">
        <f>'Activity List'!E44</f>
        <v>bed</v>
      </c>
      <c r="D44" s="22"/>
      <c r="E44" s="22"/>
      <c r="F44" s="33">
        <f t="shared" si="1"/>
        <v>0</v>
      </c>
      <c r="G44" s="34">
        <f>IF('Benchmark Rate Survey'!O47&lt;&gt;"",'Benchmark Rate Survey'!O47,F44)</f>
        <v>0</v>
      </c>
      <c r="H44" s="35" t="s">
        <v>391</v>
      </c>
    </row>
    <row r="45" spans="1:8" x14ac:dyDescent="0.45">
      <c r="A45" s="27" t="str">
        <f>'Activity List'!A45</f>
        <v>T1-044</v>
      </c>
      <c r="B45" s="27" t="str">
        <f>'Activity List'!D45</f>
        <v>Weighing and Arranging Dry Coffee</v>
      </c>
      <c r="C45" s="27" t="str">
        <f>'Activity List'!E45</f>
        <v>jute bag</v>
      </c>
      <c r="D45" s="22"/>
      <c r="E45" s="22"/>
      <c r="F45" s="33">
        <f t="shared" si="1"/>
        <v>0</v>
      </c>
      <c r="G45" s="34">
        <f>IF('Benchmark Rate Survey'!O48&lt;&gt;"",'Benchmark Rate Survey'!O48,F45)</f>
        <v>0</v>
      </c>
      <c r="H45" s="35" t="s">
        <v>391</v>
      </c>
    </row>
    <row r="46" spans="1:8" x14ac:dyDescent="0.45">
      <c r="A46" s="27" t="str">
        <f>'Activity List'!A46</f>
        <v>T1-045</v>
      </c>
      <c r="B46" s="27" t="str">
        <f>'Activity List'!D46</f>
        <v>Loading Dry Coffee, Farm 1 to 2</v>
      </c>
      <c r="C46" s="27" t="str">
        <f>'Activity List'!E46</f>
        <v>jute bag</v>
      </c>
      <c r="D46" s="22"/>
      <c r="E46" s="22"/>
      <c r="F46" s="33">
        <f t="shared" si="1"/>
        <v>0</v>
      </c>
      <c r="G46" s="34">
        <f>IF('Benchmark Rate Survey'!O49&lt;&gt;"",'Benchmark Rate Survey'!O49,F46)</f>
        <v>0</v>
      </c>
      <c r="H46" s="35" t="s">
        <v>391</v>
      </c>
    </row>
    <row r="47" spans="1:8" x14ac:dyDescent="0.45">
      <c r="A47" s="27" t="str">
        <f>'Activity List'!A47</f>
        <v>T1-046</v>
      </c>
      <c r="B47" s="27" t="str">
        <f>'Activity List'!D47</f>
        <v>Loading Dry Coffee, Farm to Hulling</v>
      </c>
      <c r="C47" s="27" t="str">
        <f>'Activity List'!E47</f>
        <v>jute bag</v>
      </c>
      <c r="D47" s="22"/>
      <c r="E47" s="22"/>
      <c r="F47" s="33">
        <f t="shared" si="1"/>
        <v>0</v>
      </c>
      <c r="G47" s="34">
        <f>IF('Benchmark Rate Survey'!O50&lt;&gt;"",'Benchmark Rate Survey'!O50,F47)</f>
        <v>0</v>
      </c>
      <c r="H47" s="35" t="s">
        <v>391</v>
      </c>
    </row>
    <row r="48" spans="1:8" x14ac:dyDescent="0.45">
      <c r="A48" s="27" t="str">
        <f>'Activity List'!A48</f>
        <v>T1-047</v>
      </c>
      <c r="B48" s="27" t="str">
        <f>'Activity List'!D48</f>
        <v>Transport Vehicle Rental</v>
      </c>
      <c r="C48" s="27" t="str">
        <f>'Activity List'!E48</f>
        <v>jute bag</v>
      </c>
      <c r="D48" s="22"/>
      <c r="E48" s="22"/>
      <c r="F48" s="33">
        <f t="shared" si="1"/>
        <v>0</v>
      </c>
      <c r="G48" s="34">
        <f>IF('Benchmark Rate Survey'!O51&lt;&gt;"",'Benchmark Rate Survey'!O51,F48)</f>
        <v>0</v>
      </c>
      <c r="H48" s="35" t="s">
        <v>391</v>
      </c>
    </row>
    <row r="49" spans="1:8" x14ac:dyDescent="0.45">
      <c r="A49" s="27" t="str">
        <f>'Activity List'!A49</f>
        <v>T1-048</v>
      </c>
      <c r="B49" s="27" t="str">
        <f>'Activity List'!D49</f>
        <v>Unloading Dry Coffee at Hulling</v>
      </c>
      <c r="C49" s="27" t="str">
        <f>'Activity List'!E49</f>
        <v>jute bag</v>
      </c>
      <c r="D49" s="22"/>
      <c r="E49" s="22"/>
      <c r="F49" s="33">
        <f t="shared" si="1"/>
        <v>0</v>
      </c>
      <c r="G49" s="34">
        <f>IF('Benchmark Rate Survey'!O52&lt;&gt;"",'Benchmark Rate Survey'!O52,F49)</f>
        <v>0</v>
      </c>
      <c r="H49" s="35" t="s">
        <v>391</v>
      </c>
    </row>
    <row r="50" spans="1:8" x14ac:dyDescent="0.45">
      <c r="A50" s="27" t="str">
        <f>'Activity List'!A50</f>
        <v>T1-049</v>
      </c>
      <c r="B50" s="27" t="str">
        <f>'Activity List'!D50</f>
        <v>Hulling of Dry Coffee (incl. VAT)</v>
      </c>
      <c r="C50" s="27" t="str">
        <f>'Activity List'!E50</f>
        <v>jute bag</v>
      </c>
      <c r="D50" s="22"/>
      <c r="E50" s="22"/>
      <c r="F50" s="33">
        <f t="shared" si="1"/>
        <v>0</v>
      </c>
      <c r="G50" s="34">
        <f>IF('Benchmark Rate Survey'!O53&lt;&gt;"",'Benchmark Rate Survey'!O53,F50)</f>
        <v>0</v>
      </c>
      <c r="H50" s="35" t="s">
        <v>391</v>
      </c>
    </row>
    <row r="51" spans="1:8" x14ac:dyDescent="0.45">
      <c r="A51" s="27" t="str">
        <f>'Activity List'!A51</f>
        <v>T1-050</v>
      </c>
      <c r="B51" s="27" t="str">
        <f>'Activity List'!D51</f>
        <v>Unloading at Warehouse</v>
      </c>
      <c r="C51" s="27" t="str">
        <f>'Activity List'!E51</f>
        <v>quintal</v>
      </c>
      <c r="D51" s="22"/>
      <c r="E51" s="22"/>
      <c r="F51" s="33">
        <f t="shared" si="1"/>
        <v>0</v>
      </c>
      <c r="G51" s="34">
        <f>IF('Benchmark Rate Survey'!O54&lt;&gt;"",'Benchmark Rate Survey'!O54,F51)</f>
        <v>0</v>
      </c>
      <c r="H51" s="35" t="s">
        <v>391</v>
      </c>
    </row>
    <row r="52" spans="1:8" x14ac:dyDescent="0.45">
      <c r="A52" s="27" t="str">
        <f>'Activity List'!A52</f>
        <v>T1-051</v>
      </c>
      <c r="B52" s="27" t="str">
        <f>'Activity List'!D52</f>
        <v>Transport Clean Coffee to Addis Ababa</v>
      </c>
      <c r="C52" s="27" t="str">
        <f>'Activity List'!E52</f>
        <v>quintal</v>
      </c>
      <c r="D52" s="22"/>
      <c r="E52" s="22"/>
      <c r="F52" s="33">
        <f t="shared" si="1"/>
        <v>0</v>
      </c>
      <c r="G52" s="34">
        <f>IF('Benchmark Rate Survey'!O55&lt;&gt;"",'Benchmark Rate Survey'!O55,F52)</f>
        <v>0</v>
      </c>
      <c r="H52" s="35" t="s">
        <v>391</v>
      </c>
    </row>
    <row r="53" spans="1:8" x14ac:dyDescent="0.45">
      <c r="A53" s="27" t="str">
        <f>'Activity List'!A53</f>
        <v>T1-052</v>
      </c>
      <c r="B53" s="27" t="str">
        <f>'Activity List'!D53</f>
        <v>Drying Bed Removal</v>
      </c>
      <c r="C53" s="27" t="str">
        <f>'Activity List'!E53</f>
        <v>bed</v>
      </c>
      <c r="D53" s="22"/>
      <c r="E53" s="22"/>
      <c r="F53" s="33">
        <f t="shared" si="1"/>
        <v>0</v>
      </c>
      <c r="G53" s="34">
        <f>IF('Benchmark Rate Survey'!O56&lt;&gt;"",'Benchmark Rate Survey'!O56,F53)</f>
        <v>0</v>
      </c>
      <c r="H53" s="35" t="s">
        <v>391</v>
      </c>
    </row>
    <row r="54" spans="1:8" x14ac:dyDescent="0.45">
      <c r="A54" s="27" t="str">
        <f>'Activity List'!A54</f>
        <v>T2-001</v>
      </c>
      <c r="B54" s="27" t="str">
        <f>'Activity List'!D54</f>
        <v>Harvest Planning</v>
      </c>
      <c r="C54" s="27" t="str">
        <f>'Activity List'!E54</f>
        <v>farm</v>
      </c>
      <c r="D54" s="22"/>
      <c r="E54" s="22"/>
      <c r="F54" s="33">
        <f t="shared" si="1"/>
        <v>0</v>
      </c>
      <c r="G54" s="34">
        <f>IF('Benchmark Rate Survey'!O57&lt;&gt;"",'Benchmark Rate Survey'!O57,F54)</f>
        <v>0</v>
      </c>
      <c r="H54" s="35" t="s">
        <v>391</v>
      </c>
    </row>
    <row r="55" spans="1:8" x14ac:dyDescent="0.45">
      <c r="A55" s="27" t="str">
        <f>'Activity List'!A55</f>
        <v>T2-002</v>
      </c>
      <c r="B55" s="27" t="str">
        <f>'Activity List'!D55</f>
        <v>Labour Mobilisation</v>
      </c>
      <c r="C55" s="27" t="str">
        <f>'Activity List'!E55</f>
        <v>farm</v>
      </c>
      <c r="D55" s="22"/>
      <c r="E55" s="22"/>
      <c r="F55" s="33">
        <f t="shared" si="1"/>
        <v>0</v>
      </c>
      <c r="G55" s="34">
        <f>IF('Benchmark Rate Survey'!O58&lt;&gt;"",'Benchmark Rate Survey'!O58,F55)</f>
        <v>0</v>
      </c>
      <c r="H55" s="35" t="s">
        <v>391</v>
      </c>
    </row>
    <row r="56" spans="1:8" x14ac:dyDescent="0.45">
      <c r="A56" s="27" t="str">
        <f>'Activity List'!A56</f>
        <v>T2-003</v>
      </c>
      <c r="B56" s="27" t="str">
        <f>'Activity List'!D56</f>
        <v>Harvest Supervision</v>
      </c>
      <c r="C56" s="27" t="str">
        <f>'Activity List'!E56</f>
        <v>ha</v>
      </c>
      <c r="D56" s="22"/>
      <c r="E56" s="22"/>
      <c r="F56" s="33">
        <f t="shared" si="1"/>
        <v>0</v>
      </c>
      <c r="G56" s="34">
        <f>IF('Benchmark Rate Survey'!O59&lt;&gt;"",'Benchmark Rate Survey'!O59,F56)</f>
        <v>0</v>
      </c>
      <c r="H56" s="35" t="s">
        <v>391</v>
      </c>
    </row>
    <row r="57" spans="1:8" x14ac:dyDescent="0.45">
      <c r="A57" s="27" t="str">
        <f>'Activity List'!A57</f>
        <v>T2-004</v>
      </c>
      <c r="B57" s="27" t="str">
        <f>'Activity List'!D57</f>
        <v>Daily Production Monitoring</v>
      </c>
      <c r="C57" s="27" t="str">
        <f>'Activity List'!E57</f>
        <v>farm</v>
      </c>
      <c r="D57" s="22"/>
      <c r="E57" s="22"/>
      <c r="F57" s="33">
        <f t="shared" si="1"/>
        <v>0</v>
      </c>
      <c r="G57" s="34">
        <f>IF('Benchmark Rate Survey'!O60&lt;&gt;"",'Benchmark Rate Survey'!O60,F57)</f>
        <v>0</v>
      </c>
      <c r="H57" s="35" t="s">
        <v>391</v>
      </c>
    </row>
    <row r="58" spans="1:8" x14ac:dyDescent="0.45">
      <c r="A58" s="27" t="str">
        <f>'Activity List'!A58</f>
        <v>T2-005</v>
      </c>
      <c r="B58" s="27" t="str">
        <f>'Activity List'!D58</f>
        <v>Quality Monitoring (Harvest)</v>
      </c>
      <c r="C58" s="27" t="str">
        <f>'Activity List'!E58</f>
        <v>farm</v>
      </c>
      <c r="D58" s="22"/>
      <c r="E58" s="22"/>
      <c r="F58" s="33">
        <f t="shared" si="1"/>
        <v>0</v>
      </c>
      <c r="G58" s="34">
        <f>IF('Benchmark Rate Survey'!O61&lt;&gt;"",'Benchmark Rate Survey'!O61,F58)</f>
        <v>0</v>
      </c>
      <c r="H58" s="35" t="s">
        <v>391</v>
      </c>
    </row>
    <row r="59" spans="1:8" x14ac:dyDescent="0.45">
      <c r="A59" s="27" t="str">
        <f>'Activity List'!A59</f>
        <v>T2-006</v>
      </c>
      <c r="B59" s="27" t="str">
        <f>'Activity List'!D59</f>
        <v>Cherry Movement Coordination</v>
      </c>
      <c r="C59" s="27" t="str">
        <f>'Activity List'!E59</f>
        <v>farm</v>
      </c>
      <c r="D59" s="22"/>
      <c r="E59" s="22"/>
      <c r="F59" s="33">
        <f t="shared" si="1"/>
        <v>0</v>
      </c>
      <c r="G59" s="34">
        <f>IF('Benchmark Rate Survey'!O62&lt;&gt;"",'Benchmark Rate Survey'!O62,F59)</f>
        <v>0</v>
      </c>
      <c r="H59" s="35" t="s">
        <v>391</v>
      </c>
    </row>
    <row r="60" spans="1:8" x14ac:dyDescent="0.45">
      <c r="A60" s="27" t="str">
        <f>'Activity List'!A60</f>
        <v>T2-007</v>
      </c>
      <c r="B60" s="27" t="str">
        <f>'Activity List'!D60</f>
        <v>Daily Harvest Reporting</v>
      </c>
      <c r="C60" s="27" t="str">
        <f>'Activity List'!E60</f>
        <v>farm</v>
      </c>
      <c r="D60" s="22"/>
      <c r="E60" s="22"/>
      <c r="F60" s="33">
        <f t="shared" si="1"/>
        <v>0</v>
      </c>
      <c r="G60" s="34">
        <f>IF('Benchmark Rate Survey'!O63&lt;&gt;"",'Benchmark Rate Survey'!O63,F60)</f>
        <v>0</v>
      </c>
      <c r="H60" s="35" t="s">
        <v>391</v>
      </c>
    </row>
    <row r="61" spans="1:8" x14ac:dyDescent="0.45">
      <c r="A61" s="27" t="str">
        <f>'Activity List'!A61</f>
        <v>T2-008</v>
      </c>
      <c r="B61" s="27" t="str">
        <f>'Activity List'!D61</f>
        <v>Yield Reconciliation</v>
      </c>
      <c r="C61" s="27" t="str">
        <f>'Activity List'!E61</f>
        <v>farm</v>
      </c>
      <c r="D61" s="22"/>
      <c r="E61" s="22"/>
      <c r="F61" s="33">
        <f t="shared" si="1"/>
        <v>0</v>
      </c>
      <c r="G61" s="34">
        <f>IF('Benchmark Rate Survey'!O64&lt;&gt;"",'Benchmark Rate Survey'!O64,F61)</f>
        <v>0</v>
      </c>
      <c r="H61" s="35" t="s">
        <v>391</v>
      </c>
    </row>
    <row r="62" spans="1:8" x14ac:dyDescent="0.45">
      <c r="A62" s="27" t="str">
        <f>'Activity List'!A62</f>
        <v>T2-009</v>
      </c>
      <c r="B62" s="27" t="str">
        <f>'Activity List'!D62</f>
        <v>Harvest Close-Out</v>
      </c>
      <c r="C62" s="27" t="str">
        <f>'Activity List'!E62</f>
        <v>farm</v>
      </c>
      <c r="D62" s="22"/>
      <c r="E62" s="22"/>
      <c r="F62" s="33">
        <f t="shared" si="1"/>
        <v>0</v>
      </c>
      <c r="G62" s="34">
        <f>IF('Benchmark Rate Survey'!O65&lt;&gt;"",'Benchmark Rate Survey'!O65,F62)</f>
        <v>0</v>
      </c>
      <c r="H62" s="35" t="s">
        <v>391</v>
      </c>
    </row>
    <row r="63" spans="1:8" x14ac:dyDescent="0.45">
      <c r="A63" s="27" t="str">
        <f>'Activity List'!A63</f>
        <v>T2-010</v>
      </c>
      <c r="B63" s="27" t="str">
        <f>'Activity List'!D63</f>
        <v>Cherry Reception</v>
      </c>
      <c r="C63" s="27" t="str">
        <f>'Activity List'!E63</f>
        <v>farm</v>
      </c>
      <c r="D63" s="22"/>
      <c r="E63" s="22"/>
      <c r="F63" s="33">
        <f t="shared" si="1"/>
        <v>0</v>
      </c>
      <c r="G63" s="34">
        <f>IF('Benchmark Rate Survey'!O66&lt;&gt;"",'Benchmark Rate Survey'!O66,F63)</f>
        <v>0</v>
      </c>
      <c r="H63" s="35" t="s">
        <v>391</v>
      </c>
    </row>
    <row r="64" spans="1:8" x14ac:dyDescent="0.45">
      <c r="A64" s="27" t="str">
        <f>'Activity List'!A64</f>
        <v>T2-011</v>
      </c>
      <c r="B64" s="27" t="str">
        <f>'Activity List'!D64</f>
        <v>Washing Supervision</v>
      </c>
      <c r="C64" s="27" t="str">
        <f>'Activity List'!E64</f>
        <v>farm</v>
      </c>
      <c r="D64" s="22"/>
      <c r="E64" s="22"/>
      <c r="F64" s="33">
        <f t="shared" si="1"/>
        <v>0</v>
      </c>
      <c r="G64" s="34">
        <f>IF('Benchmark Rate Survey'!O67&lt;&gt;"",'Benchmark Rate Survey'!O67,F64)</f>
        <v>0</v>
      </c>
      <c r="H64" s="35" t="s">
        <v>391</v>
      </c>
    </row>
    <row r="65" spans="1:8" x14ac:dyDescent="0.45">
      <c r="A65" s="27" t="str">
        <f>'Activity List'!A65</f>
        <v>T2-012</v>
      </c>
      <c r="B65" s="27" t="str">
        <f>'Activity List'!D65</f>
        <v>Fermentation Supervision</v>
      </c>
      <c r="C65" s="27" t="str">
        <f>'Activity List'!E65</f>
        <v>farm</v>
      </c>
      <c r="D65" s="22"/>
      <c r="E65" s="22"/>
      <c r="F65" s="33">
        <f t="shared" si="1"/>
        <v>0</v>
      </c>
      <c r="G65" s="34">
        <f>IF('Benchmark Rate Survey'!O68&lt;&gt;"",'Benchmark Rate Survey'!O68,F65)</f>
        <v>0</v>
      </c>
      <c r="H65" s="35" t="s">
        <v>391</v>
      </c>
    </row>
    <row r="66" spans="1:8" x14ac:dyDescent="0.45">
      <c r="A66" s="27" t="str">
        <f>'Activity List'!A66</f>
        <v>T2-013</v>
      </c>
      <c r="B66" s="27" t="str">
        <f>'Activity List'!D66</f>
        <v>Drying Supervision</v>
      </c>
      <c r="C66" s="27" t="str">
        <f>'Activity List'!E66</f>
        <v>farm</v>
      </c>
      <c r="D66" s="22"/>
      <c r="E66" s="22"/>
      <c r="F66" s="33">
        <f t="shared" ref="F66:F97" si="2">IF(OR(D66="",E66=""),0,D66*E66)</f>
        <v>0</v>
      </c>
      <c r="G66" s="34">
        <f>IF('Benchmark Rate Survey'!O69&lt;&gt;"",'Benchmark Rate Survey'!O69,F66)</f>
        <v>0</v>
      </c>
      <c r="H66" s="35" t="s">
        <v>391</v>
      </c>
    </row>
    <row r="67" spans="1:8" x14ac:dyDescent="0.45">
      <c r="A67" s="27" t="str">
        <f>'Activity List'!A67</f>
        <v>T2-014</v>
      </c>
      <c r="B67" s="27" t="str">
        <f>'Activity List'!D67</f>
        <v>Moisture Management</v>
      </c>
      <c r="C67" s="27" t="str">
        <f>'Activity List'!E67</f>
        <v>farm</v>
      </c>
      <c r="D67" s="22"/>
      <c r="E67" s="22"/>
      <c r="F67" s="33">
        <f t="shared" si="2"/>
        <v>0</v>
      </c>
      <c r="G67" s="34">
        <f>IF('Benchmark Rate Survey'!O70&lt;&gt;"",'Benchmark Rate Survey'!O70,F67)</f>
        <v>0</v>
      </c>
      <c r="H67" s="35" t="s">
        <v>391</v>
      </c>
    </row>
    <row r="68" spans="1:8" x14ac:dyDescent="0.45">
      <c r="A68" s="27" t="str">
        <f>'Activity List'!A68</f>
        <v>T2-015</v>
      </c>
      <c r="B68" s="27" t="str">
        <f>'Activity List'!D68</f>
        <v>Parchment Storage</v>
      </c>
      <c r="C68" s="27" t="str">
        <f>'Activity List'!E68</f>
        <v>farm</v>
      </c>
      <c r="D68" s="22"/>
      <c r="E68" s="22"/>
      <c r="F68" s="33">
        <f t="shared" si="2"/>
        <v>0</v>
      </c>
      <c r="G68" s="34">
        <f>IF('Benchmark Rate Survey'!O71&lt;&gt;"",'Benchmark Rate Survey'!O71,F68)</f>
        <v>0</v>
      </c>
      <c r="H68" s="35" t="s">
        <v>391</v>
      </c>
    </row>
    <row r="69" spans="1:8" x14ac:dyDescent="0.45">
      <c r="A69" s="27" t="str">
        <f>'Activity List'!A69</f>
        <v>T2-016</v>
      </c>
      <c r="B69" s="27" t="str">
        <f>'Activity List'!D69</f>
        <v>Warehouse Management</v>
      </c>
      <c r="C69" s="27" t="str">
        <f>'Activity List'!E69</f>
        <v>farm</v>
      </c>
      <c r="D69" s="22"/>
      <c r="E69" s="22"/>
      <c r="F69" s="33">
        <f t="shared" si="2"/>
        <v>0</v>
      </c>
      <c r="G69" s="34">
        <f>IF('Benchmark Rate Survey'!O72&lt;&gt;"",'Benchmark Rate Survey'!O72,F69)</f>
        <v>0</v>
      </c>
      <c r="H69" s="35" t="s">
        <v>391</v>
      </c>
    </row>
    <row r="70" spans="1:8" x14ac:dyDescent="0.45">
      <c r="A70" s="27" t="str">
        <f>'Activity List'!A70</f>
        <v>T2-017</v>
      </c>
      <c r="B70" s="27" t="str">
        <f>'Activity List'!D70</f>
        <v>Inventory Reconciliation</v>
      </c>
      <c r="C70" s="27" t="str">
        <f>'Activity List'!E70</f>
        <v>farm</v>
      </c>
      <c r="D70" s="22"/>
      <c r="E70" s="22"/>
      <c r="F70" s="33">
        <f t="shared" si="2"/>
        <v>0</v>
      </c>
      <c r="G70" s="34">
        <f>IF('Benchmark Rate Survey'!O73&lt;&gt;"",'Benchmark Rate Survey'!O73,F70)</f>
        <v>0</v>
      </c>
      <c r="H70" s="35" t="s">
        <v>391</v>
      </c>
    </row>
    <row r="71" spans="1:8" x14ac:dyDescent="0.45">
      <c r="A71" s="27" t="str">
        <f>'Activity List'!A71</f>
        <v>T2-018</v>
      </c>
      <c r="B71" s="27" t="str">
        <f>'Activity List'!D71</f>
        <v>Internal Transport Coordination</v>
      </c>
      <c r="C71" s="27" t="str">
        <f>'Activity List'!E71</f>
        <v>farm</v>
      </c>
      <c r="D71" s="22"/>
      <c r="E71" s="22"/>
      <c r="F71" s="33">
        <f t="shared" si="2"/>
        <v>0</v>
      </c>
      <c r="G71" s="34">
        <f>IF('Benchmark Rate Survey'!O74&lt;&gt;"",'Benchmark Rate Survey'!O74,F71)</f>
        <v>0</v>
      </c>
      <c r="H71" s="35" t="s">
        <v>391</v>
      </c>
    </row>
    <row r="72" spans="1:8" x14ac:dyDescent="0.45">
      <c r="A72" s="27" t="str">
        <f>'Activity List'!A72</f>
        <v>T2-019</v>
      </c>
      <c r="B72" s="27" t="str">
        <f>'Activity List'!D72</f>
        <v>Hulling Supervision</v>
      </c>
      <c r="C72" s="27" t="str">
        <f>'Activity List'!E72</f>
        <v>farm</v>
      </c>
      <c r="D72" s="22"/>
      <c r="E72" s="22"/>
      <c r="F72" s="33">
        <f t="shared" si="2"/>
        <v>0</v>
      </c>
      <c r="G72" s="34">
        <f>IF('Benchmark Rate Survey'!O75&lt;&gt;"",'Benchmark Rate Survey'!O75,F72)</f>
        <v>0</v>
      </c>
      <c r="H72" s="35" t="s">
        <v>391</v>
      </c>
    </row>
    <row r="73" spans="1:8" x14ac:dyDescent="0.45">
      <c r="A73" s="27" t="str">
        <f>'Activity List'!A73</f>
        <v>T2-020</v>
      </c>
      <c r="B73" s="27" t="str">
        <f>'Activity List'!D73</f>
        <v>Stock Management</v>
      </c>
      <c r="C73" s="27" t="str">
        <f>'Activity List'!E73</f>
        <v>farm</v>
      </c>
      <c r="D73" s="22"/>
      <c r="E73" s="22"/>
      <c r="F73" s="33">
        <f t="shared" si="2"/>
        <v>0</v>
      </c>
      <c r="G73" s="34">
        <f>IF('Benchmark Rate Survey'!O76&lt;&gt;"",'Benchmark Rate Survey'!O76,F73)</f>
        <v>0</v>
      </c>
      <c r="H73" s="35" t="s">
        <v>391</v>
      </c>
    </row>
    <row r="74" spans="1:8" x14ac:dyDescent="0.45">
      <c r="A74" s="27" t="str">
        <f>'Activity List'!A74</f>
        <v>T2-021</v>
      </c>
      <c r="B74" s="27" t="str">
        <f>'Activity List'!D74</f>
        <v>Loss Control</v>
      </c>
      <c r="C74" s="27" t="str">
        <f>'Activity List'!E74</f>
        <v>farm</v>
      </c>
      <c r="D74" s="22"/>
      <c r="E74" s="22"/>
      <c r="F74" s="33">
        <f t="shared" si="2"/>
        <v>0</v>
      </c>
      <c r="G74" s="34">
        <f>IF('Benchmark Rate Survey'!O77&lt;&gt;"",'Benchmark Rate Survey'!O77,F74)</f>
        <v>0</v>
      </c>
      <c r="H74" s="35" t="s">
        <v>391</v>
      </c>
    </row>
    <row r="75" spans="1:8" x14ac:dyDescent="0.45">
      <c r="A75" s="27" t="str">
        <f>'Activity List'!A75</f>
        <v>T2-022</v>
      </c>
      <c r="B75" s="27" t="str">
        <f>'Activity List'!D75</f>
        <v>Export Grading Coordination</v>
      </c>
      <c r="C75" s="27" t="str">
        <f>'Activity List'!E75</f>
        <v>farm</v>
      </c>
      <c r="D75" s="22"/>
      <c r="E75" s="22"/>
      <c r="F75" s="33">
        <f t="shared" si="2"/>
        <v>0</v>
      </c>
      <c r="G75" s="34">
        <f>IF('Benchmark Rate Survey'!O78&lt;&gt;"",'Benchmark Rate Survey'!O78,F75)</f>
        <v>0</v>
      </c>
      <c r="H75" s="35" t="s">
        <v>391</v>
      </c>
    </row>
    <row r="76" spans="1:8" x14ac:dyDescent="0.45">
      <c r="A76" s="27" t="str">
        <f>'Activity List'!A76</f>
        <v>T2-023</v>
      </c>
      <c r="B76" s="27" t="str">
        <f>'Activity List'!D76</f>
        <v>Quality Inspection Coordination</v>
      </c>
      <c r="C76" s="27" t="str">
        <f>'Activity List'!E76</f>
        <v>farm</v>
      </c>
      <c r="D76" s="22"/>
      <c r="E76" s="22"/>
      <c r="F76" s="33">
        <f t="shared" si="2"/>
        <v>0</v>
      </c>
      <c r="G76" s="34">
        <f>IF('Benchmark Rate Survey'!O79&lt;&gt;"",'Benchmark Rate Survey'!O79,F76)</f>
        <v>0</v>
      </c>
      <c r="H76" s="35" t="s">
        <v>391</v>
      </c>
    </row>
    <row r="77" spans="1:8" x14ac:dyDescent="0.45">
      <c r="A77" s="27" t="str">
        <f>'Activity List'!A77</f>
        <v>T2-024</v>
      </c>
      <c r="B77" s="27" t="str">
        <f>'Activity List'!D77</f>
        <v>Sample Preparation</v>
      </c>
      <c r="C77" s="27" t="str">
        <f>'Activity List'!E77</f>
        <v>farm</v>
      </c>
      <c r="D77" s="22"/>
      <c r="E77" s="22"/>
      <c r="F77" s="33">
        <f t="shared" si="2"/>
        <v>0</v>
      </c>
      <c r="G77" s="34">
        <f>IF('Benchmark Rate Survey'!O80&lt;&gt;"",'Benchmark Rate Survey'!O80,F77)</f>
        <v>0</v>
      </c>
      <c r="H77" s="35" t="s">
        <v>391</v>
      </c>
    </row>
    <row r="78" spans="1:8" x14ac:dyDescent="0.45">
      <c r="A78" s="27" t="str">
        <f>'Activity List'!A78</f>
        <v>T2-025</v>
      </c>
      <c r="B78" s="27" t="str">
        <f>'Activity List'!D78</f>
        <v>Client Correspondence</v>
      </c>
      <c r="C78" s="27" t="str">
        <f>'Activity List'!E78</f>
        <v>farm</v>
      </c>
      <c r="D78" s="22"/>
      <c r="E78" s="22"/>
      <c r="F78" s="33">
        <f t="shared" si="2"/>
        <v>0</v>
      </c>
      <c r="G78" s="34">
        <f>IF('Benchmark Rate Survey'!O81&lt;&gt;"",'Benchmark Rate Survey'!O81,F78)</f>
        <v>0</v>
      </c>
      <c r="H78" s="35" t="s">
        <v>391</v>
      </c>
    </row>
    <row r="79" spans="1:8" x14ac:dyDescent="0.45">
      <c r="A79" s="27" t="str">
        <f>'Activity List'!A79</f>
        <v>T2-026</v>
      </c>
      <c r="B79" s="27" t="str">
        <f>'Activity List'!D79</f>
        <v>Contract Administration</v>
      </c>
      <c r="C79" s="27" t="str">
        <f>'Activity List'!E79</f>
        <v>farm</v>
      </c>
      <c r="D79" s="22"/>
      <c r="E79" s="22"/>
      <c r="F79" s="33">
        <f t="shared" si="2"/>
        <v>0</v>
      </c>
      <c r="G79" s="34">
        <f>IF('Benchmark Rate Survey'!O82&lt;&gt;"",'Benchmark Rate Survey'!O82,F79)</f>
        <v>0</v>
      </c>
      <c r="H79" s="35" t="s">
        <v>391</v>
      </c>
    </row>
    <row r="80" spans="1:8" x14ac:dyDescent="0.45">
      <c r="A80" s="27" t="str">
        <f>'Activity List'!A80</f>
        <v>T2-027</v>
      </c>
      <c r="B80" s="27" t="str">
        <f>'Activity List'!D80</f>
        <v>Buyer Coordination</v>
      </c>
      <c r="C80" s="27" t="str">
        <f>'Activity List'!E80</f>
        <v>farm</v>
      </c>
      <c r="D80" s="22"/>
      <c r="E80" s="22"/>
      <c r="F80" s="33">
        <f t="shared" si="2"/>
        <v>0</v>
      </c>
      <c r="G80" s="34">
        <f>IF('Benchmark Rate Survey'!O83&lt;&gt;"",'Benchmark Rate Survey'!O83,F80)</f>
        <v>0</v>
      </c>
      <c r="H80" s="35" t="s">
        <v>391</v>
      </c>
    </row>
    <row r="81" spans="1:8" x14ac:dyDescent="0.45">
      <c r="A81" s="27" t="str">
        <f>'Activity List'!A81</f>
        <v>T2-028</v>
      </c>
      <c r="B81" s="27" t="str">
        <f>'Activity List'!D81</f>
        <v>Letters of Credit Coordination</v>
      </c>
      <c r="C81" s="27" t="str">
        <f>'Activity List'!E81</f>
        <v>farm</v>
      </c>
      <c r="D81" s="22"/>
      <c r="E81" s="22"/>
      <c r="F81" s="33">
        <f t="shared" si="2"/>
        <v>0</v>
      </c>
      <c r="G81" s="34">
        <f>IF('Benchmark Rate Survey'!O84&lt;&gt;"",'Benchmark Rate Survey'!O84,F81)</f>
        <v>0</v>
      </c>
      <c r="H81" s="35" t="s">
        <v>391</v>
      </c>
    </row>
    <row r="82" spans="1:8" x14ac:dyDescent="0.45">
      <c r="A82" s="27" t="str">
        <f>'Activity List'!A82</f>
        <v>T2-029</v>
      </c>
      <c r="B82" s="27" t="str">
        <f>'Activity List'!D82</f>
        <v>Export Documentation</v>
      </c>
      <c r="C82" s="27" t="str">
        <f>'Activity List'!E82</f>
        <v>farm</v>
      </c>
      <c r="D82" s="22"/>
      <c r="E82" s="22"/>
      <c r="F82" s="33">
        <f t="shared" si="2"/>
        <v>0</v>
      </c>
      <c r="G82" s="34">
        <f>IF('Benchmark Rate Survey'!O85&lt;&gt;"",'Benchmark Rate Survey'!O85,F82)</f>
        <v>0</v>
      </c>
      <c r="H82" s="35" t="s">
        <v>391</v>
      </c>
    </row>
    <row r="83" spans="1:8" x14ac:dyDescent="0.45">
      <c r="A83" s="27" t="str">
        <f>'Activity List'!A83</f>
        <v>T2-030</v>
      </c>
      <c r="B83" s="27" t="str">
        <f>'Activity List'!D83</f>
        <v>Shipping Coordination</v>
      </c>
      <c r="C83" s="27" t="str">
        <f>'Activity List'!E83</f>
        <v>farm</v>
      </c>
      <c r="D83" s="22"/>
      <c r="E83" s="22"/>
      <c r="F83" s="33">
        <f t="shared" si="2"/>
        <v>0</v>
      </c>
      <c r="G83" s="34">
        <f>IF('Benchmark Rate Survey'!O86&lt;&gt;"",'Benchmark Rate Survey'!O86,F83)</f>
        <v>0</v>
      </c>
      <c r="H83" s="35" t="s">
        <v>391</v>
      </c>
    </row>
    <row r="84" spans="1:8" x14ac:dyDescent="0.45">
      <c r="A84" s="27" t="str">
        <f>'Activity List'!A84</f>
        <v>T2-031</v>
      </c>
      <c r="B84" s="27" t="str">
        <f>'Activity List'!D84</f>
        <v>Export Compliance</v>
      </c>
      <c r="C84" s="27" t="str">
        <f>'Activity List'!E84</f>
        <v>farm</v>
      </c>
      <c r="D84" s="22"/>
      <c r="E84" s="22"/>
      <c r="F84" s="33">
        <f t="shared" si="2"/>
        <v>0</v>
      </c>
      <c r="G84" s="34">
        <f>IF('Benchmark Rate Survey'!O87&lt;&gt;"",'Benchmark Rate Survey'!O87,F84)</f>
        <v>0</v>
      </c>
      <c r="H84" s="35" t="s">
        <v>391</v>
      </c>
    </row>
    <row r="85" spans="1:8" x14ac:dyDescent="0.45">
      <c r="A85" s="27" t="str">
        <f>'Activity List'!A85</f>
        <v>T2-032</v>
      </c>
      <c r="B85" s="27" t="str">
        <f>'Activity List'!D85</f>
        <v>Shipment Follow-Up</v>
      </c>
      <c r="C85" s="27" t="str">
        <f>'Activity List'!E85</f>
        <v>farm</v>
      </c>
      <c r="D85" s="22"/>
      <c r="E85" s="22"/>
      <c r="F85" s="33">
        <f t="shared" si="2"/>
        <v>0</v>
      </c>
      <c r="G85" s="34">
        <f>IF('Benchmark Rate Survey'!O88&lt;&gt;"",'Benchmark Rate Survey'!O88,F85)</f>
        <v>0</v>
      </c>
      <c r="H85" s="35" t="s">
        <v>391</v>
      </c>
    </row>
    <row r="86" spans="1:8" x14ac:dyDescent="0.45">
      <c r="A86" s="27" t="str">
        <f>'Activity List'!A86</f>
        <v>T2-033</v>
      </c>
      <c r="B86" s="27" t="str">
        <f>'Activity List'!D86</f>
        <v>Export Proceeds Receipt and Reconciliation</v>
      </c>
      <c r="C86" s="27" t="str">
        <f>'Activity List'!E86</f>
        <v>farm</v>
      </c>
      <c r="D86" s="22"/>
      <c r="E86" s="22"/>
      <c r="F86" s="33">
        <f t="shared" si="2"/>
        <v>0</v>
      </c>
      <c r="G86" s="34">
        <f>IF('Benchmark Rate Survey'!O89&lt;&gt;"",'Benchmark Rate Survey'!O89,F86)</f>
        <v>0</v>
      </c>
      <c r="H86" s="35" t="s">
        <v>391</v>
      </c>
    </row>
    <row r="87" spans="1:8" x14ac:dyDescent="0.45">
      <c r="A87" s="27" t="str">
        <f>'Activity List'!A87</f>
        <v>T2-034</v>
      </c>
      <c r="B87" s="27" t="str">
        <f>'Activity List'!D87</f>
        <v>Washing Station Rehabilitation</v>
      </c>
      <c r="C87" s="27" t="str">
        <f>'Activity List'!E87</f>
        <v>project</v>
      </c>
      <c r="D87" s="22"/>
      <c r="E87" s="22"/>
      <c r="F87" s="33">
        <f t="shared" si="2"/>
        <v>0</v>
      </c>
      <c r="G87" s="34">
        <f>IF('Benchmark Rate Survey'!O90&lt;&gt;"",'Benchmark Rate Survey'!O90,F87)</f>
        <v>0</v>
      </c>
      <c r="H87" s="35" t="s">
        <v>391</v>
      </c>
    </row>
    <row r="88" spans="1:8" x14ac:dyDescent="0.45">
      <c r="A88" s="27" t="str">
        <f>'Activity List'!A88</f>
        <v>T2-035</v>
      </c>
      <c r="B88" s="27" t="str">
        <f>'Activity List'!D88</f>
        <v>Huller Rehabilitation</v>
      </c>
      <c r="C88" s="27" t="str">
        <f>'Activity List'!E88</f>
        <v>project</v>
      </c>
      <c r="D88" s="22"/>
      <c r="E88" s="22"/>
      <c r="F88" s="33">
        <f t="shared" si="2"/>
        <v>0</v>
      </c>
      <c r="G88" s="34">
        <f>IF('Benchmark Rate Survey'!O91&lt;&gt;"",'Benchmark Rate Survey'!O91,F88)</f>
        <v>0</v>
      </c>
      <c r="H88" s="35" t="s">
        <v>391</v>
      </c>
    </row>
    <row r="89" spans="1:8" x14ac:dyDescent="0.45">
      <c r="A89" s="27" t="str">
        <f>'Activity List'!A89</f>
        <v>T2-036</v>
      </c>
      <c r="B89" s="27" t="str">
        <f>'Activity List'!D89</f>
        <v>Irrigation Systems</v>
      </c>
      <c r="C89" s="27" t="str">
        <f>'Activity List'!E89</f>
        <v>project</v>
      </c>
      <c r="D89" s="22"/>
      <c r="E89" s="22"/>
      <c r="F89" s="33">
        <f t="shared" si="2"/>
        <v>0</v>
      </c>
      <c r="G89" s="34">
        <f>IF('Benchmark Rate Survey'!O92&lt;&gt;"",'Benchmark Rate Survey'!O92,F89)</f>
        <v>0</v>
      </c>
      <c r="H89" s="35" t="s">
        <v>391</v>
      </c>
    </row>
    <row r="90" spans="1:8" x14ac:dyDescent="0.45">
      <c r="A90" s="27" t="str">
        <f>'Activity List'!A90</f>
        <v>T2-037</v>
      </c>
      <c r="B90" s="27" t="str">
        <f>'Activity List'!D90</f>
        <v>On-Farm Water Systems Development</v>
      </c>
      <c r="C90" s="27" t="str">
        <f>'Activity List'!E90</f>
        <v>project</v>
      </c>
      <c r="D90" s="22"/>
      <c r="E90" s="22"/>
      <c r="F90" s="33">
        <f t="shared" si="2"/>
        <v>0</v>
      </c>
      <c r="G90" s="34">
        <f>IF('Benchmark Rate Survey'!O93&lt;&gt;"",'Benchmark Rate Survey'!O93,F90)</f>
        <v>0</v>
      </c>
      <c r="H90" s="35" t="s">
        <v>391</v>
      </c>
    </row>
    <row r="91" spans="1:8" x14ac:dyDescent="0.45">
      <c r="A91" s="27" t="str">
        <f>'Activity List'!A91</f>
        <v>T2-038</v>
      </c>
      <c r="B91" s="27" t="str">
        <f>'Activity List'!D91</f>
        <v>Roads</v>
      </c>
      <c r="C91" s="27" t="str">
        <f>'Activity List'!E91</f>
        <v>project</v>
      </c>
      <c r="D91" s="22"/>
      <c r="E91" s="22"/>
      <c r="F91" s="33">
        <f t="shared" si="2"/>
        <v>0</v>
      </c>
      <c r="G91" s="34">
        <f>IF('Benchmark Rate Survey'!O94&lt;&gt;"",'Benchmark Rate Survey'!O94,F91)</f>
        <v>0</v>
      </c>
      <c r="H91" s="35" t="s">
        <v>391</v>
      </c>
    </row>
    <row r="92" spans="1:8" x14ac:dyDescent="0.45">
      <c r="A92" s="27" t="str">
        <f>'Activity List'!A92</f>
        <v>T2-039</v>
      </c>
      <c r="B92" s="27" t="str">
        <f>'Activity List'!D92</f>
        <v>Buildings</v>
      </c>
      <c r="C92" s="27" t="str">
        <f>'Activity List'!E92</f>
        <v>project</v>
      </c>
      <c r="D92" s="22"/>
      <c r="E92" s="22"/>
      <c r="F92" s="33">
        <f t="shared" si="2"/>
        <v>0</v>
      </c>
      <c r="G92" s="34">
        <f>IF('Benchmark Rate Survey'!O95&lt;&gt;"",'Benchmark Rate Survey'!O95,F92)</f>
        <v>0</v>
      </c>
      <c r="H92" s="35" t="s">
        <v>391</v>
      </c>
    </row>
    <row r="93" spans="1:8" x14ac:dyDescent="0.45">
      <c r="A93" s="27" t="str">
        <f>'Activity List'!A93</f>
        <v>T2-040</v>
      </c>
      <c r="B93" s="27" t="str">
        <f>'Activity List'!D93</f>
        <v>Staff Housing</v>
      </c>
      <c r="C93" s="27" t="str">
        <f>'Activity List'!E93</f>
        <v>project</v>
      </c>
      <c r="D93" s="22"/>
      <c r="E93" s="22"/>
      <c r="F93" s="33">
        <f t="shared" si="2"/>
        <v>0</v>
      </c>
      <c r="G93" s="34">
        <f>IF('Benchmark Rate Survey'!O96&lt;&gt;"",'Benchmark Rate Survey'!O96,F93)</f>
        <v>0</v>
      </c>
      <c r="H93" s="35" t="s">
        <v>391</v>
      </c>
    </row>
    <row r="94" spans="1:8" x14ac:dyDescent="0.45">
      <c r="A94" s="27" t="str">
        <f>'Activity List'!A94</f>
        <v>T2-041</v>
      </c>
      <c r="B94" s="27" t="str">
        <f>'Activity List'!D94</f>
        <v>Workshops</v>
      </c>
      <c r="C94" s="27" t="str">
        <f>'Activity List'!E94</f>
        <v>project</v>
      </c>
      <c r="D94" s="22"/>
      <c r="E94" s="22"/>
      <c r="F94" s="33">
        <f t="shared" si="2"/>
        <v>0</v>
      </c>
      <c r="G94" s="34">
        <f>IF('Benchmark Rate Survey'!O97&lt;&gt;"",'Benchmark Rate Survey'!O97,F94)</f>
        <v>0</v>
      </c>
      <c r="H94" s="35" t="s">
        <v>391</v>
      </c>
    </row>
    <row r="95" spans="1:8" x14ac:dyDescent="0.45">
      <c r="A95" s="27" t="str">
        <f>'Activity List'!A95</f>
        <v>T2-042</v>
      </c>
      <c r="B95" s="27" t="str">
        <f>'Activity List'!D95</f>
        <v>Machinery Procurement</v>
      </c>
      <c r="C95" s="27" t="str">
        <f>'Activity List'!E95</f>
        <v>project</v>
      </c>
      <c r="D95" s="22"/>
      <c r="E95" s="22"/>
      <c r="F95" s="33">
        <f t="shared" si="2"/>
        <v>0</v>
      </c>
      <c r="G95" s="34">
        <f>IF('Benchmark Rate Survey'!O98&lt;&gt;"",'Benchmark Rate Survey'!O98,F95)</f>
        <v>0</v>
      </c>
      <c r="H95" s="35" t="s">
        <v>391</v>
      </c>
    </row>
    <row r="96" spans="1:8" x14ac:dyDescent="0.45">
      <c r="A96" s="27" t="str">
        <f>'Activity List'!A96</f>
        <v>T2-043</v>
      </c>
      <c r="B96" s="27" t="str">
        <f>'Activity List'!D96</f>
        <v>Utilities</v>
      </c>
      <c r="C96" s="27" t="str">
        <f>'Activity List'!E96</f>
        <v>project</v>
      </c>
      <c r="D96" s="22"/>
      <c r="E96" s="22"/>
      <c r="F96" s="33">
        <f t="shared" si="2"/>
        <v>0</v>
      </c>
      <c r="G96" s="34">
        <f>IF('Benchmark Rate Survey'!O99&lt;&gt;"",'Benchmark Rate Survey'!O99,F96)</f>
        <v>0</v>
      </c>
      <c r="H96" s="35" t="s">
        <v>391</v>
      </c>
    </row>
    <row r="97" spans="1:8" x14ac:dyDescent="0.45">
      <c r="A97" s="27" t="str">
        <f>'Activity List'!A97</f>
        <v>T2-044</v>
      </c>
      <c r="B97" s="27" t="str">
        <f>'Activity List'!D97</f>
        <v>Solar Systems (incl. Staff Welfare)</v>
      </c>
      <c r="C97" s="27" t="str">
        <f>'Activity List'!E97</f>
        <v>project</v>
      </c>
      <c r="D97" s="22"/>
      <c r="E97" s="22"/>
      <c r="F97" s="33">
        <f t="shared" si="2"/>
        <v>0</v>
      </c>
      <c r="G97" s="34">
        <f>IF('Benchmark Rate Survey'!O100&lt;&gt;"",'Benchmark Rate Survey'!O100,F97)</f>
        <v>0</v>
      </c>
      <c r="H97" s="35" t="s">
        <v>391</v>
      </c>
    </row>
    <row r="98" spans="1:8" x14ac:dyDescent="0.45">
      <c r="A98" s="27" t="str">
        <f>'Activity List'!A98</f>
        <v>T2-045</v>
      </c>
      <c r="B98" s="27" t="str">
        <f>'Activity List'!D98</f>
        <v>Farm Expansion</v>
      </c>
      <c r="C98" s="27" t="str">
        <f>'Activity List'!E98</f>
        <v>project</v>
      </c>
      <c r="D98" s="22"/>
      <c r="E98" s="22"/>
      <c r="F98" s="33">
        <f t="shared" ref="F98:F129" si="3">IF(OR(D98="",E98=""),0,D98*E98)</f>
        <v>0</v>
      </c>
      <c r="G98" s="34">
        <f>IF('Benchmark Rate Survey'!O101&lt;&gt;"",'Benchmark Rate Survey'!O101,F98)</f>
        <v>0</v>
      </c>
      <c r="H98" s="35" t="s">
        <v>391</v>
      </c>
    </row>
    <row r="99" spans="1:8" x14ac:dyDescent="0.45">
      <c r="A99" s="27" t="str">
        <f>'Activity List'!A99</f>
        <v>T2-046</v>
      </c>
      <c r="B99" s="27" t="str">
        <f>'Activity List'!D99</f>
        <v>New Planting Blocks</v>
      </c>
      <c r="C99" s="27" t="str">
        <f>'Activity List'!E99</f>
        <v>project</v>
      </c>
      <c r="D99" s="22"/>
      <c r="E99" s="22"/>
      <c r="F99" s="33">
        <f t="shared" si="3"/>
        <v>0</v>
      </c>
      <c r="G99" s="34">
        <f>IF('Benchmark Rate Survey'!O102&lt;&gt;"",'Benchmark Rate Survey'!O102,F99)</f>
        <v>0</v>
      </c>
      <c r="H99" s="35" t="s">
        <v>391</v>
      </c>
    </row>
    <row r="100" spans="1:8" x14ac:dyDescent="0.45">
      <c r="A100" s="27" t="str">
        <f>'Activity List'!A100</f>
        <v>T2-047</v>
      </c>
      <c r="B100" s="27" t="str">
        <f>'Activity List'!D100</f>
        <v>Security Infrastructure (incl. Camp Monitoring)</v>
      </c>
      <c r="C100" s="27" t="str">
        <f>'Activity List'!E100</f>
        <v>project</v>
      </c>
      <c r="D100" s="22"/>
      <c r="E100" s="22"/>
      <c r="F100" s="33">
        <f t="shared" si="3"/>
        <v>0</v>
      </c>
      <c r="G100" s="34">
        <f>IF('Benchmark Rate Survey'!O103&lt;&gt;"",'Benchmark Rate Survey'!O103,F100)</f>
        <v>0</v>
      </c>
      <c r="H100" s="35" t="s">
        <v>391</v>
      </c>
    </row>
    <row r="101" spans="1:8" x14ac:dyDescent="0.45">
      <c r="A101" s="27" t="str">
        <f>'Activity List'!A101</f>
        <v>T3-001</v>
      </c>
      <c r="B101" s="27" t="str">
        <f>'Activity List'!D101</f>
        <v>Investment Due Diligence</v>
      </c>
      <c r="C101" s="27" t="str">
        <f>'Activity List'!E101</f>
        <v>assignment</v>
      </c>
      <c r="D101" s="22"/>
      <c r="E101" s="22"/>
      <c r="F101" s="33">
        <f t="shared" si="3"/>
        <v>0</v>
      </c>
      <c r="G101" s="34">
        <f>IF('Benchmark Rate Survey'!O104&lt;&gt;"",'Benchmark Rate Survey'!O104,F101)</f>
        <v>0</v>
      </c>
      <c r="H101" s="35" t="s">
        <v>391</v>
      </c>
    </row>
    <row r="102" spans="1:8" x14ac:dyDescent="0.45">
      <c r="A102" s="27" t="str">
        <f>'Activity List'!A102</f>
        <v>T3-002</v>
      </c>
      <c r="B102" s="27" t="str">
        <f>'Activity List'!D102</f>
        <v>Technical Due Diligence</v>
      </c>
      <c r="C102" s="27" t="str">
        <f>'Activity List'!E102</f>
        <v>assignment</v>
      </c>
      <c r="D102" s="22"/>
      <c r="E102" s="22"/>
      <c r="F102" s="33">
        <f t="shared" si="3"/>
        <v>0</v>
      </c>
      <c r="G102" s="34">
        <f>IF('Benchmark Rate Survey'!O105&lt;&gt;"",'Benchmark Rate Survey'!O105,F102)</f>
        <v>0</v>
      </c>
      <c r="H102" s="35" t="s">
        <v>391</v>
      </c>
    </row>
    <row r="103" spans="1:8" x14ac:dyDescent="0.45">
      <c r="A103" s="27" t="str">
        <f>'Activity List'!A103</f>
        <v>T3-003</v>
      </c>
      <c r="B103" s="27" t="str">
        <f>'Activity List'!D103</f>
        <v>Turnaround Assessments</v>
      </c>
      <c r="C103" s="27" t="str">
        <f>'Activity List'!E103</f>
        <v>assignment</v>
      </c>
      <c r="D103" s="22"/>
      <c r="E103" s="22"/>
      <c r="F103" s="33">
        <f t="shared" si="3"/>
        <v>0</v>
      </c>
      <c r="G103" s="34">
        <f>IF('Benchmark Rate Survey'!O106&lt;&gt;"",'Benchmark Rate Survey'!O106,F103)</f>
        <v>0</v>
      </c>
      <c r="H103" s="35" t="s">
        <v>391</v>
      </c>
    </row>
    <row r="104" spans="1:8" x14ac:dyDescent="0.45">
      <c r="A104" s="27" t="str">
        <f>'Activity List'!A104</f>
        <v>T3-004</v>
      </c>
      <c r="B104" s="27" t="str">
        <f>'Activity List'!D104</f>
        <v>Strategic Reviews</v>
      </c>
      <c r="C104" s="27" t="str">
        <f>'Activity List'!E104</f>
        <v>assignment</v>
      </c>
      <c r="D104" s="22"/>
      <c r="E104" s="22"/>
      <c r="F104" s="33">
        <f t="shared" si="3"/>
        <v>0</v>
      </c>
      <c r="G104" s="34">
        <f>IF('Benchmark Rate Survey'!O107&lt;&gt;"",'Benchmark Rate Survey'!O107,F104)</f>
        <v>0</v>
      </c>
      <c r="H104" s="35" t="s">
        <v>391</v>
      </c>
    </row>
    <row r="105" spans="1:8" x14ac:dyDescent="0.45">
      <c r="A105" s="27" t="str">
        <f>'Activity List'!A105</f>
        <v>T3-005</v>
      </c>
      <c r="B105" s="27" t="str">
        <f>'Activity List'!D105</f>
        <v>Major Procurement</v>
      </c>
      <c r="C105" s="27" t="str">
        <f>'Activity List'!E105</f>
        <v>assignment</v>
      </c>
      <c r="D105" s="22"/>
      <c r="E105" s="22"/>
      <c r="F105" s="33">
        <f t="shared" si="3"/>
        <v>0</v>
      </c>
      <c r="G105" s="34">
        <f>IF('Benchmark Rate Survey'!O108&lt;&gt;"",'Benchmark Rate Survey'!O108,F105)</f>
        <v>0</v>
      </c>
      <c r="H105" s="35" t="s">
        <v>391</v>
      </c>
    </row>
    <row r="106" spans="1:8" x14ac:dyDescent="0.45">
      <c r="A106" s="27" t="str">
        <f>'Activity List'!A106</f>
        <v>T3-006</v>
      </c>
      <c r="B106" s="27" t="str">
        <f>'Activity List'!D106</f>
        <v>Organisational Reviews</v>
      </c>
      <c r="C106" s="27" t="str">
        <f>'Activity List'!E106</f>
        <v>assignment</v>
      </c>
      <c r="D106" s="22"/>
      <c r="E106" s="22"/>
      <c r="F106" s="33">
        <f t="shared" si="3"/>
        <v>0</v>
      </c>
      <c r="G106" s="34">
        <f>IF('Benchmark Rate Survey'!O109&lt;&gt;"",'Benchmark Rate Survey'!O109,F106)</f>
        <v>0</v>
      </c>
      <c r="H106" s="35" t="s">
        <v>391</v>
      </c>
    </row>
    <row r="107" spans="1:8" x14ac:dyDescent="0.45">
      <c r="A107" s="27" t="str">
        <f>'Activity List'!A107</f>
        <v>T3-007</v>
      </c>
      <c r="B107" s="27" t="str">
        <f>'Activity List'!D107</f>
        <v>Performance Audits</v>
      </c>
      <c r="C107" s="27" t="str">
        <f>'Activity List'!E107</f>
        <v>assignment</v>
      </c>
      <c r="D107" s="22"/>
      <c r="E107" s="22"/>
      <c r="F107" s="33">
        <f t="shared" si="3"/>
        <v>0</v>
      </c>
      <c r="G107" s="34">
        <f>IF('Benchmark Rate Survey'!O110&lt;&gt;"",'Benchmark Rate Survey'!O110,F107)</f>
        <v>0</v>
      </c>
      <c r="H107" s="35" t="s">
        <v>391</v>
      </c>
    </row>
    <row r="108" spans="1:8" x14ac:dyDescent="0.45">
      <c r="A108" s="27" t="str">
        <f>'Activity List'!A108</f>
        <v>T3-008</v>
      </c>
      <c r="B108" s="27" t="str">
        <f>'Activity List'!D108</f>
        <v>Recruitment Support</v>
      </c>
      <c r="C108" s="27" t="str">
        <f>'Activity List'!E108</f>
        <v>assignment</v>
      </c>
      <c r="D108" s="22"/>
      <c r="E108" s="22"/>
      <c r="F108" s="33">
        <f t="shared" si="3"/>
        <v>0</v>
      </c>
      <c r="G108" s="34">
        <f>IF('Benchmark Rate Survey'!O111&lt;&gt;"",'Benchmark Rate Survey'!O111,F108)</f>
        <v>0</v>
      </c>
      <c r="H108" s="35" t="s">
        <v>391</v>
      </c>
    </row>
    <row r="109" spans="1:8" x14ac:dyDescent="0.45">
      <c r="A109" s="27" t="str">
        <f>'Activity List'!A109</f>
        <v>T3-009</v>
      </c>
      <c r="B109" s="27" t="str">
        <f>'Activity List'!D109</f>
        <v>Regulatory Coordination and Monitoring</v>
      </c>
      <c r="C109" s="27" t="str">
        <f>'Activity List'!E109</f>
        <v>assignment</v>
      </c>
      <c r="D109" s="22"/>
      <c r="E109" s="22"/>
      <c r="F109" s="33">
        <f t="shared" si="3"/>
        <v>0</v>
      </c>
      <c r="G109" s="34">
        <f>IF('Benchmark Rate Survey'!O112&lt;&gt;"",'Benchmark Rate Survey'!O112,F109)</f>
        <v>0</v>
      </c>
      <c r="H109" s="35" t="s">
        <v>391</v>
      </c>
    </row>
    <row r="110" spans="1:8" x14ac:dyDescent="0.45">
      <c r="A110" s="27" t="str">
        <f>'Activity List'!A110</f>
        <v>T3-010</v>
      </c>
      <c r="B110" s="27" t="str">
        <f>'Activity List'!D110</f>
        <v>Security Assessments</v>
      </c>
      <c r="C110" s="27" t="str">
        <f>'Activity List'!E110</f>
        <v>assignment</v>
      </c>
      <c r="D110" s="22"/>
      <c r="E110" s="22"/>
      <c r="F110" s="33">
        <f t="shared" si="3"/>
        <v>0</v>
      </c>
      <c r="G110" s="34">
        <f>IF('Benchmark Rate Survey'!O113&lt;&gt;"",'Benchmark Rate Survey'!O113,F110)</f>
        <v>0</v>
      </c>
      <c r="H110" s="35" t="s">
        <v>391</v>
      </c>
    </row>
    <row r="111" spans="1:8" x14ac:dyDescent="0.45">
      <c r="A111" s="27" t="str">
        <f>'Activity List'!A111</f>
        <v>T3-011</v>
      </c>
      <c r="B111" s="27" t="str">
        <f>'Activity List'!D111</f>
        <v>Special Investigations</v>
      </c>
      <c r="C111" s="27" t="str">
        <f>'Activity List'!E111</f>
        <v>assignment</v>
      </c>
      <c r="D111" s="22"/>
      <c r="E111" s="22"/>
      <c r="F111" s="33">
        <f t="shared" si="3"/>
        <v>0</v>
      </c>
      <c r="G111" s="34">
        <f>IF('Benchmark Rate Survey'!O114&lt;&gt;"",'Benchmark Rate Survey'!O114,F111)</f>
        <v>0</v>
      </c>
      <c r="H111" s="35" t="s">
        <v>391</v>
      </c>
    </row>
    <row r="112" spans="1:8" x14ac:dyDescent="0.45">
      <c r="A112" s="27" t="str">
        <f>'Activity List'!A112</f>
        <v>T3-012</v>
      </c>
      <c r="B112" s="27" t="str">
        <f>'Activity List'!D112</f>
        <v>Board Reporting</v>
      </c>
      <c r="C112" s="27" t="str">
        <f>'Activity List'!E112</f>
        <v>assignment</v>
      </c>
      <c r="D112" s="22"/>
      <c r="E112" s="22"/>
      <c r="F112" s="33">
        <f t="shared" si="3"/>
        <v>0</v>
      </c>
      <c r="G112" s="34">
        <f>IF('Benchmark Rate Survey'!O115&lt;&gt;"",'Benchmark Rate Survey'!O115,F112)</f>
        <v>0</v>
      </c>
      <c r="H112" s="35" t="s">
        <v>391</v>
      </c>
    </row>
    <row r="113" spans="1:8" x14ac:dyDescent="0.45">
      <c r="A113" s="27" t="str">
        <f>'Activity List'!A113</f>
        <v>T3-013</v>
      </c>
      <c r="B113" s="27" t="str">
        <f>'Activity List'!D113</f>
        <v>Investor Reporting</v>
      </c>
      <c r="C113" s="27" t="str">
        <f>'Activity List'!E113</f>
        <v>assignment</v>
      </c>
      <c r="D113" s="22"/>
      <c r="E113" s="22"/>
      <c r="F113" s="33">
        <f t="shared" si="3"/>
        <v>0</v>
      </c>
      <c r="G113" s="34">
        <f>IF('Benchmark Rate Survey'!O116&lt;&gt;"",'Benchmark Rate Survey'!O116,F113)</f>
        <v>0</v>
      </c>
      <c r="H113" s="35" t="s">
        <v>391</v>
      </c>
    </row>
    <row r="114" spans="1:8" x14ac:dyDescent="0.45">
      <c r="A114" s="27" t="str">
        <f>'Activity List'!A114</f>
        <v>T3-014</v>
      </c>
      <c r="B114" s="27" t="str">
        <f>'Activity List'!D114</f>
        <v>Staff Capability Development</v>
      </c>
      <c r="C114" s="27" t="str">
        <f>'Activity List'!E114</f>
        <v>assignment</v>
      </c>
      <c r="D114" s="22"/>
      <c r="E114" s="22"/>
      <c r="F114" s="33">
        <f t="shared" si="3"/>
        <v>0</v>
      </c>
      <c r="G114" s="34">
        <f>IF('Benchmark Rate Survey'!O117&lt;&gt;"",'Benchmark Rate Survey'!O117,F114)</f>
        <v>0</v>
      </c>
      <c r="H114" s="35" t="s">
        <v>391</v>
      </c>
    </row>
    <row r="115" spans="1:8" x14ac:dyDescent="0.45">
      <c r="A115" s="27" t="str">
        <f>'Activity List'!A115</f>
        <v>T3-015</v>
      </c>
      <c r="B115" s="27" t="str">
        <f>'Activity List'!D115</f>
        <v>Operational Benchmarking</v>
      </c>
      <c r="C115" s="27" t="str">
        <f>'Activity List'!E115</f>
        <v>assignment</v>
      </c>
      <c r="D115" s="22"/>
      <c r="E115" s="22"/>
      <c r="F115" s="33">
        <f t="shared" si="3"/>
        <v>0</v>
      </c>
      <c r="G115" s="34">
        <f>IF('Benchmark Rate Survey'!O118&lt;&gt;"",'Benchmark Rate Survey'!O118,F115)</f>
        <v>0</v>
      </c>
      <c r="H115" s="35" t="s">
        <v>391</v>
      </c>
    </row>
    <row r="116" spans="1:8" x14ac:dyDescent="0.45">
      <c r="A116" s="27" t="str">
        <f>'Activity List'!A116</f>
        <v>T3-016</v>
      </c>
      <c r="B116" s="27" t="str">
        <f>'Activity List'!D116</f>
        <v>Feasibility Studies</v>
      </c>
      <c r="C116" s="27" t="str">
        <f>'Activity List'!E116</f>
        <v>assignment</v>
      </c>
      <c r="D116" s="22"/>
      <c r="E116" s="22"/>
      <c r="F116" s="33">
        <f t="shared" si="3"/>
        <v>0</v>
      </c>
      <c r="G116" s="34">
        <f>IF('Benchmark Rate Survey'!O119&lt;&gt;"",'Benchmark Rate Survey'!O119,F116)</f>
        <v>0</v>
      </c>
      <c r="H116" s="35" t="s">
        <v>391</v>
      </c>
    </row>
    <row r="117" spans="1:8" x14ac:dyDescent="0.45">
      <c r="A117" s="27" t="str">
        <f>'Activity List'!A117</f>
        <v>T3-017</v>
      </c>
      <c r="B117" s="27" t="str">
        <f>'Activity List'!D117</f>
        <v>Owner Representation</v>
      </c>
      <c r="C117" s="27" t="str">
        <f>'Activity List'!E117</f>
        <v>assignment</v>
      </c>
      <c r="D117" s="22"/>
      <c r="E117" s="22"/>
      <c r="F117" s="33">
        <f t="shared" si="3"/>
        <v>0</v>
      </c>
      <c r="G117" s="34">
        <f>IF('Benchmark Rate Survey'!O120&lt;&gt;"",'Benchmark Rate Survey'!O120,F117)</f>
        <v>0</v>
      </c>
      <c r="H117" s="35" t="s">
        <v>391</v>
      </c>
    </row>
    <row r="118" spans="1:8" x14ac:dyDescent="0.45">
      <c r="A118" s="27" t="str">
        <f>'Activity List'!A118</f>
        <v>T3-018</v>
      </c>
      <c r="B118" s="27" t="str">
        <f>'Activity List'!D118</f>
        <v>Coordination of Legal Advisers</v>
      </c>
      <c r="C118" s="27" t="str">
        <f>'Activity List'!E118</f>
        <v>assignment</v>
      </c>
      <c r="D118" s="22"/>
      <c r="E118" s="22"/>
      <c r="F118" s="33">
        <f t="shared" si="3"/>
        <v>0</v>
      </c>
      <c r="G118" s="34">
        <f>IF('Benchmark Rate Survey'!O121&lt;&gt;"",'Benchmark Rate Survey'!O121,F118)</f>
        <v>0</v>
      </c>
      <c r="H118" s="35" t="s">
        <v>391</v>
      </c>
    </row>
    <row r="119" spans="1:8" x14ac:dyDescent="0.45">
      <c r="A119" s="27" t="str">
        <f>'Activity List'!A119</f>
        <v>T3-019</v>
      </c>
      <c r="B119" s="27" t="str">
        <f>'Activity List'!D119</f>
        <v>Coordination of Tax Advisers</v>
      </c>
      <c r="C119" s="27" t="str">
        <f>'Activity List'!E119</f>
        <v>assignment</v>
      </c>
      <c r="D119" s="22"/>
      <c r="E119" s="22"/>
      <c r="F119" s="33">
        <f t="shared" si="3"/>
        <v>0</v>
      </c>
      <c r="G119" s="34">
        <f>IF('Benchmark Rate Survey'!O122&lt;&gt;"",'Benchmark Rate Survey'!O122,F119)</f>
        <v>0</v>
      </c>
      <c r="H119" s="35" t="s">
        <v>391</v>
      </c>
    </row>
    <row r="120" spans="1:8" x14ac:dyDescent="0.45">
      <c r="A120" s="27" t="str">
        <f>'Activity List'!A120</f>
        <v>T3-020</v>
      </c>
      <c r="B120" s="27" t="str">
        <f>'Activity List'!D120</f>
        <v>Governance Oversight</v>
      </c>
      <c r="C120" s="27" t="str">
        <f>'Activity List'!E120</f>
        <v>assignment</v>
      </c>
      <c r="D120" s="22"/>
      <c r="E120" s="22"/>
      <c r="F120" s="33">
        <f t="shared" si="3"/>
        <v>0</v>
      </c>
      <c r="G120" s="34">
        <f>IF('Benchmark Rate Survey'!O123&lt;&gt;"",'Benchmark Rate Survey'!O123,F120)</f>
        <v>0</v>
      </c>
      <c r="H120" s="35" t="s">
        <v>391</v>
      </c>
    </row>
    <row r="121" spans="1:8" x14ac:dyDescent="0.45">
      <c r="A121" s="27" t="str">
        <f>'Activity List'!A121</f>
        <v>T3-021</v>
      </c>
      <c r="B121" s="27" t="str">
        <f>'Activity List'!D121</f>
        <v>Debt Raising Support</v>
      </c>
      <c r="C121" s="27" t="str">
        <f>'Activity List'!E121</f>
        <v>assignment</v>
      </c>
      <c r="D121" s="22"/>
      <c r="E121" s="22"/>
      <c r="F121" s="33">
        <f t="shared" si="3"/>
        <v>0</v>
      </c>
      <c r="G121" s="34">
        <f>IF('Benchmark Rate Survey'!O124&lt;&gt;"",'Benchmark Rate Survey'!O124,F121)</f>
        <v>0</v>
      </c>
      <c r="H121" s="35" t="s">
        <v>391</v>
      </c>
    </row>
    <row r="122" spans="1:8" x14ac:dyDescent="0.45">
      <c r="A122" s="27" t="str">
        <f>'Activity List'!A122</f>
        <v>T3-022</v>
      </c>
      <c r="B122" s="27" t="str">
        <f>'Activity List'!D122</f>
        <v>Lender Coordination</v>
      </c>
      <c r="C122" s="27" t="str">
        <f>'Activity List'!E122</f>
        <v>assignment</v>
      </c>
      <c r="D122" s="22"/>
      <c r="E122" s="22"/>
      <c r="F122" s="33">
        <f t="shared" si="3"/>
        <v>0</v>
      </c>
      <c r="G122" s="34">
        <f>IF('Benchmark Rate Survey'!O125&lt;&gt;"",'Benchmark Rate Survey'!O125,F122)</f>
        <v>0</v>
      </c>
      <c r="H122" s="35" t="s">
        <v>391</v>
      </c>
    </row>
    <row r="123" spans="1:8" x14ac:dyDescent="0.45">
      <c r="A123" s="27" t="str">
        <f>'Activity List'!A123</f>
        <v>T3-023</v>
      </c>
      <c r="B123" s="27" t="str">
        <f>'Activity List'!D123</f>
        <v>Strategic Stakeholder Engagement</v>
      </c>
      <c r="C123" s="27" t="str">
        <f>'Activity List'!E123</f>
        <v>assignment</v>
      </c>
      <c r="D123" s="22"/>
      <c r="E123" s="22"/>
      <c r="F123" s="33">
        <f t="shared" si="3"/>
        <v>0</v>
      </c>
      <c r="G123" s="34">
        <f>IF('Benchmark Rate Survey'!O126&lt;&gt;"",'Benchmark Rate Survey'!O126,F123)</f>
        <v>0</v>
      </c>
      <c r="H123" s="35" t="s">
        <v>391</v>
      </c>
    </row>
    <row r="124" spans="1:8" x14ac:dyDescent="0.45">
      <c r="A124" s="27" t="str">
        <f>'Activity List'!A124</f>
        <v>T3-024</v>
      </c>
      <c r="B124" s="27" t="str">
        <f>'Activity List'!D124</f>
        <v>Reputation Management</v>
      </c>
      <c r="C124" s="27" t="str">
        <f>'Activity List'!E124</f>
        <v>assignment</v>
      </c>
      <c r="D124" s="22"/>
      <c r="E124" s="22"/>
      <c r="F124" s="33">
        <f t="shared" si="3"/>
        <v>0</v>
      </c>
      <c r="G124" s="34">
        <f>IF('Benchmark Rate Survey'!O127&lt;&gt;"",'Benchmark Rate Survey'!O127,F124)</f>
        <v>0</v>
      </c>
      <c r="H124" s="35" t="s">
        <v>391</v>
      </c>
    </row>
    <row r="125" spans="1:8" x14ac:dyDescent="0.45">
      <c r="A125" s="27" t="str">
        <f>'Activity List'!A125</f>
        <v>T3-025</v>
      </c>
      <c r="B125" s="27" t="str">
        <f>'Activity List'!D125</f>
        <v>Strategic Reporting</v>
      </c>
      <c r="C125" s="27" t="str">
        <f>'Activity List'!E125</f>
        <v>assignment</v>
      </c>
      <c r="D125" s="22"/>
      <c r="E125" s="22"/>
      <c r="F125" s="33">
        <f t="shared" si="3"/>
        <v>0</v>
      </c>
      <c r="G125" s="34">
        <f>IF('Benchmark Rate Survey'!O128&lt;&gt;"",'Benchmark Rate Survey'!O128,F125)</f>
        <v>0</v>
      </c>
      <c r="H125" s="35" t="s">
        <v>391</v>
      </c>
    </row>
    <row r="126" spans="1:8" x14ac:dyDescent="0.45">
      <c r="A126" s="27" t="str">
        <f>'Activity List'!A126</f>
        <v>T3-026</v>
      </c>
      <c r="B126" s="27" t="str">
        <f>'Activity List'!D126</f>
        <v>Coordination of Specialist Advisers</v>
      </c>
      <c r="C126" s="27" t="str">
        <f>'Activity List'!E126</f>
        <v>assignment</v>
      </c>
      <c r="D126" s="22"/>
      <c r="E126" s="22"/>
      <c r="F126" s="33">
        <f t="shared" si="3"/>
        <v>0</v>
      </c>
      <c r="G126" s="34">
        <f>IF('Benchmark Rate Survey'!O129&lt;&gt;"",'Benchmark Rate Survey'!O129,F126)</f>
        <v>0</v>
      </c>
      <c r="H126" s="35" t="s">
        <v>391</v>
      </c>
    </row>
    <row r="127" spans="1:8" x14ac:dyDescent="0.45">
      <c r="A127" s="27" t="str">
        <f>'Activity List'!A127</f>
        <v>T3-027</v>
      </c>
      <c r="B127" s="27" t="str">
        <f>'Activity List'!D127</f>
        <v>Soil Sampling and Analysis</v>
      </c>
      <c r="C127" s="27" t="str">
        <f>'Activity List'!E127</f>
        <v>sample</v>
      </c>
      <c r="D127" s="22"/>
      <c r="E127" s="22"/>
      <c r="F127" s="33">
        <f t="shared" si="3"/>
        <v>0</v>
      </c>
      <c r="G127" s="34">
        <f>IF('Benchmark Rate Survey'!O130&lt;&gt;"",'Benchmark Rate Survey'!O130,F127)</f>
        <v>0</v>
      </c>
      <c r="H127" s="35" t="s">
        <v>391</v>
      </c>
    </row>
    <row r="128" spans="1:8" x14ac:dyDescent="0.45">
      <c r="A128" s="27" t="str">
        <f>'Activity List'!A128</f>
        <v>T3-028</v>
      </c>
      <c r="B128" s="27" t="str">
        <f>'Activity List'!D128</f>
        <v>Soil Fertility and Nutrient Status Reporting</v>
      </c>
      <c r="C128" s="27" t="str">
        <f>'Activity List'!E128</f>
        <v>farm</v>
      </c>
      <c r="D128" s="22"/>
      <c r="E128" s="22"/>
      <c r="F128" s="33">
        <f t="shared" si="3"/>
        <v>0</v>
      </c>
      <c r="G128" s="34">
        <f>IF('Benchmark Rate Survey'!O131&lt;&gt;"",'Benchmark Rate Survey'!O131,F128)</f>
        <v>0</v>
      </c>
      <c r="H128" s="35" t="s">
        <v>391</v>
      </c>
    </row>
    <row r="129" spans="1:8" x14ac:dyDescent="0.45">
      <c r="A129" s="27" t="str">
        <f>'Activity List'!A129</f>
        <v>T3-029</v>
      </c>
      <c r="B129" s="27" t="str">
        <f>'Activity List'!D129</f>
        <v>Liming and Soil Amendment Recommendations</v>
      </c>
      <c r="C129" s="27" t="str">
        <f>'Activity List'!E129</f>
        <v>farm</v>
      </c>
      <c r="D129" s="22"/>
      <c r="E129" s="22"/>
      <c r="F129" s="33">
        <f t="shared" si="3"/>
        <v>0</v>
      </c>
      <c r="G129" s="34">
        <f>IF('Benchmark Rate Survey'!O132&lt;&gt;"",'Benchmark Rate Survey'!O132,F129)</f>
        <v>0</v>
      </c>
      <c r="H129" s="35" t="s">
        <v>391</v>
      </c>
    </row>
    <row r="130" spans="1:8" x14ac:dyDescent="0.45">
      <c r="A130" s="27" t="str">
        <f>'Activity List'!A130</f>
        <v>T3-030</v>
      </c>
      <c r="B130" s="27" t="str">
        <f>'Activity List'!D130</f>
        <v>GPS Farm Boundary and Block Mapping</v>
      </c>
      <c r="C130" s="27" t="str">
        <f>'Activity List'!E130</f>
        <v>farm</v>
      </c>
      <c r="D130" s="22"/>
      <c r="E130" s="22"/>
      <c r="F130" s="33">
        <f t="shared" ref="F130:F161" si="4">IF(OR(D130="",E130=""),0,D130*E130)</f>
        <v>0</v>
      </c>
      <c r="G130" s="34">
        <f>IF('Benchmark Rate Survey'!O133&lt;&gt;"",'Benchmark Rate Survey'!O133,F130)</f>
        <v>0</v>
      </c>
      <c r="H130" s="35" t="s">
        <v>391</v>
      </c>
    </row>
    <row r="131" spans="1:8" x14ac:dyDescent="0.45">
      <c r="A131" s="27" t="str">
        <f>'Activity List'!A131</f>
        <v>T3-031</v>
      </c>
      <c r="B131" s="27" t="str">
        <f>'Activity List'!D131</f>
        <v>GIS Layering (Soil, Slope, Drainage, Shade, Productivity)</v>
      </c>
      <c r="C131" s="27" t="str">
        <f>'Activity List'!E131</f>
        <v>farm</v>
      </c>
      <c r="D131" s="22"/>
      <c r="E131" s="22"/>
      <c r="F131" s="33">
        <f t="shared" si="4"/>
        <v>0</v>
      </c>
      <c r="G131" s="34">
        <f>IF('Benchmark Rate Survey'!O134&lt;&gt;"",'Benchmark Rate Survey'!O134,F131)</f>
        <v>0</v>
      </c>
      <c r="H131" s="35" t="s">
        <v>391</v>
      </c>
    </row>
    <row r="132" spans="1:8" x14ac:dyDescent="0.45">
      <c r="A132" s="27" t="str">
        <f>'Activity List'!A132</f>
        <v>T3-032</v>
      </c>
      <c r="B132" s="27" t="str">
        <f>'Activity List'!D132</f>
        <v>Weather Station Installation and Management</v>
      </c>
      <c r="C132" s="27" t="str">
        <f>'Activity List'!E132</f>
        <v>farm</v>
      </c>
      <c r="D132" s="22"/>
      <c r="E132" s="22"/>
      <c r="F132" s="33">
        <f t="shared" si="4"/>
        <v>0</v>
      </c>
      <c r="G132" s="34">
        <f>IF('Benchmark Rate Survey'!O135&lt;&gt;"",'Benchmark Rate Survey'!O135,F132)</f>
        <v>0</v>
      </c>
      <c r="H132" s="35" t="s">
        <v>391</v>
      </c>
    </row>
    <row r="133" spans="1:8" x14ac:dyDescent="0.45">
      <c r="A133" s="27" t="str">
        <f>'Activity List'!A133</f>
        <v>T3-033</v>
      </c>
      <c r="B133" s="27" t="str">
        <f>'Activity List'!D133</f>
        <v>Farm Operating Manuals and SOPs</v>
      </c>
      <c r="C133" s="27" t="str">
        <f>'Activity List'!E133</f>
        <v>farm</v>
      </c>
      <c r="D133" s="22"/>
      <c r="E133" s="22"/>
      <c r="F133" s="33">
        <f t="shared" si="4"/>
        <v>0</v>
      </c>
      <c r="G133" s="34">
        <f>IF('Benchmark Rate Survey'!O136&lt;&gt;"",'Benchmark Rate Survey'!O136,F133)</f>
        <v>0</v>
      </c>
      <c r="H133" s="35" t="s">
        <v>391</v>
      </c>
    </row>
    <row r="134" spans="1:8" x14ac:dyDescent="0.45">
      <c r="A134" s="27" t="str">
        <f>'Activity List'!A134</f>
        <v>T3-034</v>
      </c>
      <c r="B134" s="27" t="str">
        <f>'Activity List'!D134</f>
        <v>SpiralLabs Cupping, Grading and Quality Control</v>
      </c>
      <c r="C134" s="27" t="str">
        <f>'Activity List'!E134</f>
        <v>farm</v>
      </c>
      <c r="D134" s="22"/>
      <c r="E134" s="22"/>
      <c r="F134" s="33">
        <f t="shared" si="4"/>
        <v>0</v>
      </c>
      <c r="G134" s="34">
        <f>IF('Benchmark Rate Survey'!O137&lt;&gt;"",'Benchmark Rate Survey'!O137,F134)</f>
        <v>0</v>
      </c>
      <c r="H134" s="35" t="s">
        <v>391</v>
      </c>
    </row>
    <row r="135" spans="1:8" x14ac:dyDescent="0.45">
      <c r="A135" s="27" t="str">
        <f>'Activity List'!A135</f>
        <v>T3-035</v>
      </c>
      <c r="B135" s="27" t="str">
        <f>'Activity List'!D135</f>
        <v>Buyer Hosting at SpiralLabs</v>
      </c>
      <c r="C135" s="27" t="str">
        <f>'Activity List'!E135</f>
        <v>event</v>
      </c>
      <c r="D135" s="22"/>
      <c r="E135" s="22"/>
      <c r="F135" s="33">
        <f t="shared" si="4"/>
        <v>0</v>
      </c>
      <c r="G135" s="34">
        <f>IF('Benchmark Rate Survey'!O138&lt;&gt;"",'Benchmark Rate Survey'!O138,F135)</f>
        <v>0</v>
      </c>
      <c r="H135" s="35" t="s">
        <v>391</v>
      </c>
    </row>
    <row r="137" spans="1:8" ht="43.5" customHeight="1" x14ac:dyDescent="0.45">
      <c r="A137" s="5" t="s">
        <v>392</v>
      </c>
      <c r="B137" s="5"/>
      <c r="C137" s="5"/>
      <c r="D137" s="5"/>
      <c r="E137" s="5"/>
      <c r="F137" s="5"/>
      <c r="G137" s="5"/>
      <c r="H137" s="5"/>
    </row>
  </sheetData>
  <mergeCells count="1">
    <mergeCell ref="A137:H13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zoomScaleNormal="100" workbookViewId="0">
      <pane ySplit="1" topLeftCell="A2" activePane="bottomLeft" state="frozen"/>
      <selection pane="bottomLeft"/>
    </sheetView>
  </sheetViews>
  <sheetFormatPr defaultColWidth="8.6640625" defaultRowHeight="14.25" x14ac:dyDescent="0.45"/>
  <cols>
    <col min="1" max="1" width="12" customWidth="1"/>
    <col min="2" max="2" width="34" customWidth="1"/>
    <col min="3" max="3" width="14" customWidth="1"/>
    <col min="4" max="4" width="16" customWidth="1"/>
    <col min="5" max="5" width="34" customWidth="1"/>
  </cols>
  <sheetData>
    <row r="1" spans="1:5" ht="30" customHeight="1" x14ac:dyDescent="0.45">
      <c r="A1" s="15" t="s">
        <v>393</v>
      </c>
      <c r="B1" s="15" t="s">
        <v>394</v>
      </c>
      <c r="C1" s="15" t="s">
        <v>372</v>
      </c>
      <c r="D1" s="15" t="s">
        <v>395</v>
      </c>
      <c r="E1" s="15" t="s">
        <v>390</v>
      </c>
    </row>
    <row r="2" spans="1:5" x14ac:dyDescent="0.45">
      <c r="A2" s="22"/>
      <c r="B2" s="22"/>
      <c r="C2" s="22"/>
      <c r="D2" s="36"/>
      <c r="E2" s="18" t="s">
        <v>396</v>
      </c>
    </row>
    <row r="3" spans="1:5" x14ac:dyDescent="0.45">
      <c r="A3" s="22"/>
      <c r="B3" s="22"/>
      <c r="C3" s="22"/>
      <c r="D3" s="36"/>
      <c r="E3" s="18" t="s">
        <v>396</v>
      </c>
    </row>
    <row r="4" spans="1:5" x14ac:dyDescent="0.45">
      <c r="A4" s="22"/>
      <c r="B4" s="22"/>
      <c r="C4" s="22"/>
      <c r="D4" s="36"/>
      <c r="E4" s="18" t="s">
        <v>396</v>
      </c>
    </row>
    <row r="5" spans="1:5" x14ac:dyDescent="0.45">
      <c r="A5" s="22"/>
      <c r="B5" s="22"/>
      <c r="C5" s="22"/>
      <c r="D5" s="36"/>
      <c r="E5" s="18" t="s">
        <v>396</v>
      </c>
    </row>
    <row r="6" spans="1:5" x14ac:dyDescent="0.45">
      <c r="A6" s="22"/>
      <c r="B6" s="22"/>
      <c r="C6" s="22"/>
      <c r="D6" s="36"/>
      <c r="E6" s="18" t="s">
        <v>396</v>
      </c>
    </row>
    <row r="7" spans="1:5" x14ac:dyDescent="0.45">
      <c r="A7" s="22"/>
      <c r="B7" s="22"/>
      <c r="C7" s="22"/>
      <c r="D7" s="36"/>
      <c r="E7" s="18" t="s">
        <v>396</v>
      </c>
    </row>
    <row r="8" spans="1:5" x14ac:dyDescent="0.45">
      <c r="A8" s="22"/>
      <c r="B8" s="22"/>
      <c r="C8" s="22"/>
      <c r="D8" s="36"/>
      <c r="E8" s="18" t="s">
        <v>396</v>
      </c>
    </row>
    <row r="9" spans="1:5" x14ac:dyDescent="0.45">
      <c r="A9" s="22"/>
      <c r="B9" s="22"/>
      <c r="C9" s="22"/>
      <c r="D9" s="36"/>
      <c r="E9" s="18" t="s">
        <v>396</v>
      </c>
    </row>
    <row r="10" spans="1:5" x14ac:dyDescent="0.45">
      <c r="A10" s="22"/>
      <c r="B10" s="22"/>
      <c r="C10" s="22"/>
      <c r="D10" s="36"/>
      <c r="E10" s="18" t="s">
        <v>396</v>
      </c>
    </row>
    <row r="11" spans="1:5" x14ac:dyDescent="0.45">
      <c r="A11" s="22"/>
      <c r="B11" s="22"/>
      <c r="C11" s="22"/>
      <c r="D11" s="36"/>
      <c r="E11" s="18" t="s">
        <v>396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zoomScaleNormal="100" workbookViewId="0">
      <pane ySplit="1" topLeftCell="A2" activePane="bottomLeft" state="frozen"/>
      <selection pane="bottomLeft"/>
    </sheetView>
  </sheetViews>
  <sheetFormatPr defaultColWidth="8.6640625" defaultRowHeight="14.25" x14ac:dyDescent="0.45"/>
  <cols>
    <col min="1" max="1" width="12" customWidth="1"/>
    <col min="2" max="2" width="40" customWidth="1"/>
    <col min="3" max="3" width="16" customWidth="1"/>
    <col min="4" max="4" width="18" customWidth="1"/>
    <col min="5" max="5" width="34" customWidth="1"/>
  </cols>
  <sheetData>
    <row r="1" spans="1:5" ht="30" customHeight="1" x14ac:dyDescent="0.45">
      <c r="A1" s="15" t="s">
        <v>397</v>
      </c>
      <c r="B1" s="15" t="s">
        <v>398</v>
      </c>
      <c r="C1" s="15" t="s">
        <v>372</v>
      </c>
      <c r="D1" s="15" t="s">
        <v>399</v>
      </c>
      <c r="E1" s="15" t="s">
        <v>390</v>
      </c>
    </row>
    <row r="2" spans="1:5" x14ac:dyDescent="0.45">
      <c r="A2" s="22"/>
      <c r="B2" s="22"/>
      <c r="C2" s="22"/>
      <c r="D2" s="36"/>
      <c r="E2" s="18" t="s">
        <v>400</v>
      </c>
    </row>
    <row r="3" spans="1:5" x14ac:dyDescent="0.45">
      <c r="A3" s="22"/>
      <c r="B3" s="22"/>
      <c r="C3" s="22"/>
      <c r="D3" s="36"/>
      <c r="E3" s="18" t="s">
        <v>400</v>
      </c>
    </row>
    <row r="4" spans="1:5" x14ac:dyDescent="0.45">
      <c r="A4" s="22"/>
      <c r="B4" s="22"/>
      <c r="C4" s="22"/>
      <c r="D4" s="36"/>
      <c r="E4" s="18" t="s">
        <v>400</v>
      </c>
    </row>
    <row r="5" spans="1:5" x14ac:dyDescent="0.45">
      <c r="A5" s="22"/>
      <c r="B5" s="22"/>
      <c r="C5" s="22"/>
      <c r="D5" s="36"/>
      <c r="E5" s="18" t="s">
        <v>400</v>
      </c>
    </row>
    <row r="6" spans="1:5" x14ac:dyDescent="0.45">
      <c r="A6" s="22"/>
      <c r="B6" s="22"/>
      <c r="C6" s="22"/>
      <c r="D6" s="36"/>
      <c r="E6" s="18" t="s">
        <v>400</v>
      </c>
    </row>
    <row r="7" spans="1:5" x14ac:dyDescent="0.45">
      <c r="A7" s="22"/>
      <c r="B7" s="22"/>
      <c r="C7" s="22"/>
      <c r="D7" s="36"/>
      <c r="E7" s="18" t="s">
        <v>400</v>
      </c>
    </row>
    <row r="8" spans="1:5" x14ac:dyDescent="0.45">
      <c r="A8" s="22"/>
      <c r="B8" s="22"/>
      <c r="C8" s="22"/>
      <c r="D8" s="36"/>
      <c r="E8" s="18" t="s">
        <v>400</v>
      </c>
    </row>
    <row r="9" spans="1:5" x14ac:dyDescent="0.45">
      <c r="A9" s="22"/>
      <c r="B9" s="22"/>
      <c r="C9" s="22"/>
      <c r="D9" s="36"/>
      <c r="E9" s="18" t="s">
        <v>400</v>
      </c>
    </row>
    <row r="10" spans="1:5" x14ac:dyDescent="0.45">
      <c r="A10" s="22"/>
      <c r="B10" s="22"/>
      <c r="C10" s="22"/>
      <c r="D10" s="36"/>
      <c r="E10" s="18" t="s">
        <v>400</v>
      </c>
    </row>
    <row r="11" spans="1:5" x14ac:dyDescent="0.45">
      <c r="A11" s="22"/>
      <c r="B11" s="22"/>
      <c r="C11" s="22"/>
      <c r="D11" s="36"/>
      <c r="E11" s="18" t="s">
        <v>400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55"/>
  <sheetViews>
    <sheetView zoomScaleNormal="100" workbookViewId="0"/>
  </sheetViews>
  <sheetFormatPr defaultColWidth="8.6640625" defaultRowHeight="14.25" x14ac:dyDescent="0.45"/>
  <cols>
    <col min="1" max="1" width="4" customWidth="1"/>
    <col min="2" max="2" width="32" customWidth="1"/>
    <col min="3" max="3" width="14" customWidth="1"/>
    <col min="4" max="9" width="16" customWidth="1"/>
    <col min="10" max="10" width="14" customWidth="1"/>
    <col min="11" max="12" width="16" customWidth="1"/>
    <col min="13" max="13" width="18" customWidth="1"/>
  </cols>
  <sheetData>
    <row r="1" spans="2:5" ht="17.649999999999999" x14ac:dyDescent="0.5">
      <c r="B1" s="7" t="s">
        <v>401</v>
      </c>
    </row>
    <row r="2" spans="2:5" ht="30" customHeight="1" x14ac:dyDescent="0.45">
      <c r="B2" s="5" t="s">
        <v>402</v>
      </c>
      <c r="C2" s="5"/>
      <c r="D2" s="5"/>
      <c r="E2" s="5"/>
    </row>
    <row r="4" spans="2:5" x14ac:dyDescent="0.45">
      <c r="B4" s="10" t="s">
        <v>403</v>
      </c>
    </row>
    <row r="5" spans="2:5" x14ac:dyDescent="0.45">
      <c r="B5" s="16" t="s">
        <v>404</v>
      </c>
      <c r="C5" s="36"/>
    </row>
    <row r="7" spans="2:5" x14ac:dyDescent="0.45">
      <c r="B7" s="10" t="s">
        <v>405</v>
      </c>
    </row>
    <row r="8" spans="2:5" ht="30" customHeight="1" x14ac:dyDescent="0.45">
      <c r="B8" s="15" t="s">
        <v>406</v>
      </c>
      <c r="C8" s="15" t="s">
        <v>407</v>
      </c>
      <c r="D8" s="15" t="s">
        <v>408</v>
      </c>
    </row>
    <row r="9" spans="2:5" x14ac:dyDescent="0.45">
      <c r="B9" s="16" t="s">
        <v>409</v>
      </c>
      <c r="C9" s="36"/>
      <c r="D9" s="37"/>
    </row>
    <row r="10" spans="2:5" x14ac:dyDescent="0.45">
      <c r="B10" s="16" t="s">
        <v>410</v>
      </c>
      <c r="C10" s="36"/>
      <c r="D10" s="37"/>
    </row>
    <row r="11" spans="2:5" x14ac:dyDescent="0.45">
      <c r="B11" s="16" t="s">
        <v>411</v>
      </c>
      <c r="C11" s="36"/>
      <c r="D11" s="37"/>
    </row>
    <row r="12" spans="2:5" x14ac:dyDescent="0.45">
      <c r="B12" s="16" t="s">
        <v>412</v>
      </c>
      <c r="C12" s="36"/>
      <c r="D12" s="37"/>
    </row>
    <row r="13" spans="2:5" x14ac:dyDescent="0.45">
      <c r="B13" s="16" t="s">
        <v>413</v>
      </c>
      <c r="C13" s="36"/>
      <c r="D13" s="37"/>
    </row>
    <row r="14" spans="2:5" x14ac:dyDescent="0.45">
      <c r="B14" s="16" t="s">
        <v>414</v>
      </c>
      <c r="C14" s="36"/>
      <c r="D14" s="37"/>
    </row>
    <row r="16" spans="2:5" x14ac:dyDescent="0.45">
      <c r="B16" s="10" t="s">
        <v>415</v>
      </c>
    </row>
    <row r="17" spans="2:13" ht="30" customHeight="1" x14ac:dyDescent="0.45">
      <c r="B17" s="15" t="s">
        <v>416</v>
      </c>
      <c r="C17" s="15" t="s">
        <v>417</v>
      </c>
      <c r="D17" s="15" t="s">
        <v>418</v>
      </c>
      <c r="E17" s="15" t="s">
        <v>200</v>
      </c>
      <c r="F17" s="15" t="s">
        <v>419</v>
      </c>
      <c r="G17" s="15" t="s">
        <v>250</v>
      </c>
      <c r="H17" s="15" t="s">
        <v>420</v>
      </c>
      <c r="I17" s="15" t="s">
        <v>421</v>
      </c>
      <c r="J17" s="15" t="s">
        <v>422</v>
      </c>
      <c r="K17" s="15" t="s">
        <v>423</v>
      </c>
      <c r="L17" s="15" t="s">
        <v>424</v>
      </c>
      <c r="M17" s="15" t="s">
        <v>425</v>
      </c>
    </row>
    <row r="18" spans="2:13" x14ac:dyDescent="0.45">
      <c r="B18" s="38">
        <v>1</v>
      </c>
      <c r="C18" s="39">
        <f>EDATE(Master!$B$3,0)</f>
        <v>0</v>
      </c>
      <c r="D18" s="33">
        <f t="shared" ref="D18:D53" si="0">IF(OR($D$9="",B18&lt;$D$9),0,$C$9/12)</f>
        <v>0</v>
      </c>
      <c r="E18" s="33">
        <f t="shared" ref="E18:E53" si="1">IF(OR($D$10="",B18&lt;$D$10),0,$C$10/12)</f>
        <v>0</v>
      </c>
      <c r="F18" s="33">
        <f t="shared" ref="F18:F53" si="2">IF(OR($D$11="",B18&lt;$D$11),0,$C$11/12)</f>
        <v>0</v>
      </c>
      <c r="G18" s="33">
        <f t="shared" ref="G18:G53" si="3">IF(OR($D$12="",B18&lt;$D$12),0,$C$12/12)</f>
        <v>0</v>
      </c>
      <c r="H18" s="33">
        <f t="shared" ref="H18:H53" si="4">IF(OR($D$13="",B18&lt;$D$13),0,$C$13/12)</f>
        <v>0</v>
      </c>
      <c r="I18" s="33">
        <f t="shared" ref="I18:I53" si="5">IF(OR($D$14="",B18&lt;$D$14),0,$C$14/12)</f>
        <v>0</v>
      </c>
      <c r="J18" s="33">
        <f t="shared" ref="J18:J53" si="6">IF($C$5="",0,$C$5/12)</f>
        <v>0</v>
      </c>
      <c r="K18" s="33">
        <f t="shared" ref="K18:K53" si="7">SUM(D18:I18)</f>
        <v>0</v>
      </c>
      <c r="L18" s="40">
        <f t="shared" ref="L18:L53" si="8">J18+K18</f>
        <v>0</v>
      </c>
      <c r="M18" s="33">
        <f>L18</f>
        <v>0</v>
      </c>
    </row>
    <row r="19" spans="2:13" x14ac:dyDescent="0.45">
      <c r="B19" s="38">
        <v>2</v>
      </c>
      <c r="C19" s="39">
        <f>EDATE(Master!$B$3,1)</f>
        <v>31</v>
      </c>
      <c r="D19" s="33">
        <f t="shared" si="0"/>
        <v>0</v>
      </c>
      <c r="E19" s="33">
        <f t="shared" si="1"/>
        <v>0</v>
      </c>
      <c r="F19" s="33">
        <f t="shared" si="2"/>
        <v>0</v>
      </c>
      <c r="G19" s="33">
        <f t="shared" si="3"/>
        <v>0</v>
      </c>
      <c r="H19" s="33">
        <f t="shared" si="4"/>
        <v>0</v>
      </c>
      <c r="I19" s="33">
        <f t="shared" si="5"/>
        <v>0</v>
      </c>
      <c r="J19" s="33">
        <f t="shared" si="6"/>
        <v>0</v>
      </c>
      <c r="K19" s="33">
        <f t="shared" si="7"/>
        <v>0</v>
      </c>
      <c r="L19" s="40">
        <f t="shared" si="8"/>
        <v>0</v>
      </c>
      <c r="M19" s="33">
        <f t="shared" ref="M19:M53" si="9">M18+L19</f>
        <v>0</v>
      </c>
    </row>
    <row r="20" spans="2:13" x14ac:dyDescent="0.45">
      <c r="B20" s="38">
        <v>3</v>
      </c>
      <c r="C20" s="39">
        <f>EDATE(Master!$B$3,2)</f>
        <v>60</v>
      </c>
      <c r="D20" s="33">
        <f t="shared" si="0"/>
        <v>0</v>
      </c>
      <c r="E20" s="33">
        <f t="shared" si="1"/>
        <v>0</v>
      </c>
      <c r="F20" s="33">
        <f t="shared" si="2"/>
        <v>0</v>
      </c>
      <c r="G20" s="33">
        <f t="shared" si="3"/>
        <v>0</v>
      </c>
      <c r="H20" s="33">
        <f t="shared" si="4"/>
        <v>0</v>
      </c>
      <c r="I20" s="33">
        <f t="shared" si="5"/>
        <v>0</v>
      </c>
      <c r="J20" s="33">
        <f t="shared" si="6"/>
        <v>0</v>
      </c>
      <c r="K20" s="33">
        <f t="shared" si="7"/>
        <v>0</v>
      </c>
      <c r="L20" s="40">
        <f t="shared" si="8"/>
        <v>0</v>
      </c>
      <c r="M20" s="33">
        <f t="shared" si="9"/>
        <v>0</v>
      </c>
    </row>
    <row r="21" spans="2:13" x14ac:dyDescent="0.45">
      <c r="B21" s="38">
        <v>4</v>
      </c>
      <c r="C21" s="39">
        <f>EDATE(Master!$B$3,3)</f>
        <v>91</v>
      </c>
      <c r="D21" s="33">
        <f t="shared" si="0"/>
        <v>0</v>
      </c>
      <c r="E21" s="33">
        <f t="shared" si="1"/>
        <v>0</v>
      </c>
      <c r="F21" s="33">
        <f t="shared" si="2"/>
        <v>0</v>
      </c>
      <c r="G21" s="33">
        <f t="shared" si="3"/>
        <v>0</v>
      </c>
      <c r="H21" s="33">
        <f t="shared" si="4"/>
        <v>0</v>
      </c>
      <c r="I21" s="33">
        <f t="shared" si="5"/>
        <v>0</v>
      </c>
      <c r="J21" s="33">
        <f t="shared" si="6"/>
        <v>0</v>
      </c>
      <c r="K21" s="33">
        <f t="shared" si="7"/>
        <v>0</v>
      </c>
      <c r="L21" s="40">
        <f t="shared" si="8"/>
        <v>0</v>
      </c>
      <c r="M21" s="33">
        <f t="shared" si="9"/>
        <v>0</v>
      </c>
    </row>
    <row r="22" spans="2:13" x14ac:dyDescent="0.45">
      <c r="B22" s="38">
        <v>5</v>
      </c>
      <c r="C22" s="39">
        <f>EDATE(Master!$B$3,4)</f>
        <v>121</v>
      </c>
      <c r="D22" s="33">
        <f t="shared" si="0"/>
        <v>0</v>
      </c>
      <c r="E22" s="33">
        <f t="shared" si="1"/>
        <v>0</v>
      </c>
      <c r="F22" s="33">
        <f t="shared" si="2"/>
        <v>0</v>
      </c>
      <c r="G22" s="33">
        <f t="shared" si="3"/>
        <v>0</v>
      </c>
      <c r="H22" s="33">
        <f t="shared" si="4"/>
        <v>0</v>
      </c>
      <c r="I22" s="33">
        <f t="shared" si="5"/>
        <v>0</v>
      </c>
      <c r="J22" s="33">
        <f t="shared" si="6"/>
        <v>0</v>
      </c>
      <c r="K22" s="33">
        <f t="shared" si="7"/>
        <v>0</v>
      </c>
      <c r="L22" s="40">
        <f t="shared" si="8"/>
        <v>0</v>
      </c>
      <c r="M22" s="33">
        <f t="shared" si="9"/>
        <v>0</v>
      </c>
    </row>
    <row r="23" spans="2:13" x14ac:dyDescent="0.45">
      <c r="B23" s="38">
        <v>6</v>
      </c>
      <c r="C23" s="39">
        <f>EDATE(Master!$B$3,5)</f>
        <v>152</v>
      </c>
      <c r="D23" s="33">
        <f t="shared" si="0"/>
        <v>0</v>
      </c>
      <c r="E23" s="33">
        <f t="shared" si="1"/>
        <v>0</v>
      </c>
      <c r="F23" s="33">
        <f t="shared" si="2"/>
        <v>0</v>
      </c>
      <c r="G23" s="33">
        <f t="shared" si="3"/>
        <v>0</v>
      </c>
      <c r="H23" s="33">
        <f t="shared" si="4"/>
        <v>0</v>
      </c>
      <c r="I23" s="33">
        <f t="shared" si="5"/>
        <v>0</v>
      </c>
      <c r="J23" s="33">
        <f t="shared" si="6"/>
        <v>0</v>
      </c>
      <c r="K23" s="33">
        <f t="shared" si="7"/>
        <v>0</v>
      </c>
      <c r="L23" s="40">
        <f t="shared" si="8"/>
        <v>0</v>
      </c>
      <c r="M23" s="33">
        <f t="shared" si="9"/>
        <v>0</v>
      </c>
    </row>
    <row r="24" spans="2:13" x14ac:dyDescent="0.45">
      <c r="B24" s="38">
        <v>7</v>
      </c>
      <c r="C24" s="39">
        <f>EDATE(Master!$B$3,6)</f>
        <v>182</v>
      </c>
      <c r="D24" s="33">
        <f t="shared" si="0"/>
        <v>0</v>
      </c>
      <c r="E24" s="33">
        <f t="shared" si="1"/>
        <v>0</v>
      </c>
      <c r="F24" s="33">
        <f t="shared" si="2"/>
        <v>0</v>
      </c>
      <c r="G24" s="33">
        <f t="shared" si="3"/>
        <v>0</v>
      </c>
      <c r="H24" s="33">
        <f t="shared" si="4"/>
        <v>0</v>
      </c>
      <c r="I24" s="33">
        <f t="shared" si="5"/>
        <v>0</v>
      </c>
      <c r="J24" s="33">
        <f t="shared" si="6"/>
        <v>0</v>
      </c>
      <c r="K24" s="33">
        <f t="shared" si="7"/>
        <v>0</v>
      </c>
      <c r="L24" s="40">
        <f t="shared" si="8"/>
        <v>0</v>
      </c>
      <c r="M24" s="33">
        <f t="shared" si="9"/>
        <v>0</v>
      </c>
    </row>
    <row r="25" spans="2:13" x14ac:dyDescent="0.45">
      <c r="B25" s="38">
        <v>8</v>
      </c>
      <c r="C25" s="39">
        <f>EDATE(Master!$B$3,7)</f>
        <v>213</v>
      </c>
      <c r="D25" s="33">
        <f t="shared" si="0"/>
        <v>0</v>
      </c>
      <c r="E25" s="33">
        <f t="shared" si="1"/>
        <v>0</v>
      </c>
      <c r="F25" s="33">
        <f t="shared" si="2"/>
        <v>0</v>
      </c>
      <c r="G25" s="33">
        <f t="shared" si="3"/>
        <v>0</v>
      </c>
      <c r="H25" s="33">
        <f t="shared" si="4"/>
        <v>0</v>
      </c>
      <c r="I25" s="33">
        <f t="shared" si="5"/>
        <v>0</v>
      </c>
      <c r="J25" s="33">
        <f t="shared" si="6"/>
        <v>0</v>
      </c>
      <c r="K25" s="33">
        <f t="shared" si="7"/>
        <v>0</v>
      </c>
      <c r="L25" s="40">
        <f t="shared" si="8"/>
        <v>0</v>
      </c>
      <c r="M25" s="33">
        <f t="shared" si="9"/>
        <v>0</v>
      </c>
    </row>
    <row r="26" spans="2:13" x14ac:dyDescent="0.45">
      <c r="B26" s="38">
        <v>9</v>
      </c>
      <c r="C26" s="39">
        <f>EDATE(Master!$B$3,8)</f>
        <v>244</v>
      </c>
      <c r="D26" s="33">
        <f t="shared" si="0"/>
        <v>0</v>
      </c>
      <c r="E26" s="33">
        <f t="shared" si="1"/>
        <v>0</v>
      </c>
      <c r="F26" s="33">
        <f t="shared" si="2"/>
        <v>0</v>
      </c>
      <c r="G26" s="33">
        <f t="shared" si="3"/>
        <v>0</v>
      </c>
      <c r="H26" s="33">
        <f t="shared" si="4"/>
        <v>0</v>
      </c>
      <c r="I26" s="33">
        <f t="shared" si="5"/>
        <v>0</v>
      </c>
      <c r="J26" s="33">
        <f t="shared" si="6"/>
        <v>0</v>
      </c>
      <c r="K26" s="33">
        <f t="shared" si="7"/>
        <v>0</v>
      </c>
      <c r="L26" s="40">
        <f t="shared" si="8"/>
        <v>0</v>
      </c>
      <c r="M26" s="33">
        <f t="shared" si="9"/>
        <v>0</v>
      </c>
    </row>
    <row r="27" spans="2:13" x14ac:dyDescent="0.45">
      <c r="B27" s="38">
        <v>10</v>
      </c>
      <c r="C27" s="39">
        <f>EDATE(Master!$B$3,9)</f>
        <v>274</v>
      </c>
      <c r="D27" s="33">
        <f t="shared" si="0"/>
        <v>0</v>
      </c>
      <c r="E27" s="33">
        <f t="shared" si="1"/>
        <v>0</v>
      </c>
      <c r="F27" s="33">
        <f t="shared" si="2"/>
        <v>0</v>
      </c>
      <c r="G27" s="33">
        <f t="shared" si="3"/>
        <v>0</v>
      </c>
      <c r="H27" s="33">
        <f t="shared" si="4"/>
        <v>0</v>
      </c>
      <c r="I27" s="33">
        <f t="shared" si="5"/>
        <v>0</v>
      </c>
      <c r="J27" s="33">
        <f t="shared" si="6"/>
        <v>0</v>
      </c>
      <c r="K27" s="33">
        <f t="shared" si="7"/>
        <v>0</v>
      </c>
      <c r="L27" s="40">
        <f t="shared" si="8"/>
        <v>0</v>
      </c>
      <c r="M27" s="33">
        <f t="shared" si="9"/>
        <v>0</v>
      </c>
    </row>
    <row r="28" spans="2:13" x14ac:dyDescent="0.45">
      <c r="B28" s="38">
        <v>11</v>
      </c>
      <c r="C28" s="39">
        <f>EDATE(Master!$B$3,10)</f>
        <v>305</v>
      </c>
      <c r="D28" s="33">
        <f t="shared" si="0"/>
        <v>0</v>
      </c>
      <c r="E28" s="33">
        <f t="shared" si="1"/>
        <v>0</v>
      </c>
      <c r="F28" s="33">
        <f t="shared" si="2"/>
        <v>0</v>
      </c>
      <c r="G28" s="33">
        <f t="shared" si="3"/>
        <v>0</v>
      </c>
      <c r="H28" s="33">
        <f t="shared" si="4"/>
        <v>0</v>
      </c>
      <c r="I28" s="33">
        <f t="shared" si="5"/>
        <v>0</v>
      </c>
      <c r="J28" s="33">
        <f t="shared" si="6"/>
        <v>0</v>
      </c>
      <c r="K28" s="33">
        <f t="shared" si="7"/>
        <v>0</v>
      </c>
      <c r="L28" s="40">
        <f t="shared" si="8"/>
        <v>0</v>
      </c>
      <c r="M28" s="33">
        <f t="shared" si="9"/>
        <v>0</v>
      </c>
    </row>
    <row r="29" spans="2:13" x14ac:dyDescent="0.45">
      <c r="B29" s="38">
        <v>12</v>
      </c>
      <c r="C29" s="39">
        <f>EDATE(Master!$B$3,11)</f>
        <v>335</v>
      </c>
      <c r="D29" s="33">
        <f t="shared" si="0"/>
        <v>0</v>
      </c>
      <c r="E29" s="33">
        <f t="shared" si="1"/>
        <v>0</v>
      </c>
      <c r="F29" s="33">
        <f t="shared" si="2"/>
        <v>0</v>
      </c>
      <c r="G29" s="33">
        <f t="shared" si="3"/>
        <v>0</v>
      </c>
      <c r="H29" s="33">
        <f t="shared" si="4"/>
        <v>0</v>
      </c>
      <c r="I29" s="33">
        <f t="shared" si="5"/>
        <v>0</v>
      </c>
      <c r="J29" s="33">
        <f t="shared" si="6"/>
        <v>0</v>
      </c>
      <c r="K29" s="33">
        <f t="shared" si="7"/>
        <v>0</v>
      </c>
      <c r="L29" s="40">
        <f t="shared" si="8"/>
        <v>0</v>
      </c>
      <c r="M29" s="33">
        <f t="shared" si="9"/>
        <v>0</v>
      </c>
    </row>
    <row r="30" spans="2:13" x14ac:dyDescent="0.45">
      <c r="B30" s="38">
        <v>13</v>
      </c>
      <c r="C30" s="39">
        <f>EDATE(Master!$B$3,12)</f>
        <v>366</v>
      </c>
      <c r="D30" s="33">
        <f t="shared" si="0"/>
        <v>0</v>
      </c>
      <c r="E30" s="33">
        <f t="shared" si="1"/>
        <v>0</v>
      </c>
      <c r="F30" s="33">
        <f t="shared" si="2"/>
        <v>0</v>
      </c>
      <c r="G30" s="33">
        <f t="shared" si="3"/>
        <v>0</v>
      </c>
      <c r="H30" s="33">
        <f t="shared" si="4"/>
        <v>0</v>
      </c>
      <c r="I30" s="33">
        <f t="shared" si="5"/>
        <v>0</v>
      </c>
      <c r="J30" s="33">
        <f t="shared" si="6"/>
        <v>0</v>
      </c>
      <c r="K30" s="33">
        <f t="shared" si="7"/>
        <v>0</v>
      </c>
      <c r="L30" s="40">
        <f t="shared" si="8"/>
        <v>0</v>
      </c>
      <c r="M30" s="33">
        <f t="shared" si="9"/>
        <v>0</v>
      </c>
    </row>
    <row r="31" spans="2:13" x14ac:dyDescent="0.45">
      <c r="B31" s="38">
        <v>14</v>
      </c>
      <c r="C31" s="39">
        <f>EDATE(Master!$B$3,13)</f>
        <v>397</v>
      </c>
      <c r="D31" s="33">
        <f t="shared" si="0"/>
        <v>0</v>
      </c>
      <c r="E31" s="33">
        <f t="shared" si="1"/>
        <v>0</v>
      </c>
      <c r="F31" s="33">
        <f t="shared" si="2"/>
        <v>0</v>
      </c>
      <c r="G31" s="33">
        <f t="shared" si="3"/>
        <v>0</v>
      </c>
      <c r="H31" s="33">
        <f t="shared" si="4"/>
        <v>0</v>
      </c>
      <c r="I31" s="33">
        <f t="shared" si="5"/>
        <v>0</v>
      </c>
      <c r="J31" s="33">
        <f t="shared" si="6"/>
        <v>0</v>
      </c>
      <c r="K31" s="33">
        <f t="shared" si="7"/>
        <v>0</v>
      </c>
      <c r="L31" s="40">
        <f t="shared" si="8"/>
        <v>0</v>
      </c>
      <c r="M31" s="33">
        <f t="shared" si="9"/>
        <v>0</v>
      </c>
    </row>
    <row r="32" spans="2:13" x14ac:dyDescent="0.45">
      <c r="B32" s="38">
        <v>15</v>
      </c>
      <c r="C32" s="39">
        <f>EDATE(Master!$B$3,14)</f>
        <v>425</v>
      </c>
      <c r="D32" s="33">
        <f t="shared" si="0"/>
        <v>0</v>
      </c>
      <c r="E32" s="33">
        <f t="shared" si="1"/>
        <v>0</v>
      </c>
      <c r="F32" s="33">
        <f t="shared" si="2"/>
        <v>0</v>
      </c>
      <c r="G32" s="33">
        <f t="shared" si="3"/>
        <v>0</v>
      </c>
      <c r="H32" s="33">
        <f t="shared" si="4"/>
        <v>0</v>
      </c>
      <c r="I32" s="33">
        <f t="shared" si="5"/>
        <v>0</v>
      </c>
      <c r="J32" s="33">
        <f t="shared" si="6"/>
        <v>0</v>
      </c>
      <c r="K32" s="33">
        <f t="shared" si="7"/>
        <v>0</v>
      </c>
      <c r="L32" s="40">
        <f t="shared" si="8"/>
        <v>0</v>
      </c>
      <c r="M32" s="33">
        <f t="shared" si="9"/>
        <v>0</v>
      </c>
    </row>
    <row r="33" spans="2:13" x14ac:dyDescent="0.45">
      <c r="B33" s="38">
        <v>16</v>
      </c>
      <c r="C33" s="39">
        <f>EDATE(Master!$B$3,15)</f>
        <v>456</v>
      </c>
      <c r="D33" s="33">
        <f t="shared" si="0"/>
        <v>0</v>
      </c>
      <c r="E33" s="33">
        <f t="shared" si="1"/>
        <v>0</v>
      </c>
      <c r="F33" s="33">
        <f t="shared" si="2"/>
        <v>0</v>
      </c>
      <c r="G33" s="33">
        <f t="shared" si="3"/>
        <v>0</v>
      </c>
      <c r="H33" s="33">
        <f t="shared" si="4"/>
        <v>0</v>
      </c>
      <c r="I33" s="33">
        <f t="shared" si="5"/>
        <v>0</v>
      </c>
      <c r="J33" s="33">
        <f t="shared" si="6"/>
        <v>0</v>
      </c>
      <c r="K33" s="33">
        <f t="shared" si="7"/>
        <v>0</v>
      </c>
      <c r="L33" s="40">
        <f t="shared" si="8"/>
        <v>0</v>
      </c>
      <c r="M33" s="33">
        <f t="shared" si="9"/>
        <v>0</v>
      </c>
    </row>
    <row r="34" spans="2:13" x14ac:dyDescent="0.45">
      <c r="B34" s="38">
        <v>17</v>
      </c>
      <c r="C34" s="39">
        <f>EDATE(Master!$B$3,16)</f>
        <v>486</v>
      </c>
      <c r="D34" s="33">
        <f t="shared" si="0"/>
        <v>0</v>
      </c>
      <c r="E34" s="33">
        <f t="shared" si="1"/>
        <v>0</v>
      </c>
      <c r="F34" s="33">
        <f t="shared" si="2"/>
        <v>0</v>
      </c>
      <c r="G34" s="33">
        <f t="shared" si="3"/>
        <v>0</v>
      </c>
      <c r="H34" s="33">
        <f t="shared" si="4"/>
        <v>0</v>
      </c>
      <c r="I34" s="33">
        <f t="shared" si="5"/>
        <v>0</v>
      </c>
      <c r="J34" s="33">
        <f t="shared" si="6"/>
        <v>0</v>
      </c>
      <c r="K34" s="33">
        <f t="shared" si="7"/>
        <v>0</v>
      </c>
      <c r="L34" s="40">
        <f t="shared" si="8"/>
        <v>0</v>
      </c>
      <c r="M34" s="33">
        <f t="shared" si="9"/>
        <v>0</v>
      </c>
    </row>
    <row r="35" spans="2:13" x14ac:dyDescent="0.45">
      <c r="B35" s="38">
        <v>18</v>
      </c>
      <c r="C35" s="39">
        <f>EDATE(Master!$B$3,17)</f>
        <v>517</v>
      </c>
      <c r="D35" s="33">
        <f t="shared" si="0"/>
        <v>0</v>
      </c>
      <c r="E35" s="33">
        <f t="shared" si="1"/>
        <v>0</v>
      </c>
      <c r="F35" s="33">
        <f t="shared" si="2"/>
        <v>0</v>
      </c>
      <c r="G35" s="33">
        <f t="shared" si="3"/>
        <v>0</v>
      </c>
      <c r="H35" s="33">
        <f t="shared" si="4"/>
        <v>0</v>
      </c>
      <c r="I35" s="33">
        <f t="shared" si="5"/>
        <v>0</v>
      </c>
      <c r="J35" s="33">
        <f t="shared" si="6"/>
        <v>0</v>
      </c>
      <c r="K35" s="33">
        <f t="shared" si="7"/>
        <v>0</v>
      </c>
      <c r="L35" s="40">
        <f t="shared" si="8"/>
        <v>0</v>
      </c>
      <c r="M35" s="33">
        <f t="shared" si="9"/>
        <v>0</v>
      </c>
    </row>
    <row r="36" spans="2:13" x14ac:dyDescent="0.45">
      <c r="B36" s="38">
        <v>19</v>
      </c>
      <c r="C36" s="39">
        <f>EDATE(Master!$B$3,18)</f>
        <v>547</v>
      </c>
      <c r="D36" s="33">
        <f t="shared" si="0"/>
        <v>0</v>
      </c>
      <c r="E36" s="33">
        <f t="shared" si="1"/>
        <v>0</v>
      </c>
      <c r="F36" s="33">
        <f t="shared" si="2"/>
        <v>0</v>
      </c>
      <c r="G36" s="33">
        <f t="shared" si="3"/>
        <v>0</v>
      </c>
      <c r="H36" s="33">
        <f t="shared" si="4"/>
        <v>0</v>
      </c>
      <c r="I36" s="33">
        <f t="shared" si="5"/>
        <v>0</v>
      </c>
      <c r="J36" s="33">
        <f t="shared" si="6"/>
        <v>0</v>
      </c>
      <c r="K36" s="33">
        <f t="shared" si="7"/>
        <v>0</v>
      </c>
      <c r="L36" s="40">
        <f t="shared" si="8"/>
        <v>0</v>
      </c>
      <c r="M36" s="33">
        <f t="shared" si="9"/>
        <v>0</v>
      </c>
    </row>
    <row r="37" spans="2:13" x14ac:dyDescent="0.45">
      <c r="B37" s="38">
        <v>20</v>
      </c>
      <c r="C37" s="39">
        <f>EDATE(Master!$B$3,19)</f>
        <v>578</v>
      </c>
      <c r="D37" s="33">
        <f t="shared" si="0"/>
        <v>0</v>
      </c>
      <c r="E37" s="33">
        <f t="shared" si="1"/>
        <v>0</v>
      </c>
      <c r="F37" s="33">
        <f t="shared" si="2"/>
        <v>0</v>
      </c>
      <c r="G37" s="33">
        <f t="shared" si="3"/>
        <v>0</v>
      </c>
      <c r="H37" s="33">
        <f t="shared" si="4"/>
        <v>0</v>
      </c>
      <c r="I37" s="33">
        <f t="shared" si="5"/>
        <v>0</v>
      </c>
      <c r="J37" s="33">
        <f t="shared" si="6"/>
        <v>0</v>
      </c>
      <c r="K37" s="33">
        <f t="shared" si="7"/>
        <v>0</v>
      </c>
      <c r="L37" s="40">
        <f t="shared" si="8"/>
        <v>0</v>
      </c>
      <c r="M37" s="33">
        <f t="shared" si="9"/>
        <v>0</v>
      </c>
    </row>
    <row r="38" spans="2:13" x14ac:dyDescent="0.45">
      <c r="B38" s="38">
        <v>21</v>
      </c>
      <c r="C38" s="39">
        <f>EDATE(Master!$B$3,20)</f>
        <v>609</v>
      </c>
      <c r="D38" s="33">
        <f t="shared" si="0"/>
        <v>0</v>
      </c>
      <c r="E38" s="33">
        <f t="shared" si="1"/>
        <v>0</v>
      </c>
      <c r="F38" s="33">
        <f t="shared" si="2"/>
        <v>0</v>
      </c>
      <c r="G38" s="33">
        <f t="shared" si="3"/>
        <v>0</v>
      </c>
      <c r="H38" s="33">
        <f t="shared" si="4"/>
        <v>0</v>
      </c>
      <c r="I38" s="33">
        <f t="shared" si="5"/>
        <v>0</v>
      </c>
      <c r="J38" s="33">
        <f t="shared" si="6"/>
        <v>0</v>
      </c>
      <c r="K38" s="33">
        <f t="shared" si="7"/>
        <v>0</v>
      </c>
      <c r="L38" s="40">
        <f t="shared" si="8"/>
        <v>0</v>
      </c>
      <c r="M38" s="33">
        <f t="shared" si="9"/>
        <v>0</v>
      </c>
    </row>
    <row r="39" spans="2:13" x14ac:dyDescent="0.45">
      <c r="B39" s="38">
        <v>22</v>
      </c>
      <c r="C39" s="39">
        <f>EDATE(Master!$B$3,21)</f>
        <v>639</v>
      </c>
      <c r="D39" s="33">
        <f t="shared" si="0"/>
        <v>0</v>
      </c>
      <c r="E39" s="33">
        <f t="shared" si="1"/>
        <v>0</v>
      </c>
      <c r="F39" s="33">
        <f t="shared" si="2"/>
        <v>0</v>
      </c>
      <c r="G39" s="33">
        <f t="shared" si="3"/>
        <v>0</v>
      </c>
      <c r="H39" s="33">
        <f t="shared" si="4"/>
        <v>0</v>
      </c>
      <c r="I39" s="33">
        <f t="shared" si="5"/>
        <v>0</v>
      </c>
      <c r="J39" s="33">
        <f t="shared" si="6"/>
        <v>0</v>
      </c>
      <c r="K39" s="33">
        <f t="shared" si="7"/>
        <v>0</v>
      </c>
      <c r="L39" s="40">
        <f t="shared" si="8"/>
        <v>0</v>
      </c>
      <c r="M39" s="33">
        <f t="shared" si="9"/>
        <v>0</v>
      </c>
    </row>
    <row r="40" spans="2:13" x14ac:dyDescent="0.45">
      <c r="B40" s="38">
        <v>23</v>
      </c>
      <c r="C40" s="39">
        <f>EDATE(Master!$B$3,22)</f>
        <v>670</v>
      </c>
      <c r="D40" s="33">
        <f t="shared" si="0"/>
        <v>0</v>
      </c>
      <c r="E40" s="33">
        <f t="shared" si="1"/>
        <v>0</v>
      </c>
      <c r="F40" s="33">
        <f t="shared" si="2"/>
        <v>0</v>
      </c>
      <c r="G40" s="33">
        <f t="shared" si="3"/>
        <v>0</v>
      </c>
      <c r="H40" s="33">
        <f t="shared" si="4"/>
        <v>0</v>
      </c>
      <c r="I40" s="33">
        <f t="shared" si="5"/>
        <v>0</v>
      </c>
      <c r="J40" s="33">
        <f t="shared" si="6"/>
        <v>0</v>
      </c>
      <c r="K40" s="33">
        <f t="shared" si="7"/>
        <v>0</v>
      </c>
      <c r="L40" s="40">
        <f t="shared" si="8"/>
        <v>0</v>
      </c>
      <c r="M40" s="33">
        <f t="shared" si="9"/>
        <v>0</v>
      </c>
    </row>
    <row r="41" spans="2:13" x14ac:dyDescent="0.45">
      <c r="B41" s="38">
        <v>24</v>
      </c>
      <c r="C41" s="39">
        <f>EDATE(Master!$B$3,23)</f>
        <v>700</v>
      </c>
      <c r="D41" s="33">
        <f t="shared" si="0"/>
        <v>0</v>
      </c>
      <c r="E41" s="33">
        <f t="shared" si="1"/>
        <v>0</v>
      </c>
      <c r="F41" s="33">
        <f t="shared" si="2"/>
        <v>0</v>
      </c>
      <c r="G41" s="33">
        <f t="shared" si="3"/>
        <v>0</v>
      </c>
      <c r="H41" s="33">
        <f t="shared" si="4"/>
        <v>0</v>
      </c>
      <c r="I41" s="33">
        <f t="shared" si="5"/>
        <v>0</v>
      </c>
      <c r="J41" s="33">
        <f t="shared" si="6"/>
        <v>0</v>
      </c>
      <c r="K41" s="33">
        <f t="shared" si="7"/>
        <v>0</v>
      </c>
      <c r="L41" s="40">
        <f t="shared" si="8"/>
        <v>0</v>
      </c>
      <c r="M41" s="33">
        <f t="shared" si="9"/>
        <v>0</v>
      </c>
    </row>
    <row r="42" spans="2:13" x14ac:dyDescent="0.45">
      <c r="B42" s="38">
        <v>25</v>
      </c>
      <c r="C42" s="39">
        <f>EDATE(Master!$B$3,24)</f>
        <v>731</v>
      </c>
      <c r="D42" s="33">
        <f t="shared" si="0"/>
        <v>0</v>
      </c>
      <c r="E42" s="33">
        <f t="shared" si="1"/>
        <v>0</v>
      </c>
      <c r="F42" s="33">
        <f t="shared" si="2"/>
        <v>0</v>
      </c>
      <c r="G42" s="33">
        <f t="shared" si="3"/>
        <v>0</v>
      </c>
      <c r="H42" s="33">
        <f t="shared" si="4"/>
        <v>0</v>
      </c>
      <c r="I42" s="33">
        <f t="shared" si="5"/>
        <v>0</v>
      </c>
      <c r="J42" s="33">
        <f t="shared" si="6"/>
        <v>0</v>
      </c>
      <c r="K42" s="33">
        <f t="shared" si="7"/>
        <v>0</v>
      </c>
      <c r="L42" s="40">
        <f t="shared" si="8"/>
        <v>0</v>
      </c>
      <c r="M42" s="33">
        <f t="shared" si="9"/>
        <v>0</v>
      </c>
    </row>
    <row r="43" spans="2:13" x14ac:dyDescent="0.45">
      <c r="B43" s="38">
        <v>26</v>
      </c>
      <c r="C43" s="39">
        <f>EDATE(Master!$B$3,25)</f>
        <v>762</v>
      </c>
      <c r="D43" s="33">
        <f t="shared" si="0"/>
        <v>0</v>
      </c>
      <c r="E43" s="33">
        <f t="shared" si="1"/>
        <v>0</v>
      </c>
      <c r="F43" s="33">
        <f t="shared" si="2"/>
        <v>0</v>
      </c>
      <c r="G43" s="33">
        <f t="shared" si="3"/>
        <v>0</v>
      </c>
      <c r="H43" s="33">
        <f t="shared" si="4"/>
        <v>0</v>
      </c>
      <c r="I43" s="33">
        <f t="shared" si="5"/>
        <v>0</v>
      </c>
      <c r="J43" s="33">
        <f t="shared" si="6"/>
        <v>0</v>
      </c>
      <c r="K43" s="33">
        <f t="shared" si="7"/>
        <v>0</v>
      </c>
      <c r="L43" s="40">
        <f t="shared" si="8"/>
        <v>0</v>
      </c>
      <c r="M43" s="33">
        <f t="shared" si="9"/>
        <v>0</v>
      </c>
    </row>
    <row r="44" spans="2:13" x14ac:dyDescent="0.45">
      <c r="B44" s="38">
        <v>27</v>
      </c>
      <c r="C44" s="39">
        <f>EDATE(Master!$B$3,26)</f>
        <v>790</v>
      </c>
      <c r="D44" s="33">
        <f t="shared" si="0"/>
        <v>0</v>
      </c>
      <c r="E44" s="33">
        <f t="shared" si="1"/>
        <v>0</v>
      </c>
      <c r="F44" s="33">
        <f t="shared" si="2"/>
        <v>0</v>
      </c>
      <c r="G44" s="33">
        <f t="shared" si="3"/>
        <v>0</v>
      </c>
      <c r="H44" s="33">
        <f t="shared" si="4"/>
        <v>0</v>
      </c>
      <c r="I44" s="33">
        <f t="shared" si="5"/>
        <v>0</v>
      </c>
      <c r="J44" s="33">
        <f t="shared" si="6"/>
        <v>0</v>
      </c>
      <c r="K44" s="33">
        <f t="shared" si="7"/>
        <v>0</v>
      </c>
      <c r="L44" s="40">
        <f t="shared" si="8"/>
        <v>0</v>
      </c>
      <c r="M44" s="33">
        <f t="shared" si="9"/>
        <v>0</v>
      </c>
    </row>
    <row r="45" spans="2:13" x14ac:dyDescent="0.45">
      <c r="B45" s="38">
        <v>28</v>
      </c>
      <c r="C45" s="39">
        <f>EDATE(Master!$B$3,27)</f>
        <v>821</v>
      </c>
      <c r="D45" s="33">
        <f t="shared" si="0"/>
        <v>0</v>
      </c>
      <c r="E45" s="33">
        <f t="shared" si="1"/>
        <v>0</v>
      </c>
      <c r="F45" s="33">
        <f t="shared" si="2"/>
        <v>0</v>
      </c>
      <c r="G45" s="33">
        <f t="shared" si="3"/>
        <v>0</v>
      </c>
      <c r="H45" s="33">
        <f t="shared" si="4"/>
        <v>0</v>
      </c>
      <c r="I45" s="33">
        <f t="shared" si="5"/>
        <v>0</v>
      </c>
      <c r="J45" s="33">
        <f t="shared" si="6"/>
        <v>0</v>
      </c>
      <c r="K45" s="33">
        <f t="shared" si="7"/>
        <v>0</v>
      </c>
      <c r="L45" s="40">
        <f t="shared" si="8"/>
        <v>0</v>
      </c>
      <c r="M45" s="33">
        <f t="shared" si="9"/>
        <v>0</v>
      </c>
    </row>
    <row r="46" spans="2:13" x14ac:dyDescent="0.45">
      <c r="B46" s="38">
        <v>29</v>
      </c>
      <c r="C46" s="39">
        <f>EDATE(Master!$B$3,28)</f>
        <v>851</v>
      </c>
      <c r="D46" s="33">
        <f t="shared" si="0"/>
        <v>0</v>
      </c>
      <c r="E46" s="33">
        <f t="shared" si="1"/>
        <v>0</v>
      </c>
      <c r="F46" s="33">
        <f t="shared" si="2"/>
        <v>0</v>
      </c>
      <c r="G46" s="33">
        <f t="shared" si="3"/>
        <v>0</v>
      </c>
      <c r="H46" s="33">
        <f t="shared" si="4"/>
        <v>0</v>
      </c>
      <c r="I46" s="33">
        <f t="shared" si="5"/>
        <v>0</v>
      </c>
      <c r="J46" s="33">
        <f t="shared" si="6"/>
        <v>0</v>
      </c>
      <c r="K46" s="33">
        <f t="shared" si="7"/>
        <v>0</v>
      </c>
      <c r="L46" s="40">
        <f t="shared" si="8"/>
        <v>0</v>
      </c>
      <c r="M46" s="33">
        <f t="shared" si="9"/>
        <v>0</v>
      </c>
    </row>
    <row r="47" spans="2:13" x14ac:dyDescent="0.45">
      <c r="B47" s="38">
        <v>30</v>
      </c>
      <c r="C47" s="39">
        <f>EDATE(Master!$B$3,29)</f>
        <v>882</v>
      </c>
      <c r="D47" s="33">
        <f t="shared" si="0"/>
        <v>0</v>
      </c>
      <c r="E47" s="33">
        <f t="shared" si="1"/>
        <v>0</v>
      </c>
      <c r="F47" s="33">
        <f t="shared" si="2"/>
        <v>0</v>
      </c>
      <c r="G47" s="33">
        <f t="shared" si="3"/>
        <v>0</v>
      </c>
      <c r="H47" s="33">
        <f t="shared" si="4"/>
        <v>0</v>
      </c>
      <c r="I47" s="33">
        <f t="shared" si="5"/>
        <v>0</v>
      </c>
      <c r="J47" s="33">
        <f t="shared" si="6"/>
        <v>0</v>
      </c>
      <c r="K47" s="33">
        <f t="shared" si="7"/>
        <v>0</v>
      </c>
      <c r="L47" s="40">
        <f t="shared" si="8"/>
        <v>0</v>
      </c>
      <c r="M47" s="33">
        <f t="shared" si="9"/>
        <v>0</v>
      </c>
    </row>
    <row r="48" spans="2:13" x14ac:dyDescent="0.45">
      <c r="B48" s="38">
        <v>31</v>
      </c>
      <c r="C48" s="39">
        <f>EDATE(Master!$B$3,30)</f>
        <v>912</v>
      </c>
      <c r="D48" s="33">
        <f t="shared" si="0"/>
        <v>0</v>
      </c>
      <c r="E48" s="33">
        <f t="shared" si="1"/>
        <v>0</v>
      </c>
      <c r="F48" s="33">
        <f t="shared" si="2"/>
        <v>0</v>
      </c>
      <c r="G48" s="33">
        <f t="shared" si="3"/>
        <v>0</v>
      </c>
      <c r="H48" s="33">
        <f t="shared" si="4"/>
        <v>0</v>
      </c>
      <c r="I48" s="33">
        <f t="shared" si="5"/>
        <v>0</v>
      </c>
      <c r="J48" s="33">
        <f t="shared" si="6"/>
        <v>0</v>
      </c>
      <c r="K48" s="33">
        <f t="shared" si="7"/>
        <v>0</v>
      </c>
      <c r="L48" s="40">
        <f t="shared" si="8"/>
        <v>0</v>
      </c>
      <c r="M48" s="33">
        <f t="shared" si="9"/>
        <v>0</v>
      </c>
    </row>
    <row r="49" spans="2:13" x14ac:dyDescent="0.45">
      <c r="B49" s="38">
        <v>32</v>
      </c>
      <c r="C49" s="39">
        <f>EDATE(Master!$B$3,31)</f>
        <v>943</v>
      </c>
      <c r="D49" s="33">
        <f t="shared" si="0"/>
        <v>0</v>
      </c>
      <c r="E49" s="33">
        <f t="shared" si="1"/>
        <v>0</v>
      </c>
      <c r="F49" s="33">
        <f t="shared" si="2"/>
        <v>0</v>
      </c>
      <c r="G49" s="33">
        <f t="shared" si="3"/>
        <v>0</v>
      </c>
      <c r="H49" s="33">
        <f t="shared" si="4"/>
        <v>0</v>
      </c>
      <c r="I49" s="33">
        <f t="shared" si="5"/>
        <v>0</v>
      </c>
      <c r="J49" s="33">
        <f t="shared" si="6"/>
        <v>0</v>
      </c>
      <c r="K49" s="33">
        <f t="shared" si="7"/>
        <v>0</v>
      </c>
      <c r="L49" s="40">
        <f t="shared" si="8"/>
        <v>0</v>
      </c>
      <c r="M49" s="33">
        <f t="shared" si="9"/>
        <v>0</v>
      </c>
    </row>
    <row r="50" spans="2:13" x14ac:dyDescent="0.45">
      <c r="B50" s="38">
        <v>33</v>
      </c>
      <c r="C50" s="39">
        <f>EDATE(Master!$B$3,32)</f>
        <v>974</v>
      </c>
      <c r="D50" s="33">
        <f t="shared" si="0"/>
        <v>0</v>
      </c>
      <c r="E50" s="33">
        <f t="shared" si="1"/>
        <v>0</v>
      </c>
      <c r="F50" s="33">
        <f t="shared" si="2"/>
        <v>0</v>
      </c>
      <c r="G50" s="33">
        <f t="shared" si="3"/>
        <v>0</v>
      </c>
      <c r="H50" s="33">
        <f t="shared" si="4"/>
        <v>0</v>
      </c>
      <c r="I50" s="33">
        <f t="shared" si="5"/>
        <v>0</v>
      </c>
      <c r="J50" s="33">
        <f t="shared" si="6"/>
        <v>0</v>
      </c>
      <c r="K50" s="33">
        <f t="shared" si="7"/>
        <v>0</v>
      </c>
      <c r="L50" s="40">
        <f t="shared" si="8"/>
        <v>0</v>
      </c>
      <c r="M50" s="33">
        <f t="shared" si="9"/>
        <v>0</v>
      </c>
    </row>
    <row r="51" spans="2:13" x14ac:dyDescent="0.45">
      <c r="B51" s="38">
        <v>34</v>
      </c>
      <c r="C51" s="39">
        <f>EDATE(Master!$B$3,33)</f>
        <v>1004</v>
      </c>
      <c r="D51" s="33">
        <f t="shared" si="0"/>
        <v>0</v>
      </c>
      <c r="E51" s="33">
        <f t="shared" si="1"/>
        <v>0</v>
      </c>
      <c r="F51" s="33">
        <f t="shared" si="2"/>
        <v>0</v>
      </c>
      <c r="G51" s="33">
        <f t="shared" si="3"/>
        <v>0</v>
      </c>
      <c r="H51" s="33">
        <f t="shared" si="4"/>
        <v>0</v>
      </c>
      <c r="I51" s="33">
        <f t="shared" si="5"/>
        <v>0</v>
      </c>
      <c r="J51" s="33">
        <f t="shared" si="6"/>
        <v>0</v>
      </c>
      <c r="K51" s="33">
        <f t="shared" si="7"/>
        <v>0</v>
      </c>
      <c r="L51" s="40">
        <f t="shared" si="8"/>
        <v>0</v>
      </c>
      <c r="M51" s="33">
        <f t="shared" si="9"/>
        <v>0</v>
      </c>
    </row>
    <row r="52" spans="2:13" x14ac:dyDescent="0.45">
      <c r="B52" s="38">
        <v>35</v>
      </c>
      <c r="C52" s="39">
        <f>EDATE(Master!$B$3,34)</f>
        <v>1035</v>
      </c>
      <c r="D52" s="33">
        <f t="shared" si="0"/>
        <v>0</v>
      </c>
      <c r="E52" s="33">
        <f t="shared" si="1"/>
        <v>0</v>
      </c>
      <c r="F52" s="33">
        <f t="shared" si="2"/>
        <v>0</v>
      </c>
      <c r="G52" s="33">
        <f t="shared" si="3"/>
        <v>0</v>
      </c>
      <c r="H52" s="33">
        <f t="shared" si="4"/>
        <v>0</v>
      </c>
      <c r="I52" s="33">
        <f t="shared" si="5"/>
        <v>0</v>
      </c>
      <c r="J52" s="33">
        <f t="shared" si="6"/>
        <v>0</v>
      </c>
      <c r="K52" s="33">
        <f t="shared" si="7"/>
        <v>0</v>
      </c>
      <c r="L52" s="40">
        <f t="shared" si="8"/>
        <v>0</v>
      </c>
      <c r="M52" s="33">
        <f t="shared" si="9"/>
        <v>0</v>
      </c>
    </row>
    <row r="53" spans="2:13" x14ac:dyDescent="0.45">
      <c r="B53" s="38">
        <v>36</v>
      </c>
      <c r="C53" s="39">
        <f>EDATE(Master!$B$3,35)</f>
        <v>1065</v>
      </c>
      <c r="D53" s="33">
        <f t="shared" si="0"/>
        <v>0</v>
      </c>
      <c r="E53" s="33">
        <f t="shared" si="1"/>
        <v>0</v>
      </c>
      <c r="F53" s="33">
        <f t="shared" si="2"/>
        <v>0</v>
      </c>
      <c r="G53" s="33">
        <f t="shared" si="3"/>
        <v>0</v>
      </c>
      <c r="H53" s="33">
        <f t="shared" si="4"/>
        <v>0</v>
      </c>
      <c r="I53" s="33">
        <f t="shared" si="5"/>
        <v>0</v>
      </c>
      <c r="J53" s="33">
        <f t="shared" si="6"/>
        <v>0</v>
      </c>
      <c r="K53" s="33">
        <f t="shared" si="7"/>
        <v>0</v>
      </c>
      <c r="L53" s="40">
        <f t="shared" si="8"/>
        <v>0</v>
      </c>
      <c r="M53" s="33">
        <f t="shared" si="9"/>
        <v>0</v>
      </c>
    </row>
    <row r="55" spans="2:13" ht="43.5" customHeight="1" x14ac:dyDescent="0.45">
      <c r="B55" s="5" t="s">
        <v>426</v>
      </c>
      <c r="C55" s="5"/>
      <c r="D55" s="5"/>
      <c r="E55" s="5"/>
      <c r="F55" s="5"/>
      <c r="G55" s="5"/>
      <c r="H55" s="5"/>
      <c r="I55" s="5"/>
      <c r="J55" s="5"/>
      <c r="K55" s="5"/>
    </row>
  </sheetData>
  <mergeCells count="2">
    <mergeCell ref="B2:E2"/>
    <mergeCell ref="B55:K5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0"/>
  <sheetViews>
    <sheetView zoomScaleNormal="100" workbookViewId="0">
      <pane ySplit="4" topLeftCell="A5" activePane="bottomLeft" state="frozen"/>
      <selection pane="bottomLeft"/>
    </sheetView>
  </sheetViews>
  <sheetFormatPr defaultColWidth="8.6640625" defaultRowHeight="14.25" x14ac:dyDescent="0.45"/>
  <cols>
    <col min="1" max="1" width="12" customWidth="1"/>
    <col min="2" max="2" width="8" customWidth="1"/>
    <col min="3" max="3" width="32" customWidth="1"/>
    <col min="4" max="4" width="42" customWidth="1"/>
    <col min="5" max="6" width="16" customWidth="1"/>
    <col min="7" max="7" width="14" customWidth="1"/>
    <col min="8" max="8" width="16" customWidth="1"/>
    <col min="9" max="9" width="12" customWidth="1"/>
  </cols>
  <sheetData>
    <row r="1" spans="1:9" ht="17.649999999999999" x14ac:dyDescent="0.5">
      <c r="A1" s="7" t="s">
        <v>427</v>
      </c>
    </row>
    <row r="2" spans="1:9" x14ac:dyDescent="0.45">
      <c r="A2" s="8" t="s">
        <v>428</v>
      </c>
      <c r="D2" s="37"/>
    </row>
    <row r="3" spans="1:9" ht="39.75" customHeight="1" x14ac:dyDescent="0.45">
      <c r="A3" s="5" t="s">
        <v>429</v>
      </c>
      <c r="B3" s="5"/>
      <c r="C3" s="5"/>
      <c r="D3" s="5"/>
      <c r="E3" s="5"/>
      <c r="F3" s="5"/>
      <c r="G3" s="5"/>
      <c r="H3" s="5"/>
      <c r="I3" s="5"/>
    </row>
    <row r="4" spans="1:9" ht="30" customHeight="1" x14ac:dyDescent="0.45">
      <c r="A4" s="15" t="s">
        <v>360</v>
      </c>
      <c r="B4" s="15" t="s">
        <v>46</v>
      </c>
      <c r="C4" s="15" t="s">
        <v>48</v>
      </c>
      <c r="D4" s="15" t="s">
        <v>49</v>
      </c>
      <c r="E4" s="15" t="s">
        <v>430</v>
      </c>
      <c r="F4" s="15" t="s">
        <v>431</v>
      </c>
      <c r="G4" s="15" t="s">
        <v>432</v>
      </c>
      <c r="H4" s="15" t="s">
        <v>433</v>
      </c>
      <c r="I4" s="15" t="s">
        <v>434</v>
      </c>
    </row>
    <row r="5" spans="1:9" x14ac:dyDescent="0.45">
      <c r="A5" s="27">
        <f>Master!A$6</f>
        <v>0</v>
      </c>
      <c r="B5" s="27" t="str">
        <f>'Activity List'!A2</f>
        <v>T1-001</v>
      </c>
      <c r="C5" s="27" t="str">
        <f>'Activity List'!C2</f>
        <v>Nursery</v>
      </c>
      <c r="D5" s="27" t="str">
        <f>'Activity List'!D2</f>
        <v>Land Clearing</v>
      </c>
      <c r="E5" s="41" t="str">
        <f>IF(Master!$B$3="","",EDATE(Master!$B$3,0))</f>
        <v/>
      </c>
      <c r="F5" s="41" t="str">
        <f>IF(Master!$B$3="","",EDATE(Master!$B$3,6)-1)</f>
        <v/>
      </c>
      <c r="G5" s="37"/>
      <c r="H5" s="41" t="str">
        <f t="shared" ref="H5:H36" si="0">IF(E5="","",IF(G5="",F5,E5+G5-1))</f>
        <v/>
      </c>
      <c r="I5" s="42">
        <f>'Annual Election'!$D$2</f>
        <v>0</v>
      </c>
    </row>
    <row r="6" spans="1:9" x14ac:dyDescent="0.45">
      <c r="A6" s="27">
        <f>Master!A$6</f>
        <v>0</v>
      </c>
      <c r="B6" s="27" t="str">
        <f>'Activity List'!A3</f>
        <v>T1-002</v>
      </c>
      <c r="C6" s="27" t="str">
        <f>'Activity List'!C3</f>
        <v>Nursery</v>
      </c>
      <c r="D6" s="27" t="str">
        <f>'Activity List'!D3</f>
        <v>Tree Felling</v>
      </c>
      <c r="E6" s="41" t="str">
        <f>IF(Master!$B$3="","",EDATE(Master!$B$3,0))</f>
        <v/>
      </c>
      <c r="F6" s="41" t="str">
        <f>IF(Master!$B$3="","",EDATE(Master!$B$3,6)-1)</f>
        <v/>
      </c>
      <c r="G6" s="37"/>
      <c r="H6" s="41" t="str">
        <f t="shared" si="0"/>
        <v/>
      </c>
      <c r="I6" s="42">
        <f>'Annual Election'!$D$2</f>
        <v>0</v>
      </c>
    </row>
    <row r="7" spans="1:9" x14ac:dyDescent="0.45">
      <c r="A7" s="27">
        <f>Master!A$6</f>
        <v>0</v>
      </c>
      <c r="B7" s="27" t="str">
        <f>'Activity List'!A4</f>
        <v>T1-003</v>
      </c>
      <c r="C7" s="27" t="str">
        <f>'Activity List'!C4</f>
        <v>Nursery</v>
      </c>
      <c r="D7" s="27" t="str">
        <f>'Activity List'!D4</f>
        <v>Soil Heaping</v>
      </c>
      <c r="E7" s="41" t="str">
        <f>IF(Master!$B$3="","",EDATE(Master!$B$3,0))</f>
        <v/>
      </c>
      <c r="F7" s="41" t="str">
        <f>IF(Master!$B$3="","",EDATE(Master!$B$3,6)-1)</f>
        <v/>
      </c>
      <c r="G7" s="37"/>
      <c r="H7" s="41" t="str">
        <f t="shared" si="0"/>
        <v/>
      </c>
      <c r="I7" s="42">
        <f>'Annual Election'!$D$2</f>
        <v>0</v>
      </c>
    </row>
    <row r="8" spans="1:9" x14ac:dyDescent="0.45">
      <c r="A8" s="27">
        <f>Master!A$6</f>
        <v>0</v>
      </c>
      <c r="B8" s="27" t="str">
        <f>'Activity List'!A5</f>
        <v>T1-004</v>
      </c>
      <c r="C8" s="27" t="str">
        <f>'Activity List'!C5</f>
        <v>Nursery</v>
      </c>
      <c r="D8" s="27" t="str">
        <f>'Activity List'!D5</f>
        <v>Polytube Cutting</v>
      </c>
      <c r="E8" s="41" t="str">
        <f>IF(Master!$B$3="","",EDATE(Master!$B$3,0))</f>
        <v/>
      </c>
      <c r="F8" s="41" t="str">
        <f>IF(Master!$B$3="","",EDATE(Master!$B$3,6)-1)</f>
        <v/>
      </c>
      <c r="G8" s="37"/>
      <c r="H8" s="41" t="str">
        <f t="shared" si="0"/>
        <v/>
      </c>
      <c r="I8" s="42">
        <f>'Annual Election'!$D$2</f>
        <v>0</v>
      </c>
    </row>
    <row r="9" spans="1:9" x14ac:dyDescent="0.45">
      <c r="A9" s="27">
        <f>Master!A$6</f>
        <v>0</v>
      </c>
      <c r="B9" s="27" t="str">
        <f>'Activity List'!A6</f>
        <v>T1-005</v>
      </c>
      <c r="C9" s="27" t="str">
        <f>'Activity List'!C6</f>
        <v>Nursery</v>
      </c>
      <c r="D9" s="27" t="str">
        <f>'Activity List'!D6</f>
        <v>Polytube Filling</v>
      </c>
      <c r="E9" s="41" t="str">
        <f>IF(Master!$B$3="","",EDATE(Master!$B$3,0))</f>
        <v/>
      </c>
      <c r="F9" s="41" t="str">
        <f>IF(Master!$B$3="","",EDATE(Master!$B$3,6)-1)</f>
        <v/>
      </c>
      <c r="G9" s="37"/>
      <c r="H9" s="41" t="str">
        <f t="shared" si="0"/>
        <v/>
      </c>
      <c r="I9" s="42">
        <f>'Annual Election'!$D$2</f>
        <v>0</v>
      </c>
    </row>
    <row r="10" spans="1:9" x14ac:dyDescent="0.45">
      <c r="A10" s="27">
        <f>Master!A$6</f>
        <v>0</v>
      </c>
      <c r="B10" s="27" t="str">
        <f>'Activity List'!A7</f>
        <v>T1-006</v>
      </c>
      <c r="C10" s="27" t="str">
        <f>'Activity List'!C7</f>
        <v>Nursery</v>
      </c>
      <c r="D10" s="27" t="str">
        <f>'Activity List'!D7</f>
        <v>Seedbed Preparation</v>
      </c>
      <c r="E10" s="41" t="str">
        <f>IF(Master!$B$3="","",EDATE(Master!$B$3,0))</f>
        <v/>
      </c>
      <c r="F10" s="41" t="str">
        <f>IF(Master!$B$3="","",EDATE(Master!$B$3,6)-1)</f>
        <v/>
      </c>
      <c r="G10" s="37"/>
      <c r="H10" s="41" t="str">
        <f t="shared" si="0"/>
        <v/>
      </c>
      <c r="I10" s="42">
        <f>'Annual Election'!$D$2</f>
        <v>0</v>
      </c>
    </row>
    <row r="11" spans="1:9" x14ac:dyDescent="0.45">
      <c r="A11" s="27">
        <f>Master!A$6</f>
        <v>0</v>
      </c>
      <c r="B11" s="27" t="str">
        <f>'Activity List'!A8</f>
        <v>T1-007</v>
      </c>
      <c r="C11" s="27" t="str">
        <f>'Activity List'!C8</f>
        <v>Nursery</v>
      </c>
      <c r="D11" s="27" t="str">
        <f>'Activity List'!D8</f>
        <v>Polytube Arranging</v>
      </c>
      <c r="E11" s="41" t="str">
        <f>IF(Master!$B$3="","",EDATE(Master!$B$3,0))</f>
        <v/>
      </c>
      <c r="F11" s="41" t="str">
        <f>IF(Master!$B$3="","",EDATE(Master!$B$3,6)-1)</f>
        <v/>
      </c>
      <c r="G11" s="37"/>
      <c r="H11" s="41" t="str">
        <f t="shared" si="0"/>
        <v/>
      </c>
      <c r="I11" s="42">
        <f>'Annual Election'!$D$2</f>
        <v>0</v>
      </c>
    </row>
    <row r="12" spans="1:9" x14ac:dyDescent="0.45">
      <c r="A12" s="27">
        <f>Master!A$6</f>
        <v>0</v>
      </c>
      <c r="B12" s="27" t="str">
        <f>'Activity List'!A9</f>
        <v>T1-008</v>
      </c>
      <c r="C12" s="27" t="str">
        <f>'Activity List'!C9</f>
        <v>Nursery</v>
      </c>
      <c r="D12" s="27" t="str">
        <f>'Activity List'!D9</f>
        <v>Seed Sowing</v>
      </c>
      <c r="E12" s="41" t="str">
        <f>IF(Master!$B$3="","",EDATE(Master!$B$3,0))</f>
        <v/>
      </c>
      <c r="F12" s="41" t="str">
        <f>IF(Master!$B$3="","",EDATE(Master!$B$3,6)-1)</f>
        <v/>
      </c>
      <c r="G12" s="37"/>
      <c r="H12" s="41" t="str">
        <f t="shared" si="0"/>
        <v/>
      </c>
      <c r="I12" s="42">
        <f>'Annual Election'!$D$2</f>
        <v>0</v>
      </c>
    </row>
    <row r="13" spans="1:9" x14ac:dyDescent="0.45">
      <c r="A13" s="27">
        <f>Master!A$6</f>
        <v>0</v>
      </c>
      <c r="B13" s="27" t="str">
        <f>'Activity List'!A10</f>
        <v>T1-009</v>
      </c>
      <c r="C13" s="27" t="str">
        <f>'Activity List'!C10</f>
        <v>Nursery</v>
      </c>
      <c r="D13" s="27" t="str">
        <f>'Activity List'!D10</f>
        <v>Mulch Material Preparation</v>
      </c>
      <c r="E13" s="41" t="str">
        <f>IF(Master!$B$3="","",EDATE(Master!$B$3,0))</f>
        <v/>
      </c>
      <c r="F13" s="41" t="str">
        <f>IF(Master!$B$3="","",EDATE(Master!$B$3,6)-1)</f>
        <v/>
      </c>
      <c r="G13" s="37"/>
      <c r="H13" s="41" t="str">
        <f t="shared" si="0"/>
        <v/>
      </c>
      <c r="I13" s="42">
        <f>'Annual Election'!$D$2</f>
        <v>0</v>
      </c>
    </row>
    <row r="14" spans="1:9" x14ac:dyDescent="0.45">
      <c r="A14" s="27">
        <f>Master!A$6</f>
        <v>0</v>
      </c>
      <c r="B14" s="27" t="str">
        <f>'Activity List'!A11</f>
        <v>T1-010</v>
      </c>
      <c r="C14" s="27" t="str">
        <f>'Activity List'!C11</f>
        <v>Nursery</v>
      </c>
      <c r="D14" s="27" t="str">
        <f>'Activity List'!D11</f>
        <v>Mulch Application</v>
      </c>
      <c r="E14" s="41" t="str">
        <f>IF(Master!$B$3="","",EDATE(Master!$B$3,0))</f>
        <v/>
      </c>
      <c r="F14" s="41" t="str">
        <f>IF(Master!$B$3="","",EDATE(Master!$B$3,6)-1)</f>
        <v/>
      </c>
      <c r="G14" s="37"/>
      <c r="H14" s="41" t="str">
        <f t="shared" si="0"/>
        <v/>
      </c>
      <c r="I14" s="42">
        <f>'Annual Election'!$D$2</f>
        <v>0</v>
      </c>
    </row>
    <row r="15" spans="1:9" x14ac:dyDescent="0.45">
      <c r="A15" s="27">
        <f>Master!A$6</f>
        <v>0</v>
      </c>
      <c r="B15" s="27" t="str">
        <f>'Activity List'!A12</f>
        <v>T1-011</v>
      </c>
      <c r="C15" s="27" t="str">
        <f>'Activity List'!C12</f>
        <v>Nursery</v>
      </c>
      <c r="D15" s="27" t="str">
        <f>'Activity List'!D12</f>
        <v>Shade Material Preparation</v>
      </c>
      <c r="E15" s="41" t="str">
        <f>IF(Master!$B$3="","",EDATE(Master!$B$3,0))</f>
        <v/>
      </c>
      <c r="F15" s="41" t="str">
        <f>IF(Master!$B$3="","",EDATE(Master!$B$3,6)-1)</f>
        <v/>
      </c>
      <c r="G15" s="37"/>
      <c r="H15" s="41" t="str">
        <f t="shared" si="0"/>
        <v/>
      </c>
      <c r="I15" s="42">
        <f>'Annual Election'!$D$2</f>
        <v>0</v>
      </c>
    </row>
    <row r="16" spans="1:9" x14ac:dyDescent="0.45">
      <c r="A16" s="27">
        <f>Master!A$6</f>
        <v>0</v>
      </c>
      <c r="B16" s="27" t="str">
        <f>'Activity List'!A13</f>
        <v>T1-012</v>
      </c>
      <c r="C16" s="27" t="str">
        <f>'Activity List'!C13</f>
        <v>Nursery</v>
      </c>
      <c r="D16" s="27" t="str">
        <f>'Activity List'!D13</f>
        <v>Shade Construction</v>
      </c>
      <c r="E16" s="41" t="str">
        <f>IF(Master!$B$3="","",EDATE(Master!$B$3,0))</f>
        <v/>
      </c>
      <c r="F16" s="41" t="str">
        <f>IF(Master!$B$3="","",EDATE(Master!$B$3,6)-1)</f>
        <v/>
      </c>
      <c r="G16" s="37"/>
      <c r="H16" s="41" t="str">
        <f t="shared" si="0"/>
        <v/>
      </c>
      <c r="I16" s="42">
        <f>'Annual Election'!$D$2</f>
        <v>0</v>
      </c>
    </row>
    <row r="17" spans="1:9" x14ac:dyDescent="0.45">
      <c r="A17" s="27">
        <f>Master!A$6</f>
        <v>0</v>
      </c>
      <c r="B17" s="27" t="str">
        <f>'Activity List'!A14</f>
        <v>T1-013</v>
      </c>
      <c r="C17" s="27" t="str">
        <f>'Activity List'!C14</f>
        <v>Nursery</v>
      </c>
      <c r="D17" s="27" t="str">
        <f>'Activity List'!D14</f>
        <v>Mulch Removal</v>
      </c>
      <c r="E17" s="41" t="str">
        <f>IF(Master!$B$3="","",EDATE(Master!$B$3,0))</f>
        <v/>
      </c>
      <c r="F17" s="41" t="str">
        <f>IF(Master!$B$3="","",EDATE(Master!$B$3,6)-1)</f>
        <v/>
      </c>
      <c r="G17" s="37"/>
      <c r="H17" s="41" t="str">
        <f t="shared" si="0"/>
        <v/>
      </c>
      <c r="I17" s="42">
        <f>'Annual Election'!$D$2</f>
        <v>0</v>
      </c>
    </row>
    <row r="18" spans="1:9" x14ac:dyDescent="0.45">
      <c r="A18" s="27">
        <f>Master!A$6</f>
        <v>0</v>
      </c>
      <c r="B18" s="27" t="str">
        <f>'Activity List'!A15</f>
        <v>T1-014</v>
      </c>
      <c r="C18" s="27" t="str">
        <f>'Activity List'!C15</f>
        <v>Nursery</v>
      </c>
      <c r="D18" s="27" t="str">
        <f>'Activity List'!D15</f>
        <v>Nursery Weeding</v>
      </c>
      <c r="E18" s="41" t="str">
        <f>IF(Master!$B$3="","",EDATE(Master!$B$3,0))</f>
        <v/>
      </c>
      <c r="F18" s="41" t="str">
        <f>IF(Master!$B$3="","",EDATE(Master!$B$3,6)-1)</f>
        <v/>
      </c>
      <c r="G18" s="37"/>
      <c r="H18" s="41" t="str">
        <f t="shared" si="0"/>
        <v/>
      </c>
      <c r="I18" s="42">
        <f>'Annual Election'!$D$2</f>
        <v>0</v>
      </c>
    </row>
    <row r="19" spans="1:9" x14ac:dyDescent="0.45">
      <c r="A19" s="27">
        <f>Master!A$6</f>
        <v>0</v>
      </c>
      <c r="B19" s="27" t="str">
        <f>'Activity List'!A16</f>
        <v>T1-015</v>
      </c>
      <c r="C19" s="27" t="str">
        <f>'Activity List'!C16</f>
        <v>Nursery</v>
      </c>
      <c r="D19" s="27" t="str">
        <f>'Activity List'!D16</f>
        <v>Shade Thinning</v>
      </c>
      <c r="E19" s="41" t="str">
        <f>IF(Master!$B$3="","",EDATE(Master!$B$3,0))</f>
        <v/>
      </c>
      <c r="F19" s="41" t="str">
        <f>IF(Master!$B$3="","",EDATE(Master!$B$3,6)-1)</f>
        <v/>
      </c>
      <c r="G19" s="37"/>
      <c r="H19" s="41" t="str">
        <f t="shared" si="0"/>
        <v/>
      </c>
      <c r="I19" s="42">
        <f>'Annual Election'!$D$2</f>
        <v>0</v>
      </c>
    </row>
    <row r="20" spans="1:9" x14ac:dyDescent="0.45">
      <c r="A20" s="27">
        <f>Master!A$6</f>
        <v>0</v>
      </c>
      <c r="B20" s="27" t="str">
        <f>'Activity List'!A17</f>
        <v>T1-016</v>
      </c>
      <c r="C20" s="27" t="str">
        <f>'Activity List'!C17</f>
        <v>Nursery</v>
      </c>
      <c r="D20" s="27" t="str">
        <f>'Activity List'!D17</f>
        <v>Shade Removal</v>
      </c>
      <c r="E20" s="41" t="str">
        <f>IF(Master!$B$3="","",EDATE(Master!$B$3,0))</f>
        <v/>
      </c>
      <c r="F20" s="41" t="str">
        <f>IF(Master!$B$3="","",EDATE(Master!$B$3,6)-1)</f>
        <v/>
      </c>
      <c r="G20" s="37"/>
      <c r="H20" s="41" t="str">
        <f t="shared" si="0"/>
        <v/>
      </c>
      <c r="I20" s="42">
        <f>'Annual Election'!$D$2</f>
        <v>0</v>
      </c>
    </row>
    <row r="21" spans="1:9" x14ac:dyDescent="0.45">
      <c r="A21" s="27">
        <f>Master!A$6</f>
        <v>0</v>
      </c>
      <c r="B21" s="27" t="str">
        <f>'Activity List'!A18</f>
        <v>T1-017</v>
      </c>
      <c r="C21" s="27" t="str">
        <f>'Activity List'!C18</f>
        <v>Young Coffee</v>
      </c>
      <c r="D21" s="27" t="str">
        <f>'Activity List'!D18</f>
        <v>Hoeing (Young Coffee)</v>
      </c>
      <c r="E21" s="41" t="str">
        <f>IF(Master!$B$3="","",EDATE(Master!$B$3,0))</f>
        <v/>
      </c>
      <c r="F21" s="41" t="str">
        <f>IF(Master!$B$3="","",EDATE(Master!$B$3,12)-1)</f>
        <v/>
      </c>
      <c r="G21" s="37"/>
      <c r="H21" s="41" t="str">
        <f t="shared" si="0"/>
        <v/>
      </c>
      <c r="I21" s="42">
        <f>'Annual Election'!$D$2</f>
        <v>0</v>
      </c>
    </row>
    <row r="22" spans="1:9" x14ac:dyDescent="0.45">
      <c r="A22" s="27">
        <f>Master!A$6</f>
        <v>0</v>
      </c>
      <c r="B22" s="27" t="str">
        <f>'Activity List'!A19</f>
        <v>T1-018</v>
      </c>
      <c r="C22" s="27" t="str">
        <f>'Activity List'!C19</f>
        <v>Young Coffee</v>
      </c>
      <c r="D22" s="27" t="str">
        <f>'Activity List'!D19</f>
        <v>Fertilizing (Young Coffee)</v>
      </c>
      <c r="E22" s="41" t="str">
        <f>IF(Master!$B$3="","",EDATE(Master!$B$3,0))</f>
        <v/>
      </c>
      <c r="F22" s="41" t="str">
        <f>IF(Master!$B$3="","",EDATE(Master!$B$3,12)-1)</f>
        <v/>
      </c>
      <c r="G22" s="37"/>
      <c r="H22" s="41" t="str">
        <f t="shared" si="0"/>
        <v/>
      </c>
      <c r="I22" s="42">
        <f>'Annual Election'!$D$2</f>
        <v>0</v>
      </c>
    </row>
    <row r="23" spans="1:9" x14ac:dyDescent="0.45">
      <c r="A23" s="27">
        <f>Master!A$6</f>
        <v>0</v>
      </c>
      <c r="B23" s="27" t="str">
        <f>'Activity List'!A20</f>
        <v>T1-019</v>
      </c>
      <c r="C23" s="27" t="str">
        <f>'Activity List'!C20</f>
        <v>Young Coffee</v>
      </c>
      <c r="D23" s="27" t="str">
        <f>'Activity List'!D20</f>
        <v>Ring Weeding of Seedlings</v>
      </c>
      <c r="E23" s="41" t="str">
        <f>IF(Master!$B$3="","",EDATE(Master!$B$3,0))</f>
        <v/>
      </c>
      <c r="F23" s="41" t="str">
        <f>IF(Master!$B$3="","",EDATE(Master!$B$3,12)-1)</f>
        <v/>
      </c>
      <c r="G23" s="37"/>
      <c r="H23" s="41" t="str">
        <f t="shared" si="0"/>
        <v/>
      </c>
      <c r="I23" s="42">
        <f>'Annual Election'!$D$2</f>
        <v>0</v>
      </c>
    </row>
    <row r="24" spans="1:9" x14ac:dyDescent="0.45">
      <c r="A24" s="27">
        <f>Master!A$6</f>
        <v>0</v>
      </c>
      <c r="B24" s="27" t="str">
        <f>'Activity List'!A21</f>
        <v>T1-020</v>
      </c>
      <c r="C24" s="27" t="str">
        <f>'Activity List'!C21</f>
        <v>Young Coffee</v>
      </c>
      <c r="D24" s="27" t="str">
        <f>'Activity List'!D21</f>
        <v>Shade Tree Regulation</v>
      </c>
      <c r="E24" s="41" t="str">
        <f>IF(Master!$B$3="","",EDATE(Master!$B$3,0))</f>
        <v/>
      </c>
      <c r="F24" s="41" t="str">
        <f>IF(Master!$B$3="","",EDATE(Master!$B$3,12)-1)</f>
        <v/>
      </c>
      <c r="G24" s="37"/>
      <c r="H24" s="41" t="str">
        <f t="shared" si="0"/>
        <v/>
      </c>
      <c r="I24" s="42">
        <f>'Annual Election'!$D$2</f>
        <v>0</v>
      </c>
    </row>
    <row r="25" spans="1:9" x14ac:dyDescent="0.45">
      <c r="A25" s="27">
        <f>Master!A$6</f>
        <v>0</v>
      </c>
      <c r="B25" s="27" t="str">
        <f>'Activity List'!A22</f>
        <v>T1-021</v>
      </c>
      <c r="C25" s="27" t="str">
        <f>'Activity List'!C22</f>
        <v>Young Coffee</v>
      </c>
      <c r="D25" s="27" t="str">
        <f>'Activity List'!D22</f>
        <v>Compost Preparation</v>
      </c>
      <c r="E25" s="41" t="str">
        <f>IF(Master!$B$3="","",EDATE(Master!$B$3,0))</f>
        <v/>
      </c>
      <c r="F25" s="41" t="str">
        <f>IF(Master!$B$3="","",EDATE(Master!$B$3,12)-1)</f>
        <v/>
      </c>
      <c r="G25" s="37"/>
      <c r="H25" s="41" t="str">
        <f t="shared" si="0"/>
        <v/>
      </c>
      <c r="I25" s="42">
        <f>'Annual Election'!$D$2</f>
        <v>0</v>
      </c>
    </row>
    <row r="26" spans="1:9" x14ac:dyDescent="0.45">
      <c r="A26" s="27">
        <f>Master!A$6</f>
        <v>0</v>
      </c>
      <c r="B26" s="27" t="str">
        <f>'Activity List'!A23</f>
        <v>T1-022</v>
      </c>
      <c r="C26" s="27" t="str">
        <f>'Activity List'!C23</f>
        <v>Young Coffee</v>
      </c>
      <c r="D26" s="27" t="str">
        <f>'Activity List'!D23</f>
        <v>Ridge Construction</v>
      </c>
      <c r="E26" s="41" t="str">
        <f>IF(Master!$B$3="","",EDATE(Master!$B$3,0))</f>
        <v/>
      </c>
      <c r="F26" s="41" t="str">
        <f>IF(Master!$B$3="","",EDATE(Master!$B$3,12)-1)</f>
        <v/>
      </c>
      <c r="G26" s="37"/>
      <c r="H26" s="41" t="str">
        <f t="shared" si="0"/>
        <v/>
      </c>
      <c r="I26" s="42">
        <f>'Annual Election'!$D$2</f>
        <v>0</v>
      </c>
    </row>
    <row r="27" spans="1:9" x14ac:dyDescent="0.45">
      <c r="A27" s="27">
        <f>Master!A$6</f>
        <v>0</v>
      </c>
      <c r="B27" s="27" t="str">
        <f>'Activity List'!A24</f>
        <v>T1-023</v>
      </c>
      <c r="C27" s="27" t="str">
        <f>'Activity List'!C24</f>
        <v>Matured Coffee</v>
      </c>
      <c r="D27" s="27" t="str">
        <f>'Activity List'!D24</f>
        <v>Manual Weeding</v>
      </c>
      <c r="E27" s="41" t="str">
        <f>IF(Master!$B$3="","",EDATE(Master!$B$3,0))</f>
        <v/>
      </c>
      <c r="F27" s="41" t="str">
        <f>IF(Master!$B$3="","",EDATE(Master!$B$3,12)-1)</f>
        <v/>
      </c>
      <c r="G27" s="37"/>
      <c r="H27" s="41" t="str">
        <f t="shared" si="0"/>
        <v/>
      </c>
      <c r="I27" s="42">
        <f>'Annual Election'!$D$2</f>
        <v>0</v>
      </c>
    </row>
    <row r="28" spans="1:9" x14ac:dyDescent="0.45">
      <c r="A28" s="27">
        <f>Master!A$6</f>
        <v>0</v>
      </c>
      <c r="B28" s="27" t="str">
        <f>'Activity List'!A25</f>
        <v>T1-024</v>
      </c>
      <c r="C28" s="27" t="str">
        <f>'Activity List'!C25</f>
        <v>Matured Coffee</v>
      </c>
      <c r="D28" s="27" t="str">
        <f>'Activity List'!D25</f>
        <v>Chemical Weeding</v>
      </c>
      <c r="E28" s="41" t="str">
        <f>IF(Master!$B$3="","",EDATE(Master!$B$3,0))</f>
        <v/>
      </c>
      <c r="F28" s="41" t="str">
        <f>IF(Master!$B$3="","",EDATE(Master!$B$3,12)-1)</f>
        <v/>
      </c>
      <c r="G28" s="37"/>
      <c r="H28" s="41" t="str">
        <f t="shared" si="0"/>
        <v/>
      </c>
      <c r="I28" s="42">
        <f>'Annual Election'!$D$2</f>
        <v>0</v>
      </c>
    </row>
    <row r="29" spans="1:9" x14ac:dyDescent="0.45">
      <c r="A29" s="27">
        <f>Master!A$6</f>
        <v>0</v>
      </c>
      <c r="B29" s="27" t="str">
        <f>'Activity List'!A26</f>
        <v>T1-025</v>
      </c>
      <c r="C29" s="27" t="str">
        <f>'Activity List'!C26</f>
        <v>Matured Coffee</v>
      </c>
      <c r="D29" s="27" t="str">
        <f>'Activity List'!D26</f>
        <v>Pruning (Matured Coffee)</v>
      </c>
      <c r="E29" s="41" t="str">
        <f>IF(Master!$B$3="","",EDATE(Master!$B$3,0))</f>
        <v/>
      </c>
      <c r="F29" s="41" t="str">
        <f>IF(Master!$B$3="","",EDATE(Master!$B$3,12)-1)</f>
        <v/>
      </c>
      <c r="G29" s="37"/>
      <c r="H29" s="41" t="str">
        <f t="shared" si="0"/>
        <v/>
      </c>
      <c r="I29" s="42">
        <f>'Annual Election'!$D$2</f>
        <v>0</v>
      </c>
    </row>
    <row r="30" spans="1:9" x14ac:dyDescent="0.45">
      <c r="A30" s="27">
        <f>Master!A$6</f>
        <v>0</v>
      </c>
      <c r="B30" s="27" t="str">
        <f>'Activity List'!A27</f>
        <v>T1-026</v>
      </c>
      <c r="C30" s="27" t="str">
        <f>'Activity List'!C27</f>
        <v>Matured Coffee</v>
      </c>
      <c r="D30" s="27" t="str">
        <f>'Activity List'!D27</f>
        <v>Topping (Matured Coffee)</v>
      </c>
      <c r="E30" s="41" t="str">
        <f>IF(Master!$B$3="","",EDATE(Master!$B$3,0))</f>
        <v/>
      </c>
      <c r="F30" s="41" t="str">
        <f>IF(Master!$B$3="","",EDATE(Master!$B$3,12)-1)</f>
        <v/>
      </c>
      <c r="G30" s="37"/>
      <c r="H30" s="41" t="str">
        <f t="shared" si="0"/>
        <v/>
      </c>
      <c r="I30" s="42">
        <f>'Annual Election'!$D$2</f>
        <v>0</v>
      </c>
    </row>
    <row r="31" spans="1:9" x14ac:dyDescent="0.45">
      <c r="A31" s="27">
        <f>Master!A$6</f>
        <v>0</v>
      </c>
      <c r="B31" s="27" t="str">
        <f>'Activity List'!A28</f>
        <v>T1-027</v>
      </c>
      <c r="C31" s="27" t="str">
        <f>'Activity List'!C28</f>
        <v>Matured Coffee</v>
      </c>
      <c r="D31" s="27" t="str">
        <f>'Activity List'!D28</f>
        <v>Handling and Desuckering</v>
      </c>
      <c r="E31" s="41" t="str">
        <f>IF(Master!$B$3="","",EDATE(Master!$B$3,0))</f>
        <v/>
      </c>
      <c r="F31" s="41" t="str">
        <f>IF(Master!$B$3="","",EDATE(Master!$B$3,12)-1)</f>
        <v/>
      </c>
      <c r="G31" s="37"/>
      <c r="H31" s="41" t="str">
        <f t="shared" si="0"/>
        <v/>
      </c>
      <c r="I31" s="42">
        <f>'Annual Election'!$D$2</f>
        <v>0</v>
      </c>
    </row>
    <row r="32" spans="1:9" x14ac:dyDescent="0.45">
      <c r="A32" s="27">
        <f>Master!A$6</f>
        <v>0</v>
      </c>
      <c r="B32" s="27" t="str">
        <f>'Activity List'!A29</f>
        <v>T1-028</v>
      </c>
      <c r="C32" s="27" t="str">
        <f>'Activity List'!C29</f>
        <v>Matured Coffee</v>
      </c>
      <c r="D32" s="27" t="str">
        <f>'Activity List'!D29</f>
        <v>Coffee Tree Support/Staking</v>
      </c>
      <c r="E32" s="41" t="str">
        <f>IF(Master!$B$3="","",EDATE(Master!$B$3,0))</f>
        <v/>
      </c>
      <c r="F32" s="41" t="str">
        <f>IF(Master!$B$3="","",EDATE(Master!$B$3,12)-1)</f>
        <v/>
      </c>
      <c r="G32" s="37"/>
      <c r="H32" s="41" t="str">
        <f t="shared" si="0"/>
        <v/>
      </c>
      <c r="I32" s="42">
        <f>'Annual Election'!$D$2</f>
        <v>0</v>
      </c>
    </row>
    <row r="33" spans="1:9" x14ac:dyDescent="0.45">
      <c r="A33" s="27">
        <f>Master!A$6</f>
        <v>0</v>
      </c>
      <c r="B33" s="27" t="str">
        <f>'Activity List'!A30</f>
        <v>T1-029</v>
      </c>
      <c r="C33" s="27" t="str">
        <f>'Activity List'!C30</f>
        <v>Matured Coffee</v>
      </c>
      <c r="D33" s="27" t="str">
        <f>'Activity List'!D30</f>
        <v>Watchman Tower (Matured Block)</v>
      </c>
      <c r="E33" s="41" t="str">
        <f>IF(Master!$B$3="","",EDATE(Master!$B$3,0))</f>
        <v/>
      </c>
      <c r="F33" s="41" t="str">
        <f>IF(Master!$B$3="","",EDATE(Master!$B$3,12)-1)</f>
        <v/>
      </c>
      <c r="G33" s="37"/>
      <c r="H33" s="41" t="str">
        <f t="shared" si="0"/>
        <v/>
      </c>
      <c r="I33" s="42">
        <f>'Annual Election'!$D$2</f>
        <v>0</v>
      </c>
    </row>
    <row r="34" spans="1:9" x14ac:dyDescent="0.45">
      <c r="A34" s="27">
        <f>Master!A$6</f>
        <v>0</v>
      </c>
      <c r="B34" s="27" t="str">
        <f>'Activity List'!A31</f>
        <v>T1-030</v>
      </c>
      <c r="C34" s="27" t="str">
        <f>'Activity List'!C31</f>
        <v>Infilling</v>
      </c>
      <c r="D34" s="27" t="str">
        <f>'Activity List'!D31</f>
        <v>Infill Peg Preparation</v>
      </c>
      <c r="E34" s="41" t="str">
        <f>IF(Master!$B$3="","",EDATE(Master!$B$3,8))</f>
        <v/>
      </c>
      <c r="F34" s="41" t="str">
        <f>IF(Master!$B$3="","",EDATE(Master!$B$3,11)-1)</f>
        <v/>
      </c>
      <c r="G34" s="37"/>
      <c r="H34" s="41" t="str">
        <f t="shared" si="0"/>
        <v/>
      </c>
      <c r="I34" s="42">
        <f>'Annual Election'!$D$2</f>
        <v>0</v>
      </c>
    </row>
    <row r="35" spans="1:9" x14ac:dyDescent="0.45">
      <c r="A35" s="27">
        <f>Master!A$6</f>
        <v>0</v>
      </c>
      <c r="B35" s="27" t="str">
        <f>'Activity List'!A32</f>
        <v>T1-031</v>
      </c>
      <c r="C35" s="27" t="str">
        <f>'Activity List'!C32</f>
        <v>Infilling</v>
      </c>
      <c r="D35" s="27" t="str">
        <f>'Activity List'!D32</f>
        <v>Infill Layout and Pegging</v>
      </c>
      <c r="E35" s="41" t="str">
        <f>IF(Master!$B$3="","",EDATE(Master!$B$3,8))</f>
        <v/>
      </c>
      <c r="F35" s="41" t="str">
        <f>IF(Master!$B$3="","",EDATE(Master!$B$3,11)-1)</f>
        <v/>
      </c>
      <c r="G35" s="37"/>
      <c r="H35" s="41" t="str">
        <f t="shared" si="0"/>
        <v/>
      </c>
      <c r="I35" s="42">
        <f>'Annual Election'!$D$2</f>
        <v>0</v>
      </c>
    </row>
    <row r="36" spans="1:9" x14ac:dyDescent="0.45">
      <c r="A36" s="27">
        <f>Master!A$6</f>
        <v>0</v>
      </c>
      <c r="B36" s="27" t="str">
        <f>'Activity List'!A33</f>
        <v>T1-032</v>
      </c>
      <c r="C36" s="27" t="str">
        <f>'Activity List'!C33</f>
        <v>Infilling</v>
      </c>
      <c r="D36" s="27" t="str">
        <f>'Activity List'!D33</f>
        <v>Infill Hole Digging</v>
      </c>
      <c r="E36" s="41" t="str">
        <f>IF(Master!$B$3="","",EDATE(Master!$B$3,8))</f>
        <v/>
      </c>
      <c r="F36" s="41" t="str">
        <f>IF(Master!$B$3="","",EDATE(Master!$B$3,11)-1)</f>
        <v/>
      </c>
      <c r="G36" s="37"/>
      <c r="H36" s="41" t="str">
        <f t="shared" si="0"/>
        <v/>
      </c>
      <c r="I36" s="42">
        <f>'Annual Election'!$D$2</f>
        <v>0</v>
      </c>
    </row>
    <row r="37" spans="1:9" x14ac:dyDescent="0.45">
      <c r="A37" s="27">
        <f>Master!A$6</f>
        <v>0</v>
      </c>
      <c r="B37" s="27" t="str">
        <f>'Activity List'!A34</f>
        <v>T1-033</v>
      </c>
      <c r="C37" s="27" t="str">
        <f>'Activity List'!C34</f>
        <v>Infilling</v>
      </c>
      <c r="D37" s="27" t="str">
        <f>'Activity List'!D34</f>
        <v>Infill Hole Refilling</v>
      </c>
      <c r="E37" s="41" t="str">
        <f>IF(Master!$B$3="","",EDATE(Master!$B$3,8))</f>
        <v/>
      </c>
      <c r="F37" s="41" t="str">
        <f>IF(Master!$B$3="","",EDATE(Master!$B$3,11)-1)</f>
        <v/>
      </c>
      <c r="G37" s="37"/>
      <c r="H37" s="41" t="str">
        <f t="shared" ref="H37:H68" si="1">IF(E37="","",IF(G37="",F37,E37+G37-1))</f>
        <v/>
      </c>
      <c r="I37" s="42">
        <f>'Annual Election'!$D$2</f>
        <v>0</v>
      </c>
    </row>
    <row r="38" spans="1:9" x14ac:dyDescent="0.45">
      <c r="A38" s="27">
        <f>Master!A$6</f>
        <v>0</v>
      </c>
      <c r="B38" s="27" t="str">
        <f>'Activity List'!A35</f>
        <v>T1-034</v>
      </c>
      <c r="C38" s="27" t="str">
        <f>'Activity List'!C35</f>
        <v>Infilling</v>
      </c>
      <c r="D38" s="27" t="str">
        <f>'Activity List'!D35</f>
        <v>Infill Watchman Tower Prep</v>
      </c>
      <c r="E38" s="41" t="str">
        <f>IF(Master!$B$3="","",EDATE(Master!$B$3,8))</f>
        <v/>
      </c>
      <c r="F38" s="41" t="str">
        <f>IF(Master!$B$3="","",EDATE(Master!$B$3,11)-1)</f>
        <v/>
      </c>
      <c r="G38" s="37"/>
      <c r="H38" s="41" t="str">
        <f t="shared" si="1"/>
        <v/>
      </c>
      <c r="I38" s="42">
        <f>'Annual Election'!$D$2</f>
        <v>0</v>
      </c>
    </row>
    <row r="39" spans="1:9" x14ac:dyDescent="0.45">
      <c r="A39" s="27">
        <f>Master!A$6</f>
        <v>0</v>
      </c>
      <c r="B39" s="27" t="str">
        <f>'Activity List'!A36</f>
        <v>T1-035</v>
      </c>
      <c r="C39" s="27" t="str">
        <f>'Activity List'!C36</f>
        <v>Infilling</v>
      </c>
      <c r="D39" s="27" t="str">
        <f>'Activity List'!D36</f>
        <v>Infill Seedling Transport</v>
      </c>
      <c r="E39" s="41" t="str">
        <f>IF(Master!$B$3="","",EDATE(Master!$B$3,8))</f>
        <v/>
      </c>
      <c r="F39" s="41" t="str">
        <f>IF(Master!$B$3="","",EDATE(Master!$B$3,11)-1)</f>
        <v/>
      </c>
      <c r="G39" s="37"/>
      <c r="H39" s="41" t="str">
        <f t="shared" si="1"/>
        <v/>
      </c>
      <c r="I39" s="42">
        <f>'Annual Election'!$D$2</f>
        <v>0</v>
      </c>
    </row>
    <row r="40" spans="1:9" x14ac:dyDescent="0.45">
      <c r="A40" s="27">
        <f>Master!A$6</f>
        <v>0</v>
      </c>
      <c r="B40" s="27" t="str">
        <f>'Activity List'!A37</f>
        <v>T1-036</v>
      </c>
      <c r="C40" s="27" t="str">
        <f>'Activity List'!C37</f>
        <v>Infilling</v>
      </c>
      <c r="D40" s="27" t="str">
        <f>'Activity List'!D37</f>
        <v>Infill Planting</v>
      </c>
      <c r="E40" s="41" t="str">
        <f>IF(Master!$B$3="","",EDATE(Master!$B$3,8))</f>
        <v/>
      </c>
      <c r="F40" s="41" t="str">
        <f>IF(Master!$B$3="","",EDATE(Master!$B$3,11)-1)</f>
        <v/>
      </c>
      <c r="G40" s="37"/>
      <c r="H40" s="41" t="str">
        <f t="shared" si="1"/>
        <v/>
      </c>
      <c r="I40" s="42">
        <f>'Annual Election'!$D$2</f>
        <v>0</v>
      </c>
    </row>
    <row r="41" spans="1:9" x14ac:dyDescent="0.45">
      <c r="A41" s="27">
        <f>Master!A$6</f>
        <v>0</v>
      </c>
      <c r="B41" s="27" t="str">
        <f>'Activity List'!A38</f>
        <v>T1-037</v>
      </c>
      <c r="C41" s="27" t="str">
        <f>'Activity List'!C38</f>
        <v>Picking &amp; Related</v>
      </c>
      <c r="D41" s="27" t="str">
        <f>'Activity List'!D38</f>
        <v>Harvest Watchman Tower Prep</v>
      </c>
      <c r="E41" s="41" t="str">
        <f>IF(Master!$B$3="","",EDATE(Master!$B$3,0))</f>
        <v/>
      </c>
      <c r="F41" s="41" t="str">
        <f>IF(Master!$B$3="","",EDATE(Master!$B$3,7)-1)</f>
        <v/>
      </c>
      <c r="G41" s="37"/>
      <c r="H41" s="41" t="str">
        <f t="shared" si="1"/>
        <v/>
      </c>
      <c r="I41" s="42">
        <f>'Annual Election'!$D$2</f>
        <v>0</v>
      </c>
    </row>
    <row r="42" spans="1:9" x14ac:dyDescent="0.45">
      <c r="A42" s="27">
        <f>Master!A$6</f>
        <v>0</v>
      </c>
      <c r="B42" s="27" t="str">
        <f>'Activity List'!A39</f>
        <v>T1-038</v>
      </c>
      <c r="C42" s="27" t="str">
        <f>'Activity List'!C39</f>
        <v>Picking &amp; Related</v>
      </c>
      <c r="D42" s="27" t="str">
        <f>'Activity List'!D39</f>
        <v>Drying Bed Material Prep and Transport</v>
      </c>
      <c r="E42" s="41" t="str">
        <f>IF(Master!$B$3="","",EDATE(Master!$B$3,0))</f>
        <v/>
      </c>
      <c r="F42" s="41" t="str">
        <f>IF(Master!$B$3="","",EDATE(Master!$B$3,7)-1)</f>
        <v/>
      </c>
      <c r="G42" s="37"/>
      <c r="H42" s="41" t="str">
        <f t="shared" si="1"/>
        <v/>
      </c>
      <c r="I42" s="42">
        <f>'Annual Election'!$D$2</f>
        <v>0</v>
      </c>
    </row>
    <row r="43" spans="1:9" x14ac:dyDescent="0.45">
      <c r="A43" s="27">
        <f>Master!A$6</f>
        <v>0</v>
      </c>
      <c r="B43" s="27" t="str">
        <f>'Activity List'!A40</f>
        <v>T1-039</v>
      </c>
      <c r="C43" s="27" t="str">
        <f>'Activity List'!C40</f>
        <v>Picking &amp; Related</v>
      </c>
      <c r="D43" s="27" t="str">
        <f>'Activity List'!D40</f>
        <v>Drying Bed Site Cleaning</v>
      </c>
      <c r="E43" s="41" t="str">
        <f>IF(Master!$B$3="","",EDATE(Master!$B$3,0))</f>
        <v/>
      </c>
      <c r="F43" s="41" t="str">
        <f>IF(Master!$B$3="","",EDATE(Master!$B$3,7)-1)</f>
        <v/>
      </c>
      <c r="G43" s="37"/>
      <c r="H43" s="41" t="str">
        <f t="shared" si="1"/>
        <v/>
      </c>
      <c r="I43" s="42">
        <f>'Annual Election'!$D$2</f>
        <v>0</v>
      </c>
    </row>
    <row r="44" spans="1:9" x14ac:dyDescent="0.45">
      <c r="A44" s="27">
        <f>Master!A$6</f>
        <v>0</v>
      </c>
      <c r="B44" s="27" t="str">
        <f>'Activity List'!A41</f>
        <v>T1-040</v>
      </c>
      <c r="C44" s="27" t="str">
        <f>'Activity List'!C41</f>
        <v>Picking &amp; Related</v>
      </c>
      <c r="D44" s="27" t="str">
        <f>'Activity List'!D41</f>
        <v>Drying Bed Construction</v>
      </c>
      <c r="E44" s="41" t="str">
        <f>IF(Master!$B$3="","",EDATE(Master!$B$3,0))</f>
        <v/>
      </c>
      <c r="F44" s="41" t="str">
        <f>IF(Master!$B$3="","",EDATE(Master!$B$3,7)-1)</f>
        <v/>
      </c>
      <c r="G44" s="37"/>
      <c r="H44" s="41" t="str">
        <f t="shared" si="1"/>
        <v/>
      </c>
      <c r="I44" s="42">
        <f>'Annual Election'!$D$2</f>
        <v>0</v>
      </c>
    </row>
    <row r="45" spans="1:9" x14ac:dyDescent="0.45">
      <c r="A45" s="27">
        <f>Master!A$6</f>
        <v>0</v>
      </c>
      <c r="B45" s="27" t="str">
        <f>'Activity List'!A42</f>
        <v>T1-041</v>
      </c>
      <c r="C45" s="27" t="str">
        <f>'Activity List'!C42</f>
        <v>Picking &amp; Related</v>
      </c>
      <c r="D45" s="27" t="str">
        <f>'Activity List'!D42</f>
        <v>Selective Picking, Red Cherry</v>
      </c>
      <c r="E45" s="41" t="str">
        <f>IF(Master!$B$3="","",EDATE(Master!$B$3,0))</f>
        <v/>
      </c>
      <c r="F45" s="41" t="str">
        <f>IF(Master!$B$3="","",EDATE(Master!$B$3,7)-1)</f>
        <v/>
      </c>
      <c r="G45" s="37"/>
      <c r="H45" s="41" t="str">
        <f t="shared" si="1"/>
        <v/>
      </c>
      <c r="I45" s="42">
        <f>'Annual Election'!$D$2</f>
        <v>0</v>
      </c>
    </row>
    <row r="46" spans="1:9" x14ac:dyDescent="0.45">
      <c r="A46" s="27">
        <f>Master!A$6</f>
        <v>0</v>
      </c>
      <c r="B46" s="27" t="str">
        <f>'Activity List'!A43</f>
        <v>T1-042</v>
      </c>
      <c r="C46" s="27" t="str">
        <f>'Activity List'!C43</f>
        <v>Picking &amp; Related</v>
      </c>
      <c r="D46" s="27" t="str">
        <f>'Activity List'!D43</f>
        <v>Cherry Drying on Bed</v>
      </c>
      <c r="E46" s="41" t="str">
        <f>IF(Master!$B$3="","",EDATE(Master!$B$3,0))</f>
        <v/>
      </c>
      <c r="F46" s="41" t="str">
        <f>IF(Master!$B$3="","",EDATE(Master!$B$3,7)-1)</f>
        <v/>
      </c>
      <c r="G46" s="37"/>
      <c r="H46" s="41" t="str">
        <f t="shared" si="1"/>
        <v/>
      </c>
      <c r="I46" s="42">
        <f>'Annual Election'!$D$2</f>
        <v>0</v>
      </c>
    </row>
    <row r="47" spans="1:9" x14ac:dyDescent="0.45">
      <c r="A47" s="27">
        <f>Master!A$6</f>
        <v>0</v>
      </c>
      <c r="B47" s="27" t="str">
        <f>'Activity List'!A44</f>
        <v>T1-043</v>
      </c>
      <c r="C47" s="27" t="str">
        <f>'Activity List'!C44</f>
        <v>Picking &amp; Related</v>
      </c>
      <c r="D47" s="27" t="str">
        <f>'Activity List'!D44</f>
        <v>Drying Bed Maintenance</v>
      </c>
      <c r="E47" s="41" t="str">
        <f>IF(Master!$B$3="","",EDATE(Master!$B$3,0))</f>
        <v/>
      </c>
      <c r="F47" s="41" t="str">
        <f>IF(Master!$B$3="","",EDATE(Master!$B$3,7)-1)</f>
        <v/>
      </c>
      <c r="G47" s="37"/>
      <c r="H47" s="41" t="str">
        <f t="shared" si="1"/>
        <v/>
      </c>
      <c r="I47" s="42">
        <f>'Annual Election'!$D$2</f>
        <v>0</v>
      </c>
    </row>
    <row r="48" spans="1:9" x14ac:dyDescent="0.45">
      <c r="A48" s="27">
        <f>Master!A$6</f>
        <v>0</v>
      </c>
      <c r="B48" s="27" t="str">
        <f>'Activity List'!A45</f>
        <v>T1-044</v>
      </c>
      <c r="C48" s="27" t="str">
        <f>'Activity List'!C45</f>
        <v>Picking &amp; Related</v>
      </c>
      <c r="D48" s="27" t="str">
        <f>'Activity List'!D45</f>
        <v>Weighing and Arranging Dry Coffee</v>
      </c>
      <c r="E48" s="41" t="str">
        <f>IF(Master!$B$3="","",EDATE(Master!$B$3,0))</f>
        <v/>
      </c>
      <c r="F48" s="41" t="str">
        <f>IF(Master!$B$3="","",EDATE(Master!$B$3,7)-1)</f>
        <v/>
      </c>
      <c r="G48" s="37"/>
      <c r="H48" s="41" t="str">
        <f t="shared" si="1"/>
        <v/>
      </c>
      <c r="I48" s="42">
        <f>'Annual Election'!$D$2</f>
        <v>0</v>
      </c>
    </row>
    <row r="49" spans="1:9" x14ac:dyDescent="0.45">
      <c r="A49" s="27">
        <f>Master!A$6</f>
        <v>0</v>
      </c>
      <c r="B49" s="27" t="str">
        <f>'Activity List'!A46</f>
        <v>T1-045</v>
      </c>
      <c r="C49" s="27" t="str">
        <f>'Activity List'!C46</f>
        <v>Picking &amp; Related</v>
      </c>
      <c r="D49" s="27" t="str">
        <f>'Activity List'!D46</f>
        <v>Loading Dry Coffee, Farm 1 to 2</v>
      </c>
      <c r="E49" s="41" t="str">
        <f>IF(Master!$B$3="","",EDATE(Master!$B$3,0))</f>
        <v/>
      </c>
      <c r="F49" s="41" t="str">
        <f>IF(Master!$B$3="","",EDATE(Master!$B$3,7)-1)</f>
        <v/>
      </c>
      <c r="G49" s="37"/>
      <c r="H49" s="41" t="str">
        <f t="shared" si="1"/>
        <v/>
      </c>
      <c r="I49" s="42">
        <f>'Annual Election'!$D$2</f>
        <v>0</v>
      </c>
    </row>
    <row r="50" spans="1:9" x14ac:dyDescent="0.45">
      <c r="A50" s="27">
        <f>Master!A$6</f>
        <v>0</v>
      </c>
      <c r="B50" s="27" t="str">
        <f>'Activity List'!A47</f>
        <v>T1-046</v>
      </c>
      <c r="C50" s="27" t="str">
        <f>'Activity List'!C47</f>
        <v>Picking &amp; Related</v>
      </c>
      <c r="D50" s="27" t="str">
        <f>'Activity List'!D47</f>
        <v>Loading Dry Coffee, Farm to Hulling</v>
      </c>
      <c r="E50" s="41" t="str">
        <f>IF(Master!$B$3="","",EDATE(Master!$B$3,0))</f>
        <v/>
      </c>
      <c r="F50" s="41" t="str">
        <f>IF(Master!$B$3="","",EDATE(Master!$B$3,7)-1)</f>
        <v/>
      </c>
      <c r="G50" s="37"/>
      <c r="H50" s="41" t="str">
        <f t="shared" si="1"/>
        <v/>
      </c>
      <c r="I50" s="42">
        <f>'Annual Election'!$D$2</f>
        <v>0</v>
      </c>
    </row>
    <row r="51" spans="1:9" x14ac:dyDescent="0.45">
      <c r="A51" s="27">
        <f>Master!A$6</f>
        <v>0</v>
      </c>
      <c r="B51" s="27" t="str">
        <f>'Activity List'!A48</f>
        <v>T1-047</v>
      </c>
      <c r="C51" s="27" t="str">
        <f>'Activity List'!C48</f>
        <v>Picking &amp; Related</v>
      </c>
      <c r="D51" s="27" t="str">
        <f>'Activity List'!D48</f>
        <v>Transport Vehicle Rental</v>
      </c>
      <c r="E51" s="41" t="str">
        <f>IF(Master!$B$3="","",EDATE(Master!$B$3,0))</f>
        <v/>
      </c>
      <c r="F51" s="41" t="str">
        <f>IF(Master!$B$3="","",EDATE(Master!$B$3,7)-1)</f>
        <v/>
      </c>
      <c r="G51" s="37"/>
      <c r="H51" s="41" t="str">
        <f t="shared" si="1"/>
        <v/>
      </c>
      <c r="I51" s="42">
        <f>'Annual Election'!$D$2</f>
        <v>0</v>
      </c>
    </row>
    <row r="52" spans="1:9" x14ac:dyDescent="0.45">
      <c r="A52" s="27">
        <f>Master!A$6</f>
        <v>0</v>
      </c>
      <c r="B52" s="27" t="str">
        <f>'Activity List'!A49</f>
        <v>T1-048</v>
      </c>
      <c r="C52" s="27" t="str">
        <f>'Activity List'!C49</f>
        <v>Picking &amp; Related</v>
      </c>
      <c r="D52" s="27" t="str">
        <f>'Activity List'!D49</f>
        <v>Unloading Dry Coffee at Hulling</v>
      </c>
      <c r="E52" s="41" t="str">
        <f>IF(Master!$B$3="","",EDATE(Master!$B$3,0))</f>
        <v/>
      </c>
      <c r="F52" s="41" t="str">
        <f>IF(Master!$B$3="","",EDATE(Master!$B$3,7)-1)</f>
        <v/>
      </c>
      <c r="G52" s="37"/>
      <c r="H52" s="41" t="str">
        <f t="shared" si="1"/>
        <v/>
      </c>
      <c r="I52" s="42">
        <f>'Annual Election'!$D$2</f>
        <v>0</v>
      </c>
    </row>
    <row r="53" spans="1:9" x14ac:dyDescent="0.45">
      <c r="A53" s="27">
        <f>Master!A$6</f>
        <v>0</v>
      </c>
      <c r="B53" s="27" t="str">
        <f>'Activity List'!A50</f>
        <v>T1-049</v>
      </c>
      <c r="C53" s="27" t="str">
        <f>'Activity List'!C50</f>
        <v>Picking &amp; Related</v>
      </c>
      <c r="D53" s="27" t="str">
        <f>'Activity List'!D50</f>
        <v>Hulling of Dry Coffee (incl. VAT)</v>
      </c>
      <c r="E53" s="41" t="str">
        <f>IF(Master!$B$3="","",EDATE(Master!$B$3,0))</f>
        <v/>
      </c>
      <c r="F53" s="41" t="str">
        <f>IF(Master!$B$3="","",EDATE(Master!$B$3,7)-1)</f>
        <v/>
      </c>
      <c r="G53" s="37"/>
      <c r="H53" s="41" t="str">
        <f t="shared" si="1"/>
        <v/>
      </c>
      <c r="I53" s="42">
        <f>'Annual Election'!$D$2</f>
        <v>0</v>
      </c>
    </row>
    <row r="54" spans="1:9" x14ac:dyDescent="0.45">
      <c r="A54" s="27">
        <f>Master!A$6</f>
        <v>0</v>
      </c>
      <c r="B54" s="27" t="str">
        <f>'Activity List'!A51</f>
        <v>T1-050</v>
      </c>
      <c r="C54" s="27" t="str">
        <f>'Activity List'!C51</f>
        <v>Picking &amp; Related</v>
      </c>
      <c r="D54" s="27" t="str">
        <f>'Activity List'!D51</f>
        <v>Unloading at Warehouse</v>
      </c>
      <c r="E54" s="41" t="str">
        <f>IF(Master!$B$3="","",EDATE(Master!$B$3,0))</f>
        <v/>
      </c>
      <c r="F54" s="41" t="str">
        <f>IF(Master!$B$3="","",EDATE(Master!$B$3,7)-1)</f>
        <v/>
      </c>
      <c r="G54" s="37"/>
      <c r="H54" s="41" t="str">
        <f t="shared" si="1"/>
        <v/>
      </c>
      <c r="I54" s="42">
        <f>'Annual Election'!$D$2</f>
        <v>0</v>
      </c>
    </row>
    <row r="55" spans="1:9" x14ac:dyDescent="0.45">
      <c r="A55" s="27">
        <f>Master!A$6</f>
        <v>0</v>
      </c>
      <c r="B55" s="27" t="str">
        <f>'Activity List'!A52</f>
        <v>T1-051</v>
      </c>
      <c r="C55" s="27" t="str">
        <f>'Activity List'!C52</f>
        <v>Picking &amp; Related</v>
      </c>
      <c r="D55" s="27" t="str">
        <f>'Activity List'!D52</f>
        <v>Transport Clean Coffee to Addis Ababa</v>
      </c>
      <c r="E55" s="41" t="str">
        <f>IF(Master!$B$3="","",EDATE(Master!$B$3,0))</f>
        <v/>
      </c>
      <c r="F55" s="41" t="str">
        <f>IF(Master!$B$3="","",EDATE(Master!$B$3,7)-1)</f>
        <v/>
      </c>
      <c r="G55" s="37"/>
      <c r="H55" s="41" t="str">
        <f t="shared" si="1"/>
        <v/>
      </c>
      <c r="I55" s="42">
        <f>'Annual Election'!$D$2</f>
        <v>0</v>
      </c>
    </row>
    <row r="56" spans="1:9" x14ac:dyDescent="0.45">
      <c r="A56" s="27">
        <f>Master!A$6</f>
        <v>0</v>
      </c>
      <c r="B56" s="27" t="str">
        <f>'Activity List'!A53</f>
        <v>T1-052</v>
      </c>
      <c r="C56" s="27" t="str">
        <f>'Activity List'!C53</f>
        <v>Picking &amp; Related</v>
      </c>
      <c r="D56" s="27" t="str">
        <f>'Activity List'!D53</f>
        <v>Drying Bed Removal</v>
      </c>
      <c r="E56" s="41" t="str">
        <f>IF(Master!$B$3="","",EDATE(Master!$B$3,0))</f>
        <v/>
      </c>
      <c r="F56" s="41" t="str">
        <f>IF(Master!$B$3="","",EDATE(Master!$B$3,7)-1)</f>
        <v/>
      </c>
      <c r="G56" s="37"/>
      <c r="H56" s="41" t="str">
        <f t="shared" si="1"/>
        <v/>
      </c>
      <c r="I56" s="42">
        <f>'Annual Election'!$D$2</f>
        <v>0</v>
      </c>
    </row>
    <row r="57" spans="1:9" x14ac:dyDescent="0.45">
      <c r="A57" s="27">
        <f>Master!A$6</f>
        <v>0</v>
      </c>
      <c r="B57" s="27" t="str">
        <f>'Activity List'!A54</f>
        <v>T2-001</v>
      </c>
      <c r="C57" s="27" t="str">
        <f>'Activity List'!C54</f>
        <v>A. Annual Harvest Management</v>
      </c>
      <c r="D57" s="27" t="str">
        <f>'Activity List'!D54</f>
        <v>Harvest Planning</v>
      </c>
      <c r="E57" s="41" t="str">
        <f>IF(Master!$B$3="","",EDATE(Master!$B$3,0))</f>
        <v/>
      </c>
      <c r="F57" s="41" t="str">
        <f>IF(Master!$B$3="","",EDATE(Master!$B$3,7)-1)</f>
        <v/>
      </c>
      <c r="G57" s="37"/>
      <c r="H57" s="41" t="str">
        <f t="shared" si="1"/>
        <v/>
      </c>
      <c r="I57" s="19" t="s">
        <v>182</v>
      </c>
    </row>
    <row r="58" spans="1:9" x14ac:dyDescent="0.45">
      <c r="A58" s="27">
        <f>Master!A$6</f>
        <v>0</v>
      </c>
      <c r="B58" s="27" t="str">
        <f>'Activity List'!A55</f>
        <v>T2-002</v>
      </c>
      <c r="C58" s="27" t="str">
        <f>'Activity List'!C55</f>
        <v>A. Annual Harvest Management</v>
      </c>
      <c r="D58" s="27" t="str">
        <f>'Activity List'!D55</f>
        <v>Labour Mobilisation</v>
      </c>
      <c r="E58" s="41" t="str">
        <f>IF(Master!$B$3="","",EDATE(Master!$B$3,0))</f>
        <v/>
      </c>
      <c r="F58" s="41" t="str">
        <f>IF(Master!$B$3="","",EDATE(Master!$B$3,7)-1)</f>
        <v/>
      </c>
      <c r="G58" s="37"/>
      <c r="H58" s="41" t="str">
        <f t="shared" si="1"/>
        <v/>
      </c>
      <c r="I58" s="19" t="s">
        <v>182</v>
      </c>
    </row>
    <row r="59" spans="1:9" x14ac:dyDescent="0.45">
      <c r="A59" s="27">
        <f>Master!A$6</f>
        <v>0</v>
      </c>
      <c r="B59" s="27" t="str">
        <f>'Activity List'!A56</f>
        <v>T2-003</v>
      </c>
      <c r="C59" s="27" t="str">
        <f>'Activity List'!C56</f>
        <v>A. Annual Harvest Management</v>
      </c>
      <c r="D59" s="27" t="str">
        <f>'Activity List'!D56</f>
        <v>Harvest Supervision</v>
      </c>
      <c r="E59" s="41" t="str">
        <f>IF(Master!$B$3="","",EDATE(Master!$B$3,0))</f>
        <v/>
      </c>
      <c r="F59" s="41" t="str">
        <f>IF(Master!$B$3="","",EDATE(Master!$B$3,7)-1)</f>
        <v/>
      </c>
      <c r="G59" s="37"/>
      <c r="H59" s="41" t="str">
        <f t="shared" si="1"/>
        <v/>
      </c>
      <c r="I59" s="19" t="s">
        <v>182</v>
      </c>
    </row>
    <row r="60" spans="1:9" x14ac:dyDescent="0.45">
      <c r="A60" s="27">
        <f>Master!A$6</f>
        <v>0</v>
      </c>
      <c r="B60" s="27" t="str">
        <f>'Activity List'!A57</f>
        <v>T2-004</v>
      </c>
      <c r="C60" s="27" t="str">
        <f>'Activity List'!C57</f>
        <v>A. Annual Harvest Management</v>
      </c>
      <c r="D60" s="27" t="str">
        <f>'Activity List'!D57</f>
        <v>Daily Production Monitoring</v>
      </c>
      <c r="E60" s="41" t="str">
        <f>IF(Master!$B$3="","",EDATE(Master!$B$3,0))</f>
        <v/>
      </c>
      <c r="F60" s="41" t="str">
        <f>IF(Master!$B$3="","",EDATE(Master!$B$3,7)-1)</f>
        <v/>
      </c>
      <c r="G60" s="37"/>
      <c r="H60" s="41" t="str">
        <f t="shared" si="1"/>
        <v/>
      </c>
      <c r="I60" s="19" t="s">
        <v>182</v>
      </c>
    </row>
    <row r="61" spans="1:9" x14ac:dyDescent="0.45">
      <c r="A61" s="27">
        <f>Master!A$6</f>
        <v>0</v>
      </c>
      <c r="B61" s="27" t="str">
        <f>'Activity List'!A58</f>
        <v>T2-005</v>
      </c>
      <c r="C61" s="27" t="str">
        <f>'Activity List'!C58</f>
        <v>A. Annual Harvest Management</v>
      </c>
      <c r="D61" s="27" t="str">
        <f>'Activity List'!D58</f>
        <v>Quality Monitoring (Harvest)</v>
      </c>
      <c r="E61" s="41" t="str">
        <f>IF(Master!$B$3="","",EDATE(Master!$B$3,0))</f>
        <v/>
      </c>
      <c r="F61" s="41" t="str">
        <f>IF(Master!$B$3="","",EDATE(Master!$B$3,7)-1)</f>
        <v/>
      </c>
      <c r="G61" s="37"/>
      <c r="H61" s="41" t="str">
        <f t="shared" si="1"/>
        <v/>
      </c>
      <c r="I61" s="19" t="s">
        <v>182</v>
      </c>
    </row>
    <row r="62" spans="1:9" x14ac:dyDescent="0.45">
      <c r="A62" s="27">
        <f>Master!A$6</f>
        <v>0</v>
      </c>
      <c r="B62" s="27" t="str">
        <f>'Activity List'!A59</f>
        <v>T2-006</v>
      </c>
      <c r="C62" s="27" t="str">
        <f>'Activity List'!C59</f>
        <v>A. Annual Harvest Management</v>
      </c>
      <c r="D62" s="27" t="str">
        <f>'Activity List'!D59</f>
        <v>Cherry Movement Coordination</v>
      </c>
      <c r="E62" s="41" t="str">
        <f>IF(Master!$B$3="","",EDATE(Master!$B$3,0))</f>
        <v/>
      </c>
      <c r="F62" s="41" t="str">
        <f>IF(Master!$B$3="","",EDATE(Master!$B$3,7)-1)</f>
        <v/>
      </c>
      <c r="G62" s="37"/>
      <c r="H62" s="41" t="str">
        <f t="shared" si="1"/>
        <v/>
      </c>
      <c r="I62" s="19" t="s">
        <v>182</v>
      </c>
    </row>
    <row r="63" spans="1:9" x14ac:dyDescent="0.45">
      <c r="A63" s="27">
        <f>Master!A$6</f>
        <v>0</v>
      </c>
      <c r="B63" s="27" t="str">
        <f>'Activity List'!A60</f>
        <v>T2-007</v>
      </c>
      <c r="C63" s="27" t="str">
        <f>'Activity List'!C60</f>
        <v>A. Annual Harvest Management</v>
      </c>
      <c r="D63" s="27" t="str">
        <f>'Activity List'!D60</f>
        <v>Daily Harvest Reporting</v>
      </c>
      <c r="E63" s="41" t="str">
        <f>IF(Master!$B$3="","",EDATE(Master!$B$3,0))</f>
        <v/>
      </c>
      <c r="F63" s="41" t="str">
        <f>IF(Master!$B$3="","",EDATE(Master!$B$3,7)-1)</f>
        <v/>
      </c>
      <c r="G63" s="37"/>
      <c r="H63" s="41" t="str">
        <f t="shared" si="1"/>
        <v/>
      </c>
      <c r="I63" s="19" t="s">
        <v>182</v>
      </c>
    </row>
    <row r="64" spans="1:9" x14ac:dyDescent="0.45">
      <c r="A64" s="27">
        <f>Master!A$6</f>
        <v>0</v>
      </c>
      <c r="B64" s="27" t="str">
        <f>'Activity List'!A61</f>
        <v>T2-008</v>
      </c>
      <c r="C64" s="27" t="str">
        <f>'Activity List'!C61</f>
        <v>A. Annual Harvest Management</v>
      </c>
      <c r="D64" s="27" t="str">
        <f>'Activity List'!D61</f>
        <v>Yield Reconciliation</v>
      </c>
      <c r="E64" s="41" t="str">
        <f>IF(Master!$B$3="","",EDATE(Master!$B$3,0))</f>
        <v/>
      </c>
      <c r="F64" s="41" t="str">
        <f>IF(Master!$B$3="","",EDATE(Master!$B$3,7)-1)</f>
        <v/>
      </c>
      <c r="G64" s="37"/>
      <c r="H64" s="41" t="str">
        <f t="shared" si="1"/>
        <v/>
      </c>
      <c r="I64" s="19" t="s">
        <v>182</v>
      </c>
    </row>
    <row r="65" spans="1:9" x14ac:dyDescent="0.45">
      <c r="A65" s="27">
        <f>Master!A$6</f>
        <v>0</v>
      </c>
      <c r="B65" s="27" t="str">
        <f>'Activity List'!A62</f>
        <v>T2-009</v>
      </c>
      <c r="C65" s="27" t="str">
        <f>'Activity List'!C62</f>
        <v>A. Annual Harvest Management</v>
      </c>
      <c r="D65" s="27" t="str">
        <f>'Activity List'!D62</f>
        <v>Harvest Close-Out</v>
      </c>
      <c r="E65" s="41" t="str">
        <f>IF(Master!$B$3="","",EDATE(Master!$B$3,0))</f>
        <v/>
      </c>
      <c r="F65" s="41" t="str">
        <f>IF(Master!$B$3="","",EDATE(Master!$B$3,7)-1)</f>
        <v/>
      </c>
      <c r="G65" s="37"/>
      <c r="H65" s="41" t="str">
        <f t="shared" si="1"/>
        <v/>
      </c>
      <c r="I65" s="19" t="s">
        <v>182</v>
      </c>
    </row>
    <row r="66" spans="1:9" x14ac:dyDescent="0.45">
      <c r="A66" s="27">
        <f>Master!A$6</f>
        <v>0</v>
      </c>
      <c r="B66" s="27" t="str">
        <f>'Activity List'!A63</f>
        <v>T2-010</v>
      </c>
      <c r="C66" s="27" t="str">
        <f>'Activity List'!C63</f>
        <v>B. Coffee Operations</v>
      </c>
      <c r="D66" s="27" t="str">
        <f>'Activity List'!D63</f>
        <v>Cherry Reception</v>
      </c>
      <c r="E66" s="41" t="str">
        <f>IF(Master!$B$3="","",EDATE(Master!$B$3,1))</f>
        <v/>
      </c>
      <c r="F66" s="41" t="str">
        <f>IF(Master!$B$3="","",EDATE(Master!$B$3,8)-1)</f>
        <v/>
      </c>
      <c r="G66" s="37"/>
      <c r="H66" s="41" t="str">
        <f t="shared" si="1"/>
        <v/>
      </c>
      <c r="I66" s="19" t="s">
        <v>182</v>
      </c>
    </row>
    <row r="67" spans="1:9" x14ac:dyDescent="0.45">
      <c r="A67" s="27">
        <f>Master!A$6</f>
        <v>0</v>
      </c>
      <c r="B67" s="27" t="str">
        <f>'Activity List'!A64</f>
        <v>T2-011</v>
      </c>
      <c r="C67" s="27" t="str">
        <f>'Activity List'!C64</f>
        <v>B. Coffee Operations</v>
      </c>
      <c r="D67" s="27" t="str">
        <f>'Activity List'!D64</f>
        <v>Washing Supervision</v>
      </c>
      <c r="E67" s="41" t="str">
        <f>IF(Master!$B$3="","",EDATE(Master!$B$3,1))</f>
        <v/>
      </c>
      <c r="F67" s="41" t="str">
        <f>IF(Master!$B$3="","",EDATE(Master!$B$3,8)-1)</f>
        <v/>
      </c>
      <c r="G67" s="37"/>
      <c r="H67" s="41" t="str">
        <f t="shared" si="1"/>
        <v/>
      </c>
      <c r="I67" s="19" t="s">
        <v>182</v>
      </c>
    </row>
    <row r="68" spans="1:9" x14ac:dyDescent="0.45">
      <c r="A68" s="27">
        <f>Master!A$6</f>
        <v>0</v>
      </c>
      <c r="B68" s="27" t="str">
        <f>'Activity List'!A65</f>
        <v>T2-012</v>
      </c>
      <c r="C68" s="27" t="str">
        <f>'Activity List'!C65</f>
        <v>B. Coffee Operations</v>
      </c>
      <c r="D68" s="27" t="str">
        <f>'Activity List'!D65</f>
        <v>Fermentation Supervision</v>
      </c>
      <c r="E68" s="41" t="str">
        <f>IF(Master!$B$3="","",EDATE(Master!$B$3,1))</f>
        <v/>
      </c>
      <c r="F68" s="41" t="str">
        <f>IF(Master!$B$3="","",EDATE(Master!$B$3,8)-1)</f>
        <v/>
      </c>
      <c r="G68" s="37"/>
      <c r="H68" s="41" t="str">
        <f t="shared" si="1"/>
        <v/>
      </c>
      <c r="I68" s="19" t="s">
        <v>182</v>
      </c>
    </row>
    <row r="69" spans="1:9" x14ac:dyDescent="0.45">
      <c r="A69" s="27">
        <f>Master!A$6</f>
        <v>0</v>
      </c>
      <c r="B69" s="27" t="str">
        <f>'Activity List'!A66</f>
        <v>T2-013</v>
      </c>
      <c r="C69" s="27" t="str">
        <f>'Activity List'!C66</f>
        <v>B. Coffee Operations</v>
      </c>
      <c r="D69" s="27" t="str">
        <f>'Activity List'!D66</f>
        <v>Drying Supervision</v>
      </c>
      <c r="E69" s="41" t="str">
        <f>IF(Master!$B$3="","",EDATE(Master!$B$3,1))</f>
        <v/>
      </c>
      <c r="F69" s="41" t="str">
        <f>IF(Master!$B$3="","",EDATE(Master!$B$3,8)-1)</f>
        <v/>
      </c>
      <c r="G69" s="37"/>
      <c r="H69" s="41" t="str">
        <f t="shared" ref="H69:H100" si="2">IF(E69="","",IF(G69="",F69,E69+G69-1))</f>
        <v/>
      </c>
      <c r="I69" s="19" t="s">
        <v>182</v>
      </c>
    </row>
    <row r="70" spans="1:9" x14ac:dyDescent="0.45">
      <c r="A70" s="27">
        <f>Master!A$6</f>
        <v>0</v>
      </c>
      <c r="B70" s="27" t="str">
        <f>'Activity List'!A67</f>
        <v>T2-014</v>
      </c>
      <c r="C70" s="27" t="str">
        <f>'Activity List'!C67</f>
        <v>B. Coffee Operations</v>
      </c>
      <c r="D70" s="27" t="str">
        <f>'Activity List'!D67</f>
        <v>Moisture Management</v>
      </c>
      <c r="E70" s="41" t="str">
        <f>IF(Master!$B$3="","",EDATE(Master!$B$3,1))</f>
        <v/>
      </c>
      <c r="F70" s="41" t="str">
        <f>IF(Master!$B$3="","",EDATE(Master!$B$3,8)-1)</f>
        <v/>
      </c>
      <c r="G70" s="37"/>
      <c r="H70" s="41" t="str">
        <f t="shared" si="2"/>
        <v/>
      </c>
      <c r="I70" s="19" t="s">
        <v>182</v>
      </c>
    </row>
    <row r="71" spans="1:9" x14ac:dyDescent="0.45">
      <c r="A71" s="27">
        <f>Master!A$6</f>
        <v>0</v>
      </c>
      <c r="B71" s="27" t="str">
        <f>'Activity List'!A68</f>
        <v>T2-015</v>
      </c>
      <c r="C71" s="27" t="str">
        <f>'Activity List'!C68</f>
        <v>B. Coffee Operations</v>
      </c>
      <c r="D71" s="27" t="str">
        <f>'Activity List'!D68</f>
        <v>Parchment Storage</v>
      </c>
      <c r="E71" s="41" t="str">
        <f>IF(Master!$B$3="","",EDATE(Master!$B$3,1))</f>
        <v/>
      </c>
      <c r="F71" s="41" t="str">
        <f>IF(Master!$B$3="","",EDATE(Master!$B$3,8)-1)</f>
        <v/>
      </c>
      <c r="G71" s="37"/>
      <c r="H71" s="41" t="str">
        <f t="shared" si="2"/>
        <v/>
      </c>
      <c r="I71" s="19" t="s">
        <v>182</v>
      </c>
    </row>
    <row r="72" spans="1:9" x14ac:dyDescent="0.45">
      <c r="A72" s="27">
        <f>Master!A$6</f>
        <v>0</v>
      </c>
      <c r="B72" s="27" t="str">
        <f>'Activity List'!A69</f>
        <v>T2-016</v>
      </c>
      <c r="C72" s="27" t="str">
        <f>'Activity List'!C69</f>
        <v>B. Coffee Operations</v>
      </c>
      <c r="D72" s="27" t="str">
        <f>'Activity List'!D69</f>
        <v>Warehouse Management</v>
      </c>
      <c r="E72" s="41" t="str">
        <f>IF(Master!$B$3="","",EDATE(Master!$B$3,1))</f>
        <v/>
      </c>
      <c r="F72" s="41" t="str">
        <f>IF(Master!$B$3="","",EDATE(Master!$B$3,8)-1)</f>
        <v/>
      </c>
      <c r="G72" s="37"/>
      <c r="H72" s="41" t="str">
        <f t="shared" si="2"/>
        <v/>
      </c>
      <c r="I72" s="19" t="s">
        <v>182</v>
      </c>
    </row>
    <row r="73" spans="1:9" x14ac:dyDescent="0.45">
      <c r="A73" s="27">
        <f>Master!A$6</f>
        <v>0</v>
      </c>
      <c r="B73" s="27" t="str">
        <f>'Activity List'!A70</f>
        <v>T2-017</v>
      </c>
      <c r="C73" s="27" t="str">
        <f>'Activity List'!C70</f>
        <v>B. Coffee Operations</v>
      </c>
      <c r="D73" s="27" t="str">
        <f>'Activity List'!D70</f>
        <v>Inventory Reconciliation</v>
      </c>
      <c r="E73" s="41" t="str">
        <f>IF(Master!$B$3="","",EDATE(Master!$B$3,1))</f>
        <v/>
      </c>
      <c r="F73" s="41" t="str">
        <f>IF(Master!$B$3="","",EDATE(Master!$B$3,8)-1)</f>
        <v/>
      </c>
      <c r="G73" s="37"/>
      <c r="H73" s="41" t="str">
        <f t="shared" si="2"/>
        <v/>
      </c>
      <c r="I73" s="19" t="s">
        <v>182</v>
      </c>
    </row>
    <row r="74" spans="1:9" x14ac:dyDescent="0.45">
      <c r="A74" s="27">
        <f>Master!A$6</f>
        <v>0</v>
      </c>
      <c r="B74" s="27" t="str">
        <f>'Activity List'!A71</f>
        <v>T2-018</v>
      </c>
      <c r="C74" s="27" t="str">
        <f>'Activity List'!C71</f>
        <v>B. Coffee Operations</v>
      </c>
      <c r="D74" s="27" t="str">
        <f>'Activity List'!D71</f>
        <v>Internal Transport Coordination</v>
      </c>
      <c r="E74" s="41" t="str">
        <f>IF(Master!$B$3="","",EDATE(Master!$B$3,1))</f>
        <v/>
      </c>
      <c r="F74" s="41" t="str">
        <f>IF(Master!$B$3="","",EDATE(Master!$B$3,8)-1)</f>
        <v/>
      </c>
      <c r="G74" s="37"/>
      <c r="H74" s="41" t="str">
        <f t="shared" si="2"/>
        <v/>
      </c>
      <c r="I74" s="19" t="s">
        <v>182</v>
      </c>
    </row>
    <row r="75" spans="1:9" x14ac:dyDescent="0.45">
      <c r="A75" s="27">
        <f>Master!A$6</f>
        <v>0</v>
      </c>
      <c r="B75" s="27" t="str">
        <f>'Activity List'!A72</f>
        <v>T2-019</v>
      </c>
      <c r="C75" s="27" t="str">
        <f>'Activity List'!C72</f>
        <v>B. Coffee Operations</v>
      </c>
      <c r="D75" s="27" t="str">
        <f>'Activity List'!D72</f>
        <v>Hulling Supervision</v>
      </c>
      <c r="E75" s="41" t="str">
        <f>IF(Master!$B$3="","",EDATE(Master!$B$3,1))</f>
        <v/>
      </c>
      <c r="F75" s="41" t="str">
        <f>IF(Master!$B$3="","",EDATE(Master!$B$3,8)-1)</f>
        <v/>
      </c>
      <c r="G75" s="37"/>
      <c r="H75" s="41" t="str">
        <f t="shared" si="2"/>
        <v/>
      </c>
      <c r="I75" s="19" t="s">
        <v>182</v>
      </c>
    </row>
    <row r="76" spans="1:9" x14ac:dyDescent="0.45">
      <c r="A76" s="27">
        <f>Master!A$6</f>
        <v>0</v>
      </c>
      <c r="B76" s="27" t="str">
        <f>'Activity List'!A73</f>
        <v>T2-020</v>
      </c>
      <c r="C76" s="27" t="str">
        <f>'Activity List'!C73</f>
        <v>B. Coffee Operations</v>
      </c>
      <c r="D76" s="27" t="str">
        <f>'Activity List'!D73</f>
        <v>Stock Management</v>
      </c>
      <c r="E76" s="41" t="str">
        <f>IF(Master!$B$3="","",EDATE(Master!$B$3,1))</f>
        <v/>
      </c>
      <c r="F76" s="41" t="str">
        <f>IF(Master!$B$3="","",EDATE(Master!$B$3,8)-1)</f>
        <v/>
      </c>
      <c r="G76" s="37"/>
      <c r="H76" s="41" t="str">
        <f t="shared" si="2"/>
        <v/>
      </c>
      <c r="I76" s="19" t="s">
        <v>182</v>
      </c>
    </row>
    <row r="77" spans="1:9" x14ac:dyDescent="0.45">
      <c r="A77" s="27">
        <f>Master!A$6</f>
        <v>0</v>
      </c>
      <c r="B77" s="27" t="str">
        <f>'Activity List'!A74</f>
        <v>T2-021</v>
      </c>
      <c r="C77" s="27" t="str">
        <f>'Activity List'!C74</f>
        <v>B. Coffee Operations</v>
      </c>
      <c r="D77" s="27" t="str">
        <f>'Activity List'!D74</f>
        <v>Loss Control</v>
      </c>
      <c r="E77" s="41" t="str">
        <f>IF(Master!$B$3="","",EDATE(Master!$B$3,1))</f>
        <v/>
      </c>
      <c r="F77" s="41" t="str">
        <f>IF(Master!$B$3="","",EDATE(Master!$B$3,8)-1)</f>
        <v/>
      </c>
      <c r="G77" s="37"/>
      <c r="H77" s="41" t="str">
        <f t="shared" si="2"/>
        <v/>
      </c>
      <c r="I77" s="19" t="s">
        <v>182</v>
      </c>
    </row>
    <row r="78" spans="1:9" x14ac:dyDescent="0.45">
      <c r="A78" s="27">
        <f>Master!A$6</f>
        <v>0</v>
      </c>
      <c r="B78" s="27" t="str">
        <f>'Activity List'!A75</f>
        <v>T2-022</v>
      </c>
      <c r="C78" s="27" t="str">
        <f>'Activity List'!C75</f>
        <v>C. Export &amp; Commercial Operations</v>
      </c>
      <c r="D78" s="27" t="str">
        <f>'Activity List'!D75</f>
        <v>Export Grading Coordination</v>
      </c>
      <c r="E78" s="41" t="str">
        <f>IF(Master!$B$3="","",EDATE(Master!$B$3,3))</f>
        <v/>
      </c>
      <c r="F78" s="41" t="str">
        <f>IF(Master!$B$3="","",EDATE(Master!$B$3,10)-1)</f>
        <v/>
      </c>
      <c r="G78" s="37"/>
      <c r="H78" s="41" t="str">
        <f t="shared" si="2"/>
        <v/>
      </c>
      <c r="I78" s="19" t="s">
        <v>182</v>
      </c>
    </row>
    <row r="79" spans="1:9" x14ac:dyDescent="0.45">
      <c r="A79" s="27">
        <f>Master!A$6</f>
        <v>0</v>
      </c>
      <c r="B79" s="27" t="str">
        <f>'Activity List'!A76</f>
        <v>T2-023</v>
      </c>
      <c r="C79" s="27" t="str">
        <f>'Activity List'!C76</f>
        <v>C. Export &amp; Commercial Operations</v>
      </c>
      <c r="D79" s="27" t="str">
        <f>'Activity List'!D76</f>
        <v>Quality Inspection Coordination</v>
      </c>
      <c r="E79" s="41" t="str">
        <f>IF(Master!$B$3="","",EDATE(Master!$B$3,3))</f>
        <v/>
      </c>
      <c r="F79" s="41" t="str">
        <f>IF(Master!$B$3="","",EDATE(Master!$B$3,10)-1)</f>
        <v/>
      </c>
      <c r="G79" s="37"/>
      <c r="H79" s="41" t="str">
        <f t="shared" si="2"/>
        <v/>
      </c>
      <c r="I79" s="19" t="s">
        <v>182</v>
      </c>
    </row>
    <row r="80" spans="1:9" x14ac:dyDescent="0.45">
      <c r="A80" s="27">
        <f>Master!A$6</f>
        <v>0</v>
      </c>
      <c r="B80" s="27" t="str">
        <f>'Activity List'!A77</f>
        <v>T2-024</v>
      </c>
      <c r="C80" s="27" t="str">
        <f>'Activity List'!C77</f>
        <v>C. Export &amp; Commercial Operations</v>
      </c>
      <c r="D80" s="27" t="str">
        <f>'Activity List'!D77</f>
        <v>Sample Preparation</v>
      </c>
      <c r="E80" s="41" t="str">
        <f>IF(Master!$B$3="","",EDATE(Master!$B$3,3))</f>
        <v/>
      </c>
      <c r="F80" s="41" t="str">
        <f>IF(Master!$B$3="","",EDATE(Master!$B$3,10)-1)</f>
        <v/>
      </c>
      <c r="G80" s="37"/>
      <c r="H80" s="41" t="str">
        <f t="shared" si="2"/>
        <v/>
      </c>
      <c r="I80" s="19" t="s">
        <v>182</v>
      </c>
    </row>
    <row r="81" spans="1:9" x14ac:dyDescent="0.45">
      <c r="A81" s="27">
        <f>Master!A$6</f>
        <v>0</v>
      </c>
      <c r="B81" s="27" t="str">
        <f>'Activity List'!A78</f>
        <v>T2-025</v>
      </c>
      <c r="C81" s="27" t="str">
        <f>'Activity List'!C78</f>
        <v>C. Export &amp; Commercial Operations</v>
      </c>
      <c r="D81" s="27" t="str">
        <f>'Activity List'!D78</f>
        <v>Client Correspondence</v>
      </c>
      <c r="E81" s="41" t="str">
        <f>IF(Master!$B$3="","",EDATE(Master!$B$3,3))</f>
        <v/>
      </c>
      <c r="F81" s="41" t="str">
        <f>IF(Master!$B$3="","",EDATE(Master!$B$3,10)-1)</f>
        <v/>
      </c>
      <c r="G81" s="37"/>
      <c r="H81" s="41" t="str">
        <f t="shared" si="2"/>
        <v/>
      </c>
      <c r="I81" s="19" t="s">
        <v>182</v>
      </c>
    </row>
    <row r="82" spans="1:9" x14ac:dyDescent="0.45">
      <c r="A82" s="27">
        <f>Master!A$6</f>
        <v>0</v>
      </c>
      <c r="B82" s="27" t="str">
        <f>'Activity List'!A79</f>
        <v>T2-026</v>
      </c>
      <c r="C82" s="27" t="str">
        <f>'Activity List'!C79</f>
        <v>C. Export &amp; Commercial Operations</v>
      </c>
      <c r="D82" s="27" t="str">
        <f>'Activity List'!D79</f>
        <v>Contract Administration</v>
      </c>
      <c r="E82" s="41" t="str">
        <f>IF(Master!$B$3="","",EDATE(Master!$B$3,3))</f>
        <v/>
      </c>
      <c r="F82" s="41" t="str">
        <f>IF(Master!$B$3="","",EDATE(Master!$B$3,10)-1)</f>
        <v/>
      </c>
      <c r="G82" s="37"/>
      <c r="H82" s="41" t="str">
        <f t="shared" si="2"/>
        <v/>
      </c>
      <c r="I82" s="19" t="s">
        <v>182</v>
      </c>
    </row>
    <row r="83" spans="1:9" x14ac:dyDescent="0.45">
      <c r="A83" s="27">
        <f>Master!A$6</f>
        <v>0</v>
      </c>
      <c r="B83" s="27" t="str">
        <f>'Activity List'!A80</f>
        <v>T2-027</v>
      </c>
      <c r="C83" s="27" t="str">
        <f>'Activity List'!C80</f>
        <v>C. Export &amp; Commercial Operations</v>
      </c>
      <c r="D83" s="27" t="str">
        <f>'Activity List'!D80</f>
        <v>Buyer Coordination</v>
      </c>
      <c r="E83" s="41" t="str">
        <f>IF(Master!$B$3="","",EDATE(Master!$B$3,3))</f>
        <v/>
      </c>
      <c r="F83" s="41" t="str">
        <f>IF(Master!$B$3="","",EDATE(Master!$B$3,10)-1)</f>
        <v/>
      </c>
      <c r="G83" s="37"/>
      <c r="H83" s="41" t="str">
        <f t="shared" si="2"/>
        <v/>
      </c>
      <c r="I83" s="19" t="s">
        <v>182</v>
      </c>
    </row>
    <row r="84" spans="1:9" x14ac:dyDescent="0.45">
      <c r="A84" s="27">
        <f>Master!A$6</f>
        <v>0</v>
      </c>
      <c r="B84" s="27" t="str">
        <f>'Activity List'!A81</f>
        <v>T2-028</v>
      </c>
      <c r="C84" s="27" t="str">
        <f>'Activity List'!C81</f>
        <v>C. Export &amp; Commercial Operations</v>
      </c>
      <c r="D84" s="27" t="str">
        <f>'Activity List'!D81</f>
        <v>Letters of Credit Coordination</v>
      </c>
      <c r="E84" s="41" t="str">
        <f>IF(Master!$B$3="","",EDATE(Master!$B$3,3))</f>
        <v/>
      </c>
      <c r="F84" s="41" t="str">
        <f>IF(Master!$B$3="","",EDATE(Master!$B$3,10)-1)</f>
        <v/>
      </c>
      <c r="G84" s="37"/>
      <c r="H84" s="41" t="str">
        <f t="shared" si="2"/>
        <v/>
      </c>
      <c r="I84" s="19" t="s">
        <v>182</v>
      </c>
    </row>
    <row r="85" spans="1:9" x14ac:dyDescent="0.45">
      <c r="A85" s="27">
        <f>Master!A$6</f>
        <v>0</v>
      </c>
      <c r="B85" s="27" t="str">
        <f>'Activity List'!A82</f>
        <v>T2-029</v>
      </c>
      <c r="C85" s="27" t="str">
        <f>'Activity List'!C82</f>
        <v>C. Export &amp; Commercial Operations</v>
      </c>
      <c r="D85" s="27" t="str">
        <f>'Activity List'!D82</f>
        <v>Export Documentation</v>
      </c>
      <c r="E85" s="41" t="str">
        <f>IF(Master!$B$3="","",EDATE(Master!$B$3,3))</f>
        <v/>
      </c>
      <c r="F85" s="41" t="str">
        <f>IF(Master!$B$3="","",EDATE(Master!$B$3,10)-1)</f>
        <v/>
      </c>
      <c r="G85" s="37"/>
      <c r="H85" s="41" t="str">
        <f t="shared" si="2"/>
        <v/>
      </c>
      <c r="I85" s="19" t="s">
        <v>182</v>
      </c>
    </row>
    <row r="86" spans="1:9" x14ac:dyDescent="0.45">
      <c r="A86" s="27">
        <f>Master!A$6</f>
        <v>0</v>
      </c>
      <c r="B86" s="27" t="str">
        <f>'Activity List'!A83</f>
        <v>T2-030</v>
      </c>
      <c r="C86" s="27" t="str">
        <f>'Activity List'!C83</f>
        <v>C. Export &amp; Commercial Operations</v>
      </c>
      <c r="D86" s="27" t="str">
        <f>'Activity List'!D83</f>
        <v>Shipping Coordination</v>
      </c>
      <c r="E86" s="41" t="str">
        <f>IF(Master!$B$3="","",EDATE(Master!$B$3,3))</f>
        <v/>
      </c>
      <c r="F86" s="41" t="str">
        <f>IF(Master!$B$3="","",EDATE(Master!$B$3,10)-1)</f>
        <v/>
      </c>
      <c r="G86" s="37"/>
      <c r="H86" s="41" t="str">
        <f t="shared" si="2"/>
        <v/>
      </c>
      <c r="I86" s="19" t="s">
        <v>182</v>
      </c>
    </row>
    <row r="87" spans="1:9" x14ac:dyDescent="0.45">
      <c r="A87" s="27">
        <f>Master!A$6</f>
        <v>0</v>
      </c>
      <c r="B87" s="27" t="str">
        <f>'Activity List'!A84</f>
        <v>T2-031</v>
      </c>
      <c r="C87" s="27" t="str">
        <f>'Activity List'!C84</f>
        <v>C. Export &amp; Commercial Operations</v>
      </c>
      <c r="D87" s="27" t="str">
        <f>'Activity List'!D84</f>
        <v>Export Compliance</v>
      </c>
      <c r="E87" s="41" t="str">
        <f>IF(Master!$B$3="","",EDATE(Master!$B$3,3))</f>
        <v/>
      </c>
      <c r="F87" s="41" t="str">
        <f>IF(Master!$B$3="","",EDATE(Master!$B$3,10)-1)</f>
        <v/>
      </c>
      <c r="G87" s="37"/>
      <c r="H87" s="41" t="str">
        <f t="shared" si="2"/>
        <v/>
      </c>
      <c r="I87" s="19" t="s">
        <v>182</v>
      </c>
    </row>
    <row r="88" spans="1:9" x14ac:dyDescent="0.45">
      <c r="A88" s="27">
        <f>Master!A$6</f>
        <v>0</v>
      </c>
      <c r="B88" s="27" t="str">
        <f>'Activity List'!A85</f>
        <v>T2-032</v>
      </c>
      <c r="C88" s="27" t="str">
        <f>'Activity List'!C85</f>
        <v>C. Export &amp; Commercial Operations</v>
      </c>
      <c r="D88" s="27" t="str">
        <f>'Activity List'!D85</f>
        <v>Shipment Follow-Up</v>
      </c>
      <c r="E88" s="41" t="str">
        <f>IF(Master!$B$3="","",EDATE(Master!$B$3,3))</f>
        <v/>
      </c>
      <c r="F88" s="41" t="str">
        <f>IF(Master!$B$3="","",EDATE(Master!$B$3,10)-1)</f>
        <v/>
      </c>
      <c r="G88" s="37"/>
      <c r="H88" s="41" t="str">
        <f t="shared" si="2"/>
        <v/>
      </c>
      <c r="I88" s="19" t="s">
        <v>182</v>
      </c>
    </row>
    <row r="89" spans="1:9" x14ac:dyDescent="0.45">
      <c r="A89" s="27">
        <f>Master!A$6</f>
        <v>0</v>
      </c>
      <c r="B89" s="27" t="str">
        <f>'Activity List'!A86</f>
        <v>T2-033</v>
      </c>
      <c r="C89" s="27" t="str">
        <f>'Activity List'!C86</f>
        <v>C. Export &amp; Commercial Operations</v>
      </c>
      <c r="D89" s="27" t="str">
        <f>'Activity List'!D86</f>
        <v>Export Proceeds Receipt and Reconciliation</v>
      </c>
      <c r="E89" s="41" t="str">
        <f>IF(Master!$B$3="","",EDATE(Master!$B$3,3))</f>
        <v/>
      </c>
      <c r="F89" s="41" t="str">
        <f>IF(Master!$B$3="","",EDATE(Master!$B$3,10)-1)</f>
        <v/>
      </c>
      <c r="G89" s="37"/>
      <c r="H89" s="41" t="str">
        <f t="shared" si="2"/>
        <v/>
      </c>
      <c r="I89" s="19" t="s">
        <v>182</v>
      </c>
    </row>
    <row r="90" spans="1:9" x14ac:dyDescent="0.45">
      <c r="A90" s="27">
        <f>Master!A$6</f>
        <v>0</v>
      </c>
      <c r="B90" s="27" t="str">
        <f>'Activity List'!A87</f>
        <v>T2-034</v>
      </c>
      <c r="C90" s="27" t="str">
        <f>'Activity List'!C87</f>
        <v>D. Asset Development</v>
      </c>
      <c r="D90" s="27" t="str">
        <f>'Activity List'!D87</f>
        <v>Washing Station Rehabilitation</v>
      </c>
      <c r="E90" s="43"/>
      <c r="F90" s="43"/>
      <c r="G90" s="37"/>
      <c r="H90" s="44"/>
      <c r="I90" s="19" t="s">
        <v>182</v>
      </c>
    </row>
    <row r="91" spans="1:9" x14ac:dyDescent="0.45">
      <c r="A91" s="27">
        <f>Master!A$6</f>
        <v>0</v>
      </c>
      <c r="B91" s="27" t="str">
        <f>'Activity List'!A88</f>
        <v>T2-035</v>
      </c>
      <c r="C91" s="27" t="str">
        <f>'Activity List'!C88</f>
        <v>D. Asset Development</v>
      </c>
      <c r="D91" s="27" t="str">
        <f>'Activity List'!D88</f>
        <v>Huller Rehabilitation</v>
      </c>
      <c r="E91" s="43"/>
      <c r="F91" s="43"/>
      <c r="G91" s="37"/>
      <c r="H91" s="44"/>
      <c r="I91" s="19" t="s">
        <v>182</v>
      </c>
    </row>
    <row r="92" spans="1:9" x14ac:dyDescent="0.45">
      <c r="A92" s="27">
        <f>Master!A$6</f>
        <v>0</v>
      </c>
      <c r="B92" s="27" t="str">
        <f>'Activity List'!A89</f>
        <v>T2-036</v>
      </c>
      <c r="C92" s="27" t="str">
        <f>'Activity List'!C89</f>
        <v>D. Asset Development</v>
      </c>
      <c r="D92" s="27" t="str">
        <f>'Activity List'!D89</f>
        <v>Irrigation Systems</v>
      </c>
      <c r="E92" s="43"/>
      <c r="F92" s="43"/>
      <c r="G92" s="37"/>
      <c r="H92" s="44"/>
      <c r="I92" s="19" t="s">
        <v>182</v>
      </c>
    </row>
    <row r="93" spans="1:9" x14ac:dyDescent="0.45">
      <c r="A93" s="27">
        <f>Master!A$6</f>
        <v>0</v>
      </c>
      <c r="B93" s="27" t="str">
        <f>'Activity List'!A90</f>
        <v>T2-037</v>
      </c>
      <c r="C93" s="27" t="str">
        <f>'Activity List'!C90</f>
        <v>D. Asset Development</v>
      </c>
      <c r="D93" s="27" t="str">
        <f>'Activity List'!D90</f>
        <v>On-Farm Water Systems Development</v>
      </c>
      <c r="E93" s="43"/>
      <c r="F93" s="43"/>
      <c r="G93" s="37"/>
      <c r="H93" s="44"/>
      <c r="I93" s="19" t="s">
        <v>182</v>
      </c>
    </row>
    <row r="94" spans="1:9" x14ac:dyDescent="0.45">
      <c r="A94" s="27">
        <f>Master!A$6</f>
        <v>0</v>
      </c>
      <c r="B94" s="27" t="str">
        <f>'Activity List'!A91</f>
        <v>T2-038</v>
      </c>
      <c r="C94" s="27" t="str">
        <f>'Activity List'!C91</f>
        <v>D. Asset Development</v>
      </c>
      <c r="D94" s="27" t="str">
        <f>'Activity List'!D91</f>
        <v>Roads</v>
      </c>
      <c r="E94" s="43"/>
      <c r="F94" s="43"/>
      <c r="G94" s="37"/>
      <c r="H94" s="44"/>
      <c r="I94" s="19" t="s">
        <v>182</v>
      </c>
    </row>
    <row r="95" spans="1:9" x14ac:dyDescent="0.45">
      <c r="A95" s="27">
        <f>Master!A$6</f>
        <v>0</v>
      </c>
      <c r="B95" s="27" t="str">
        <f>'Activity List'!A92</f>
        <v>T2-039</v>
      </c>
      <c r="C95" s="27" t="str">
        <f>'Activity List'!C92</f>
        <v>D. Asset Development</v>
      </c>
      <c r="D95" s="27" t="str">
        <f>'Activity List'!D92</f>
        <v>Buildings</v>
      </c>
      <c r="E95" s="43"/>
      <c r="F95" s="43"/>
      <c r="G95" s="37"/>
      <c r="H95" s="44"/>
      <c r="I95" s="19" t="s">
        <v>182</v>
      </c>
    </row>
    <row r="96" spans="1:9" x14ac:dyDescent="0.45">
      <c r="A96" s="27">
        <f>Master!A$6</f>
        <v>0</v>
      </c>
      <c r="B96" s="27" t="str">
        <f>'Activity List'!A93</f>
        <v>T2-040</v>
      </c>
      <c r="C96" s="27" t="str">
        <f>'Activity List'!C93</f>
        <v>D. Asset Development</v>
      </c>
      <c r="D96" s="27" t="str">
        <f>'Activity List'!D93</f>
        <v>Staff Housing</v>
      </c>
      <c r="E96" s="43"/>
      <c r="F96" s="43"/>
      <c r="G96" s="37"/>
      <c r="H96" s="44"/>
      <c r="I96" s="19" t="s">
        <v>182</v>
      </c>
    </row>
    <row r="97" spans="1:9" x14ac:dyDescent="0.45">
      <c r="A97" s="27">
        <f>Master!A$6</f>
        <v>0</v>
      </c>
      <c r="B97" s="27" t="str">
        <f>'Activity List'!A94</f>
        <v>T2-041</v>
      </c>
      <c r="C97" s="27" t="str">
        <f>'Activity List'!C94</f>
        <v>D. Asset Development</v>
      </c>
      <c r="D97" s="27" t="str">
        <f>'Activity List'!D94</f>
        <v>Workshops</v>
      </c>
      <c r="E97" s="43"/>
      <c r="F97" s="43"/>
      <c r="G97" s="37"/>
      <c r="H97" s="44"/>
      <c r="I97" s="19" t="s">
        <v>182</v>
      </c>
    </row>
    <row r="98" spans="1:9" x14ac:dyDescent="0.45">
      <c r="A98" s="27">
        <f>Master!A$6</f>
        <v>0</v>
      </c>
      <c r="B98" s="27" t="str">
        <f>'Activity List'!A95</f>
        <v>T2-042</v>
      </c>
      <c r="C98" s="27" t="str">
        <f>'Activity List'!C95</f>
        <v>D. Asset Development</v>
      </c>
      <c r="D98" s="27" t="str">
        <f>'Activity List'!D95</f>
        <v>Machinery Procurement</v>
      </c>
      <c r="E98" s="43"/>
      <c r="F98" s="43"/>
      <c r="G98" s="37"/>
      <c r="H98" s="44"/>
      <c r="I98" s="19" t="s">
        <v>182</v>
      </c>
    </row>
    <row r="99" spans="1:9" x14ac:dyDescent="0.45">
      <c r="A99" s="27">
        <f>Master!A$6</f>
        <v>0</v>
      </c>
      <c r="B99" s="27" t="str">
        <f>'Activity List'!A96</f>
        <v>T2-043</v>
      </c>
      <c r="C99" s="27" t="str">
        <f>'Activity List'!C96</f>
        <v>D. Asset Development</v>
      </c>
      <c r="D99" s="27" t="str">
        <f>'Activity List'!D96</f>
        <v>Utilities</v>
      </c>
      <c r="E99" s="43"/>
      <c r="F99" s="43"/>
      <c r="G99" s="37"/>
      <c r="H99" s="44"/>
      <c r="I99" s="19" t="s">
        <v>182</v>
      </c>
    </row>
    <row r="100" spans="1:9" x14ac:dyDescent="0.45">
      <c r="A100" s="27">
        <f>Master!A$6</f>
        <v>0</v>
      </c>
      <c r="B100" s="27" t="str">
        <f>'Activity List'!A97</f>
        <v>T2-044</v>
      </c>
      <c r="C100" s="27" t="str">
        <f>'Activity List'!C97</f>
        <v>D. Asset Development</v>
      </c>
      <c r="D100" s="27" t="str">
        <f>'Activity List'!D97</f>
        <v>Solar Systems (incl. Staff Welfare)</v>
      </c>
      <c r="E100" s="43"/>
      <c r="F100" s="43"/>
      <c r="G100" s="37"/>
      <c r="H100" s="44"/>
      <c r="I100" s="19" t="s">
        <v>182</v>
      </c>
    </row>
    <row r="101" spans="1:9" x14ac:dyDescent="0.45">
      <c r="A101" s="27">
        <f>Master!A$6</f>
        <v>0</v>
      </c>
      <c r="B101" s="27" t="str">
        <f>'Activity List'!A98</f>
        <v>T2-045</v>
      </c>
      <c r="C101" s="27" t="str">
        <f>'Activity List'!C98</f>
        <v>D. Asset Development</v>
      </c>
      <c r="D101" s="27" t="str">
        <f>'Activity List'!D98</f>
        <v>Farm Expansion</v>
      </c>
      <c r="E101" s="43"/>
      <c r="F101" s="43"/>
      <c r="G101" s="37"/>
      <c r="H101" s="44"/>
      <c r="I101" s="19" t="s">
        <v>182</v>
      </c>
    </row>
    <row r="102" spans="1:9" x14ac:dyDescent="0.45">
      <c r="A102" s="27">
        <f>Master!A$6</f>
        <v>0</v>
      </c>
      <c r="B102" s="27" t="str">
        <f>'Activity List'!A99</f>
        <v>T2-046</v>
      </c>
      <c r="C102" s="27" t="str">
        <f>'Activity List'!C99</f>
        <v>D. Asset Development</v>
      </c>
      <c r="D102" s="27" t="str">
        <f>'Activity List'!D99</f>
        <v>New Planting Blocks</v>
      </c>
      <c r="E102" s="43"/>
      <c r="F102" s="43"/>
      <c r="G102" s="37"/>
      <c r="H102" s="44"/>
      <c r="I102" s="19" t="s">
        <v>182</v>
      </c>
    </row>
    <row r="103" spans="1:9" x14ac:dyDescent="0.45">
      <c r="A103" s="27">
        <f>Master!A$6</f>
        <v>0</v>
      </c>
      <c r="B103" s="27" t="str">
        <f>'Activity List'!A100</f>
        <v>T2-047</v>
      </c>
      <c r="C103" s="27" t="str">
        <f>'Activity List'!C100</f>
        <v>D. Asset Development</v>
      </c>
      <c r="D103" s="27" t="str">
        <f>'Activity List'!D100</f>
        <v>Security Infrastructure (incl. Camp Monitoring)</v>
      </c>
      <c r="E103" s="43"/>
      <c r="F103" s="43"/>
      <c r="G103" s="37"/>
      <c r="H103" s="44"/>
      <c r="I103" s="19" t="s">
        <v>182</v>
      </c>
    </row>
    <row r="104" spans="1:9" x14ac:dyDescent="0.45">
      <c r="A104" s="27">
        <f>Master!A$6</f>
        <v>0</v>
      </c>
      <c r="B104" s="27" t="str">
        <f>'Activity List'!A101</f>
        <v>T3-001</v>
      </c>
      <c r="C104" s="27" t="str">
        <f>'Activity List'!C101</f>
        <v>A. Institutional and Strategic Interventions</v>
      </c>
      <c r="D104" s="27" t="str">
        <f>'Activity List'!D101</f>
        <v>Investment Due Diligence</v>
      </c>
      <c r="E104" s="43"/>
      <c r="F104" s="43"/>
      <c r="G104" s="37"/>
      <c r="H104" s="44"/>
      <c r="I104" s="19" t="s">
        <v>182</v>
      </c>
    </row>
    <row r="105" spans="1:9" x14ac:dyDescent="0.45">
      <c r="A105" s="27">
        <f>Master!A$6</f>
        <v>0</v>
      </c>
      <c r="B105" s="27" t="str">
        <f>'Activity List'!A102</f>
        <v>T3-002</v>
      </c>
      <c r="C105" s="27" t="str">
        <f>'Activity List'!C102</f>
        <v>A. Institutional and Strategic Interventions</v>
      </c>
      <c r="D105" s="27" t="str">
        <f>'Activity List'!D102</f>
        <v>Technical Due Diligence</v>
      </c>
      <c r="E105" s="43"/>
      <c r="F105" s="43"/>
      <c r="G105" s="37"/>
      <c r="H105" s="44"/>
      <c r="I105" s="19" t="s">
        <v>182</v>
      </c>
    </row>
    <row r="106" spans="1:9" x14ac:dyDescent="0.45">
      <c r="A106" s="27">
        <f>Master!A$6</f>
        <v>0</v>
      </c>
      <c r="B106" s="27" t="str">
        <f>'Activity List'!A103</f>
        <v>T3-003</v>
      </c>
      <c r="C106" s="27" t="str">
        <f>'Activity List'!C103</f>
        <v>A. Institutional and Strategic Interventions</v>
      </c>
      <c r="D106" s="27" t="str">
        <f>'Activity List'!D103</f>
        <v>Turnaround Assessments</v>
      </c>
      <c r="E106" s="43"/>
      <c r="F106" s="43"/>
      <c r="G106" s="37"/>
      <c r="H106" s="44"/>
      <c r="I106" s="19" t="s">
        <v>182</v>
      </c>
    </row>
    <row r="107" spans="1:9" x14ac:dyDescent="0.45">
      <c r="A107" s="27">
        <f>Master!A$6</f>
        <v>0</v>
      </c>
      <c r="B107" s="27" t="str">
        <f>'Activity List'!A104</f>
        <v>T3-004</v>
      </c>
      <c r="C107" s="27" t="str">
        <f>'Activity List'!C104</f>
        <v>A. Institutional and Strategic Interventions</v>
      </c>
      <c r="D107" s="27" t="str">
        <f>'Activity List'!D104</f>
        <v>Strategic Reviews</v>
      </c>
      <c r="E107" s="43"/>
      <c r="F107" s="43"/>
      <c r="G107" s="37"/>
      <c r="H107" s="44"/>
      <c r="I107" s="19" t="s">
        <v>182</v>
      </c>
    </row>
    <row r="108" spans="1:9" x14ac:dyDescent="0.45">
      <c r="A108" s="27">
        <f>Master!A$6</f>
        <v>0</v>
      </c>
      <c r="B108" s="27" t="str">
        <f>'Activity List'!A105</f>
        <v>T3-005</v>
      </c>
      <c r="C108" s="27" t="str">
        <f>'Activity List'!C105</f>
        <v>A. Institutional and Strategic Interventions</v>
      </c>
      <c r="D108" s="27" t="str">
        <f>'Activity List'!D105</f>
        <v>Major Procurement</v>
      </c>
      <c r="E108" s="43"/>
      <c r="F108" s="43"/>
      <c r="G108" s="37"/>
      <c r="H108" s="44"/>
      <c r="I108" s="19" t="s">
        <v>182</v>
      </c>
    </row>
    <row r="109" spans="1:9" x14ac:dyDescent="0.45">
      <c r="A109" s="27">
        <f>Master!A$6</f>
        <v>0</v>
      </c>
      <c r="B109" s="27" t="str">
        <f>'Activity List'!A106</f>
        <v>T3-006</v>
      </c>
      <c r="C109" s="27" t="str">
        <f>'Activity List'!C106</f>
        <v>A. Institutional and Strategic Interventions</v>
      </c>
      <c r="D109" s="27" t="str">
        <f>'Activity List'!D106</f>
        <v>Organisational Reviews</v>
      </c>
      <c r="E109" s="43"/>
      <c r="F109" s="43"/>
      <c r="G109" s="37"/>
      <c r="H109" s="44"/>
      <c r="I109" s="19" t="s">
        <v>182</v>
      </c>
    </row>
    <row r="110" spans="1:9" x14ac:dyDescent="0.45">
      <c r="A110" s="27">
        <f>Master!A$6</f>
        <v>0</v>
      </c>
      <c r="B110" s="27" t="str">
        <f>'Activity List'!A107</f>
        <v>T3-007</v>
      </c>
      <c r="C110" s="27" t="str">
        <f>'Activity List'!C107</f>
        <v>A. Institutional and Strategic Interventions</v>
      </c>
      <c r="D110" s="27" t="str">
        <f>'Activity List'!D107</f>
        <v>Performance Audits</v>
      </c>
      <c r="E110" s="43"/>
      <c r="F110" s="43"/>
      <c r="G110" s="37"/>
      <c r="H110" s="44"/>
      <c r="I110" s="19" t="s">
        <v>182</v>
      </c>
    </row>
    <row r="111" spans="1:9" x14ac:dyDescent="0.45">
      <c r="A111" s="27">
        <f>Master!A$6</f>
        <v>0</v>
      </c>
      <c r="B111" s="27" t="str">
        <f>'Activity List'!A108</f>
        <v>T3-008</v>
      </c>
      <c r="C111" s="27" t="str">
        <f>'Activity List'!C108</f>
        <v>A. Institutional and Strategic Interventions</v>
      </c>
      <c r="D111" s="27" t="str">
        <f>'Activity List'!D108</f>
        <v>Recruitment Support</v>
      </c>
      <c r="E111" s="43"/>
      <c r="F111" s="43"/>
      <c r="G111" s="37"/>
      <c r="H111" s="44"/>
      <c r="I111" s="19" t="s">
        <v>182</v>
      </c>
    </row>
    <row r="112" spans="1:9" x14ac:dyDescent="0.45">
      <c r="A112" s="27">
        <f>Master!A$6</f>
        <v>0</v>
      </c>
      <c r="B112" s="27" t="str">
        <f>'Activity List'!A109</f>
        <v>T3-009</v>
      </c>
      <c r="C112" s="27" t="str">
        <f>'Activity List'!C109</f>
        <v>A. Institutional and Strategic Interventions</v>
      </c>
      <c r="D112" s="27" t="str">
        <f>'Activity List'!D109</f>
        <v>Regulatory Coordination and Monitoring</v>
      </c>
      <c r="E112" s="43"/>
      <c r="F112" s="43"/>
      <c r="G112" s="37"/>
      <c r="H112" s="44"/>
      <c r="I112" s="19" t="s">
        <v>182</v>
      </c>
    </row>
    <row r="113" spans="1:9" x14ac:dyDescent="0.45">
      <c r="A113" s="27">
        <f>Master!A$6</f>
        <v>0</v>
      </c>
      <c r="B113" s="27" t="str">
        <f>'Activity List'!A110</f>
        <v>T3-010</v>
      </c>
      <c r="C113" s="27" t="str">
        <f>'Activity List'!C110</f>
        <v>A. Institutional and Strategic Interventions</v>
      </c>
      <c r="D113" s="27" t="str">
        <f>'Activity List'!D110</f>
        <v>Security Assessments</v>
      </c>
      <c r="E113" s="43"/>
      <c r="F113" s="43"/>
      <c r="G113" s="37"/>
      <c r="H113" s="44"/>
      <c r="I113" s="19" t="s">
        <v>182</v>
      </c>
    </row>
    <row r="114" spans="1:9" x14ac:dyDescent="0.45">
      <c r="A114" s="27">
        <f>Master!A$6</f>
        <v>0</v>
      </c>
      <c r="B114" s="27" t="str">
        <f>'Activity List'!A111</f>
        <v>T3-011</v>
      </c>
      <c r="C114" s="27" t="str">
        <f>'Activity List'!C111</f>
        <v>A. Institutional and Strategic Interventions</v>
      </c>
      <c r="D114" s="27" t="str">
        <f>'Activity List'!D111</f>
        <v>Special Investigations</v>
      </c>
      <c r="E114" s="43"/>
      <c r="F114" s="43"/>
      <c r="G114" s="37"/>
      <c r="H114" s="44"/>
      <c r="I114" s="19" t="s">
        <v>182</v>
      </c>
    </row>
    <row r="115" spans="1:9" x14ac:dyDescent="0.45">
      <c r="A115" s="27">
        <f>Master!A$6</f>
        <v>0</v>
      </c>
      <c r="B115" s="27" t="str">
        <f>'Activity List'!A112</f>
        <v>T3-012</v>
      </c>
      <c r="C115" s="27" t="str">
        <f>'Activity List'!C112</f>
        <v>A. Institutional and Strategic Interventions</v>
      </c>
      <c r="D115" s="27" t="str">
        <f>'Activity List'!D112</f>
        <v>Board Reporting</v>
      </c>
      <c r="E115" s="43"/>
      <c r="F115" s="43"/>
      <c r="G115" s="37"/>
      <c r="H115" s="44"/>
      <c r="I115" s="19" t="s">
        <v>182</v>
      </c>
    </row>
    <row r="116" spans="1:9" x14ac:dyDescent="0.45">
      <c r="A116" s="27">
        <f>Master!A$6</f>
        <v>0</v>
      </c>
      <c r="B116" s="27" t="str">
        <f>'Activity List'!A113</f>
        <v>T3-013</v>
      </c>
      <c r="C116" s="27" t="str">
        <f>'Activity List'!C113</f>
        <v>A. Institutional and Strategic Interventions</v>
      </c>
      <c r="D116" s="27" t="str">
        <f>'Activity List'!D113</f>
        <v>Investor Reporting</v>
      </c>
      <c r="E116" s="43"/>
      <c r="F116" s="43"/>
      <c r="G116" s="37"/>
      <c r="H116" s="44"/>
      <c r="I116" s="19" t="s">
        <v>182</v>
      </c>
    </row>
    <row r="117" spans="1:9" x14ac:dyDescent="0.45">
      <c r="A117" s="27">
        <f>Master!A$6</f>
        <v>0</v>
      </c>
      <c r="B117" s="27" t="str">
        <f>'Activity List'!A114</f>
        <v>T3-014</v>
      </c>
      <c r="C117" s="27" t="str">
        <f>'Activity List'!C114</f>
        <v>A. Institutional and Strategic Interventions</v>
      </c>
      <c r="D117" s="27" t="str">
        <f>'Activity List'!D114</f>
        <v>Staff Capability Development</v>
      </c>
      <c r="E117" s="43"/>
      <c r="F117" s="43"/>
      <c r="G117" s="37"/>
      <c r="H117" s="44"/>
      <c r="I117" s="19" t="s">
        <v>182</v>
      </c>
    </row>
    <row r="118" spans="1:9" x14ac:dyDescent="0.45">
      <c r="A118" s="27">
        <f>Master!A$6</f>
        <v>0</v>
      </c>
      <c r="B118" s="27" t="str">
        <f>'Activity List'!A115</f>
        <v>T3-015</v>
      </c>
      <c r="C118" s="27" t="str">
        <f>'Activity List'!C115</f>
        <v>A. Institutional and Strategic Interventions</v>
      </c>
      <c r="D118" s="27" t="str">
        <f>'Activity List'!D115</f>
        <v>Operational Benchmarking</v>
      </c>
      <c r="E118" s="43"/>
      <c r="F118" s="43"/>
      <c r="G118" s="37"/>
      <c r="H118" s="44"/>
      <c r="I118" s="19" t="s">
        <v>182</v>
      </c>
    </row>
    <row r="119" spans="1:9" x14ac:dyDescent="0.45">
      <c r="A119" s="27">
        <f>Master!A$6</f>
        <v>0</v>
      </c>
      <c r="B119" s="27" t="str">
        <f>'Activity List'!A116</f>
        <v>T3-016</v>
      </c>
      <c r="C119" s="27" t="str">
        <f>'Activity List'!C116</f>
        <v>A. Institutional and Strategic Interventions</v>
      </c>
      <c r="D119" s="27" t="str">
        <f>'Activity List'!D116</f>
        <v>Feasibility Studies</v>
      </c>
      <c r="E119" s="43"/>
      <c r="F119" s="43"/>
      <c r="G119" s="37"/>
      <c r="H119" s="44"/>
      <c r="I119" s="19" t="s">
        <v>182</v>
      </c>
    </row>
    <row r="120" spans="1:9" x14ac:dyDescent="0.45">
      <c r="A120" s="27">
        <f>Master!A$6</f>
        <v>0</v>
      </c>
      <c r="B120" s="27" t="str">
        <f>'Activity List'!A117</f>
        <v>T3-017</v>
      </c>
      <c r="C120" s="27" t="str">
        <f>'Activity List'!C117</f>
        <v>A. Institutional and Strategic Interventions</v>
      </c>
      <c r="D120" s="27" t="str">
        <f>'Activity List'!D117</f>
        <v>Owner Representation</v>
      </c>
      <c r="E120" s="43"/>
      <c r="F120" s="43"/>
      <c r="G120" s="37"/>
      <c r="H120" s="44"/>
      <c r="I120" s="19" t="s">
        <v>182</v>
      </c>
    </row>
    <row r="121" spans="1:9" x14ac:dyDescent="0.45">
      <c r="A121" s="27">
        <f>Master!A$6</f>
        <v>0</v>
      </c>
      <c r="B121" s="27" t="str">
        <f>'Activity List'!A118</f>
        <v>T3-018</v>
      </c>
      <c r="C121" s="27" t="str">
        <f>'Activity List'!C118</f>
        <v>A. Institutional and Strategic Interventions</v>
      </c>
      <c r="D121" s="27" t="str">
        <f>'Activity List'!D118</f>
        <v>Coordination of Legal Advisers</v>
      </c>
      <c r="E121" s="43"/>
      <c r="F121" s="43"/>
      <c r="G121" s="37"/>
      <c r="H121" s="44"/>
      <c r="I121" s="19" t="s">
        <v>182</v>
      </c>
    </row>
    <row r="122" spans="1:9" x14ac:dyDescent="0.45">
      <c r="A122" s="27">
        <f>Master!A$6</f>
        <v>0</v>
      </c>
      <c r="B122" s="27" t="str">
        <f>'Activity List'!A119</f>
        <v>T3-019</v>
      </c>
      <c r="C122" s="27" t="str">
        <f>'Activity List'!C119</f>
        <v>A. Institutional and Strategic Interventions</v>
      </c>
      <c r="D122" s="27" t="str">
        <f>'Activity List'!D119</f>
        <v>Coordination of Tax Advisers</v>
      </c>
      <c r="E122" s="43"/>
      <c r="F122" s="43"/>
      <c r="G122" s="37"/>
      <c r="H122" s="44"/>
      <c r="I122" s="19" t="s">
        <v>182</v>
      </c>
    </row>
    <row r="123" spans="1:9" x14ac:dyDescent="0.45">
      <c r="A123" s="27">
        <f>Master!A$6</f>
        <v>0</v>
      </c>
      <c r="B123" s="27" t="str">
        <f>'Activity List'!A120</f>
        <v>T3-020</v>
      </c>
      <c r="C123" s="27" t="str">
        <f>'Activity List'!C120</f>
        <v>A. Institutional and Strategic Interventions</v>
      </c>
      <c r="D123" s="27" t="str">
        <f>'Activity List'!D120</f>
        <v>Governance Oversight</v>
      </c>
      <c r="E123" s="43"/>
      <c r="F123" s="43"/>
      <c r="G123" s="37"/>
      <c r="H123" s="44"/>
      <c r="I123" s="19" t="s">
        <v>182</v>
      </c>
    </row>
    <row r="124" spans="1:9" x14ac:dyDescent="0.45">
      <c r="A124" s="27">
        <f>Master!A$6</f>
        <v>0</v>
      </c>
      <c r="B124" s="27" t="str">
        <f>'Activity List'!A121</f>
        <v>T3-021</v>
      </c>
      <c r="C124" s="27" t="str">
        <f>'Activity List'!C121</f>
        <v>A. Institutional and Strategic Interventions</v>
      </c>
      <c r="D124" s="27" t="str">
        <f>'Activity List'!D121</f>
        <v>Debt Raising Support</v>
      </c>
      <c r="E124" s="43"/>
      <c r="F124" s="43"/>
      <c r="G124" s="37"/>
      <c r="H124" s="44"/>
      <c r="I124" s="19" t="s">
        <v>182</v>
      </c>
    </row>
    <row r="125" spans="1:9" x14ac:dyDescent="0.45">
      <c r="A125" s="27">
        <f>Master!A$6</f>
        <v>0</v>
      </c>
      <c r="B125" s="27" t="str">
        <f>'Activity List'!A122</f>
        <v>T3-022</v>
      </c>
      <c r="C125" s="27" t="str">
        <f>'Activity List'!C122</f>
        <v>A. Institutional and Strategic Interventions</v>
      </c>
      <c r="D125" s="27" t="str">
        <f>'Activity List'!D122</f>
        <v>Lender Coordination</v>
      </c>
      <c r="E125" s="43"/>
      <c r="F125" s="43"/>
      <c r="G125" s="37"/>
      <c r="H125" s="44"/>
      <c r="I125" s="19" t="s">
        <v>182</v>
      </c>
    </row>
    <row r="126" spans="1:9" x14ac:dyDescent="0.45">
      <c r="A126" s="27">
        <f>Master!A$6</f>
        <v>0</v>
      </c>
      <c r="B126" s="27" t="str">
        <f>'Activity List'!A123</f>
        <v>T3-023</v>
      </c>
      <c r="C126" s="27" t="str">
        <f>'Activity List'!C123</f>
        <v>A. Institutional and Strategic Interventions</v>
      </c>
      <c r="D126" s="27" t="str">
        <f>'Activity List'!D123</f>
        <v>Strategic Stakeholder Engagement</v>
      </c>
      <c r="E126" s="43"/>
      <c r="F126" s="43"/>
      <c r="G126" s="37"/>
      <c r="H126" s="44"/>
      <c r="I126" s="19" t="s">
        <v>182</v>
      </c>
    </row>
    <row r="127" spans="1:9" x14ac:dyDescent="0.45">
      <c r="A127" s="27">
        <f>Master!A$6</f>
        <v>0</v>
      </c>
      <c r="B127" s="27" t="str">
        <f>'Activity List'!A124</f>
        <v>T3-024</v>
      </c>
      <c r="C127" s="27" t="str">
        <f>'Activity List'!C124</f>
        <v>A. Institutional and Strategic Interventions</v>
      </c>
      <c r="D127" s="27" t="str">
        <f>'Activity List'!D124</f>
        <v>Reputation Management</v>
      </c>
      <c r="E127" s="43"/>
      <c r="F127" s="43"/>
      <c r="G127" s="37"/>
      <c r="H127" s="44"/>
      <c r="I127" s="19" t="s">
        <v>182</v>
      </c>
    </row>
    <row r="128" spans="1:9" x14ac:dyDescent="0.45">
      <c r="A128" s="27">
        <f>Master!A$6</f>
        <v>0</v>
      </c>
      <c r="B128" s="27" t="str">
        <f>'Activity List'!A125</f>
        <v>T3-025</v>
      </c>
      <c r="C128" s="27" t="str">
        <f>'Activity List'!C125</f>
        <v>A. Institutional and Strategic Interventions</v>
      </c>
      <c r="D128" s="27" t="str">
        <f>'Activity List'!D125</f>
        <v>Strategic Reporting</v>
      </c>
      <c r="E128" s="43"/>
      <c r="F128" s="43"/>
      <c r="G128" s="37"/>
      <c r="H128" s="44"/>
      <c r="I128" s="19" t="s">
        <v>182</v>
      </c>
    </row>
    <row r="129" spans="1:9" x14ac:dyDescent="0.45">
      <c r="A129" s="27">
        <f>Master!A$6</f>
        <v>0</v>
      </c>
      <c r="B129" s="27" t="str">
        <f>'Activity List'!A126</f>
        <v>T3-026</v>
      </c>
      <c r="C129" s="27" t="str">
        <f>'Activity List'!C126</f>
        <v>A. Institutional and Strategic Interventions</v>
      </c>
      <c r="D129" s="27" t="str">
        <f>'Activity List'!D126</f>
        <v>Coordination of Specialist Advisers</v>
      </c>
      <c r="E129" s="43"/>
      <c r="F129" s="43"/>
      <c r="G129" s="37"/>
      <c r="H129" s="44"/>
      <c r="I129" s="19" t="s">
        <v>182</v>
      </c>
    </row>
    <row r="130" spans="1:9" x14ac:dyDescent="0.45">
      <c r="A130" s="27">
        <f>Master!A$6</f>
        <v>0</v>
      </c>
      <c r="B130" s="27" t="str">
        <f>'Activity List'!A127</f>
        <v>T3-027</v>
      </c>
      <c r="C130" s="27" t="str">
        <f>'Activity List'!C127</f>
        <v>B. Technical and Laboratory Services</v>
      </c>
      <c r="D130" s="27" t="str">
        <f>'Activity List'!D127</f>
        <v>Soil Sampling and Analysis</v>
      </c>
      <c r="E130" s="41" t="str">
        <f>IF(Master!$B$3="","",EDATE(Master!$B$3,0))</f>
        <v/>
      </c>
      <c r="F130" s="41" t="str">
        <f>IF(Master!$B$3="","",EDATE(Master!$B$3,12)-1)</f>
        <v/>
      </c>
      <c r="G130" s="37"/>
      <c r="H130" s="41" t="str">
        <f t="shared" ref="H130:H137" si="3">IF(E130="","",IF(G130="",F130,E130+G130-1))</f>
        <v/>
      </c>
      <c r="I130" s="19" t="s">
        <v>182</v>
      </c>
    </row>
    <row r="131" spans="1:9" x14ac:dyDescent="0.45">
      <c r="A131" s="27">
        <f>Master!A$6</f>
        <v>0</v>
      </c>
      <c r="B131" s="27" t="str">
        <f>'Activity List'!A128</f>
        <v>T3-028</v>
      </c>
      <c r="C131" s="27" t="str">
        <f>'Activity List'!C128</f>
        <v>B. Technical and Laboratory Services</v>
      </c>
      <c r="D131" s="27" t="str">
        <f>'Activity List'!D128</f>
        <v>Soil Fertility and Nutrient Status Reporting</v>
      </c>
      <c r="E131" s="41" t="str">
        <f>IF(Master!$B$3="","",EDATE(Master!$B$3,0))</f>
        <v/>
      </c>
      <c r="F131" s="41" t="str">
        <f>IF(Master!$B$3="","",EDATE(Master!$B$3,12)-1)</f>
        <v/>
      </c>
      <c r="G131" s="37"/>
      <c r="H131" s="41" t="str">
        <f t="shared" si="3"/>
        <v/>
      </c>
      <c r="I131" s="19" t="s">
        <v>182</v>
      </c>
    </row>
    <row r="132" spans="1:9" x14ac:dyDescent="0.45">
      <c r="A132" s="27">
        <f>Master!A$6</f>
        <v>0</v>
      </c>
      <c r="B132" s="27" t="str">
        <f>'Activity List'!A129</f>
        <v>T3-029</v>
      </c>
      <c r="C132" s="27" t="str">
        <f>'Activity List'!C129</f>
        <v>B. Technical and Laboratory Services</v>
      </c>
      <c r="D132" s="27" t="str">
        <f>'Activity List'!D129</f>
        <v>Liming and Soil Amendment Recommendations</v>
      </c>
      <c r="E132" s="41" t="str">
        <f>IF(Master!$B$3="","",EDATE(Master!$B$3,0))</f>
        <v/>
      </c>
      <c r="F132" s="41" t="str">
        <f>IF(Master!$B$3="","",EDATE(Master!$B$3,12)-1)</f>
        <v/>
      </c>
      <c r="G132" s="37"/>
      <c r="H132" s="41" t="str">
        <f t="shared" si="3"/>
        <v/>
      </c>
      <c r="I132" s="19" t="s">
        <v>182</v>
      </c>
    </row>
    <row r="133" spans="1:9" x14ac:dyDescent="0.45">
      <c r="A133" s="27">
        <f>Master!A$6</f>
        <v>0</v>
      </c>
      <c r="B133" s="27" t="str">
        <f>'Activity List'!A130</f>
        <v>T3-030</v>
      </c>
      <c r="C133" s="27" t="str">
        <f>'Activity List'!C130</f>
        <v>B. Technical and Laboratory Services</v>
      </c>
      <c r="D133" s="27" t="str">
        <f>'Activity List'!D130</f>
        <v>GPS Farm Boundary and Block Mapping</v>
      </c>
      <c r="E133" s="41" t="str">
        <f>IF(Master!$B$3="","",EDATE(Master!$B$3,0))</f>
        <v/>
      </c>
      <c r="F133" s="41" t="str">
        <f>IF(Master!$B$3="","",EDATE(Master!$B$3,3)-1)</f>
        <v/>
      </c>
      <c r="G133" s="37"/>
      <c r="H133" s="41" t="str">
        <f t="shared" si="3"/>
        <v/>
      </c>
      <c r="I133" s="19" t="s">
        <v>182</v>
      </c>
    </row>
    <row r="134" spans="1:9" x14ac:dyDescent="0.45">
      <c r="A134" s="27">
        <f>Master!A$6</f>
        <v>0</v>
      </c>
      <c r="B134" s="27" t="str">
        <f>'Activity List'!A131</f>
        <v>T3-031</v>
      </c>
      <c r="C134" s="27" t="str">
        <f>'Activity List'!C131</f>
        <v>B. Technical and Laboratory Services</v>
      </c>
      <c r="D134" s="27" t="str">
        <f>'Activity List'!D131</f>
        <v>GIS Layering (Soil, Slope, Drainage, Shade, Productivity)</v>
      </c>
      <c r="E134" s="41" t="str">
        <f>IF(Master!$B$3="","",EDATE(Master!$B$3,0))</f>
        <v/>
      </c>
      <c r="F134" s="41" t="str">
        <f>IF(Master!$B$3="","",EDATE(Master!$B$3,3)-1)</f>
        <v/>
      </c>
      <c r="G134" s="37"/>
      <c r="H134" s="41" t="str">
        <f t="shared" si="3"/>
        <v/>
      </c>
      <c r="I134" s="19" t="s">
        <v>182</v>
      </c>
    </row>
    <row r="135" spans="1:9" x14ac:dyDescent="0.45">
      <c r="A135" s="27">
        <f>Master!A$6</f>
        <v>0</v>
      </c>
      <c r="B135" s="27" t="str">
        <f>'Activity List'!A132</f>
        <v>T3-032</v>
      </c>
      <c r="C135" s="27" t="str">
        <f>'Activity List'!C132</f>
        <v>B. Technical and Laboratory Services</v>
      </c>
      <c r="D135" s="27" t="str">
        <f>'Activity List'!D132</f>
        <v>Weather Station Installation and Management</v>
      </c>
      <c r="E135" s="41" t="str">
        <f>IF(Master!$B$3="","",EDATE(Master!$B$3,0))</f>
        <v/>
      </c>
      <c r="F135" s="41" t="str">
        <f>IF(Master!$B$3="","",EDATE(Master!$B$3,12)-1)</f>
        <v/>
      </c>
      <c r="G135" s="37"/>
      <c r="H135" s="41" t="str">
        <f t="shared" si="3"/>
        <v/>
      </c>
      <c r="I135" s="19" t="s">
        <v>182</v>
      </c>
    </row>
    <row r="136" spans="1:9" x14ac:dyDescent="0.45">
      <c r="A136" s="27">
        <f>Master!A$6</f>
        <v>0</v>
      </c>
      <c r="B136" s="27" t="str">
        <f>'Activity List'!A133</f>
        <v>T3-033</v>
      </c>
      <c r="C136" s="27" t="str">
        <f>'Activity List'!C133</f>
        <v>B. Technical and Laboratory Services</v>
      </c>
      <c r="D136" s="27" t="str">
        <f>'Activity List'!D133</f>
        <v>Farm Operating Manuals and SOPs</v>
      </c>
      <c r="E136" s="41" t="str">
        <f>IF(Master!$B$3="","",EDATE(Master!$B$3,0))</f>
        <v/>
      </c>
      <c r="F136" s="41" t="str">
        <f>IF(Master!$B$3="","",EDATE(Master!$B$3,3)-1)</f>
        <v/>
      </c>
      <c r="G136" s="37"/>
      <c r="H136" s="41" t="str">
        <f t="shared" si="3"/>
        <v/>
      </c>
      <c r="I136" s="19" t="s">
        <v>182</v>
      </c>
    </row>
    <row r="137" spans="1:9" x14ac:dyDescent="0.45">
      <c r="A137" s="27">
        <f>Master!A$6</f>
        <v>0</v>
      </c>
      <c r="B137" s="27" t="str">
        <f>'Activity List'!A134</f>
        <v>T3-034</v>
      </c>
      <c r="C137" s="27" t="str">
        <f>'Activity List'!C134</f>
        <v>B. Technical and Laboratory Services</v>
      </c>
      <c r="D137" s="27" t="str">
        <f>'Activity List'!D134</f>
        <v>SpiralLabs Cupping, Grading and Quality Control</v>
      </c>
      <c r="E137" s="41" t="str">
        <f>IF(Master!$B$3="","",EDATE(Master!$B$3,0))</f>
        <v/>
      </c>
      <c r="F137" s="41" t="str">
        <f>IF(Master!$B$3="","",EDATE(Master!$B$3,12)-1)</f>
        <v/>
      </c>
      <c r="G137" s="37"/>
      <c r="H137" s="41" t="str">
        <f t="shared" si="3"/>
        <v/>
      </c>
      <c r="I137" s="19" t="s">
        <v>182</v>
      </c>
    </row>
    <row r="138" spans="1:9" x14ac:dyDescent="0.45">
      <c r="A138" s="27">
        <f>Master!A$6</f>
        <v>0</v>
      </c>
      <c r="B138" s="27" t="str">
        <f>'Activity List'!A135</f>
        <v>T3-035</v>
      </c>
      <c r="C138" s="27" t="str">
        <f>'Activity List'!C135</f>
        <v>B. Technical and Laboratory Services</v>
      </c>
      <c r="D138" s="27" t="str">
        <f>'Activity List'!D135</f>
        <v>Buyer Hosting at SpiralLabs</v>
      </c>
      <c r="E138" s="43"/>
      <c r="F138" s="43"/>
      <c r="G138" s="37"/>
      <c r="H138" s="44"/>
      <c r="I138" s="19" t="s">
        <v>182</v>
      </c>
    </row>
    <row r="140" spans="1:9" ht="57.75" customHeight="1" x14ac:dyDescent="0.45">
      <c r="A140" s="5" t="s">
        <v>435</v>
      </c>
      <c r="B140" s="5"/>
      <c r="C140" s="5"/>
      <c r="D140" s="5"/>
      <c r="E140" s="5"/>
      <c r="F140" s="5"/>
      <c r="G140" s="5"/>
      <c r="H140" s="5"/>
      <c r="I140" s="5"/>
    </row>
  </sheetData>
  <mergeCells count="2">
    <mergeCell ref="A3:I3"/>
    <mergeCell ref="A140:I14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37"/>
  <sheetViews>
    <sheetView zoomScaleNormal="100" workbookViewId="0">
      <pane ySplit="1" topLeftCell="A2" activePane="bottomLeft" state="frozen"/>
      <selection pane="bottomLeft"/>
    </sheetView>
  </sheetViews>
  <sheetFormatPr defaultColWidth="8.6640625" defaultRowHeight="14.25" x14ac:dyDescent="0.45"/>
  <cols>
    <col min="1" max="1" width="10" customWidth="1"/>
    <col min="2" max="2" width="30" customWidth="1"/>
    <col min="3" max="3" width="10" customWidth="1"/>
    <col min="4" max="4" width="42" customWidth="1"/>
    <col min="5" max="5" width="22" customWidth="1"/>
    <col min="6" max="6" width="12" customWidth="1"/>
    <col min="7" max="7" width="10" customWidth="1"/>
    <col min="8" max="8" width="12" customWidth="1"/>
    <col min="9" max="9" width="16" customWidth="1"/>
    <col min="10" max="10" width="18" customWidth="1"/>
    <col min="11" max="12" width="14" customWidth="1"/>
    <col min="13" max="13" width="12" customWidth="1"/>
    <col min="14" max="14" width="16" customWidth="1"/>
  </cols>
  <sheetData>
    <row r="1" spans="1:14" ht="30" customHeight="1" x14ac:dyDescent="0.45">
      <c r="A1" s="15" t="s">
        <v>360</v>
      </c>
      <c r="B1" s="15" t="s">
        <v>361</v>
      </c>
      <c r="C1" s="15" t="s">
        <v>46</v>
      </c>
      <c r="D1" s="15" t="s">
        <v>49</v>
      </c>
      <c r="E1" s="15" t="s">
        <v>47</v>
      </c>
      <c r="F1" s="15" t="s">
        <v>372</v>
      </c>
      <c r="G1" s="15" t="s">
        <v>436</v>
      </c>
      <c r="H1" s="15" t="s">
        <v>437</v>
      </c>
      <c r="I1" s="15" t="s">
        <v>438</v>
      </c>
      <c r="J1" s="15" t="s">
        <v>439</v>
      </c>
      <c r="K1" s="15" t="s">
        <v>440</v>
      </c>
      <c r="L1" s="15" t="s">
        <v>441</v>
      </c>
      <c r="M1" s="15" t="s">
        <v>442</v>
      </c>
      <c r="N1" s="15" t="s">
        <v>443</v>
      </c>
    </row>
    <row r="2" spans="1:14" x14ac:dyDescent="0.45">
      <c r="A2" s="27">
        <f>Master!A$6</f>
        <v>0</v>
      </c>
      <c r="B2" s="27">
        <f>Master!B$6</f>
        <v>0</v>
      </c>
      <c r="C2" s="27" t="str">
        <f>'Activity List'!A2</f>
        <v>T1-001</v>
      </c>
      <c r="D2" s="27" t="str">
        <f>'Activity List'!D2</f>
        <v>Land Clearing</v>
      </c>
      <c r="E2" s="27" t="str">
        <f>'Activity List'!B2</f>
        <v>Tier 1 — Core Services</v>
      </c>
      <c r="F2" s="27" t="str">
        <f>'Activity List'!E2</f>
        <v>ha</v>
      </c>
      <c r="G2" s="42">
        <f>'Annual Election'!I5</f>
        <v>0</v>
      </c>
      <c r="H2" s="37"/>
      <c r="I2" s="34">
        <f>IFERROR(INDEX('Labor Rate Card'!$G$2:$G$135,MATCH(C2,'Labor Rate Card'!$A$2:$A$135,0)),0)</f>
        <v>0</v>
      </c>
      <c r="J2" s="33">
        <f t="shared" ref="J2:J33" si="0">IF(G2="Y",H2*I2,0)</f>
        <v>0</v>
      </c>
      <c r="K2" s="41" t="str">
        <f>'Annual Election'!E5</f>
        <v/>
      </c>
      <c r="L2" s="41" t="str">
        <f>'Annual Election'!H5</f>
        <v/>
      </c>
      <c r="M2" s="45" t="str">
        <f t="shared" ref="M2:M33" si="1">IF(OR(K2="",L2=""),"",ROUNDUP((L2-K2+1)/7,0))</f>
        <v/>
      </c>
      <c r="N2" s="33">
        <f t="shared" ref="N2:N33" si="2">IF(OR(J2="",M2="",M2=0),0,J2/M2)</f>
        <v>0</v>
      </c>
    </row>
    <row r="3" spans="1:14" x14ac:dyDescent="0.45">
      <c r="A3" s="27">
        <f>Master!A$6</f>
        <v>0</v>
      </c>
      <c r="B3" s="27">
        <f>Master!B$6</f>
        <v>0</v>
      </c>
      <c r="C3" s="27" t="str">
        <f>'Activity List'!A3</f>
        <v>T1-002</v>
      </c>
      <c r="D3" s="27" t="str">
        <f>'Activity List'!D3</f>
        <v>Tree Felling</v>
      </c>
      <c r="E3" s="27" t="str">
        <f>'Activity List'!B3</f>
        <v>Tier 1 — Core Services</v>
      </c>
      <c r="F3" s="27" t="str">
        <f>'Activity List'!E3</f>
        <v>ha</v>
      </c>
      <c r="G3" s="42">
        <f>'Annual Election'!I6</f>
        <v>0</v>
      </c>
      <c r="H3" s="37"/>
      <c r="I3" s="34">
        <f>IFERROR(INDEX('Labor Rate Card'!$G$2:$G$135,MATCH(C3,'Labor Rate Card'!$A$2:$A$135,0)),0)</f>
        <v>0</v>
      </c>
      <c r="J3" s="33">
        <f t="shared" si="0"/>
        <v>0</v>
      </c>
      <c r="K3" s="41" t="str">
        <f>'Annual Election'!E6</f>
        <v/>
      </c>
      <c r="L3" s="41" t="str">
        <f>'Annual Election'!H6</f>
        <v/>
      </c>
      <c r="M3" s="45" t="str">
        <f t="shared" si="1"/>
        <v/>
      </c>
      <c r="N3" s="33">
        <f t="shared" si="2"/>
        <v>0</v>
      </c>
    </row>
    <row r="4" spans="1:14" x14ac:dyDescent="0.45">
      <c r="A4" s="27">
        <f>Master!A$6</f>
        <v>0</v>
      </c>
      <c r="B4" s="27">
        <f>Master!B$6</f>
        <v>0</v>
      </c>
      <c r="C4" s="27" t="str">
        <f>'Activity List'!A4</f>
        <v>T1-003</v>
      </c>
      <c r="D4" s="27" t="str">
        <f>'Activity List'!D4</f>
        <v>Soil Heaping</v>
      </c>
      <c r="E4" s="27" t="str">
        <f>'Activity List'!B4</f>
        <v>Tier 1 — Core Services</v>
      </c>
      <c r="F4" s="27" t="str">
        <f>'Activity List'!E4</f>
        <v>m3</v>
      </c>
      <c r="G4" s="42">
        <f>'Annual Election'!I7</f>
        <v>0</v>
      </c>
      <c r="H4" s="37"/>
      <c r="I4" s="34">
        <f>IFERROR(INDEX('Labor Rate Card'!$G$2:$G$135,MATCH(C4,'Labor Rate Card'!$A$2:$A$135,0)),0)</f>
        <v>0</v>
      </c>
      <c r="J4" s="33">
        <f t="shared" si="0"/>
        <v>0</v>
      </c>
      <c r="K4" s="41" t="str">
        <f>'Annual Election'!E7</f>
        <v/>
      </c>
      <c r="L4" s="41" t="str">
        <f>'Annual Election'!H7</f>
        <v/>
      </c>
      <c r="M4" s="45" t="str">
        <f t="shared" si="1"/>
        <v/>
      </c>
      <c r="N4" s="33">
        <f t="shared" si="2"/>
        <v>0</v>
      </c>
    </row>
    <row r="5" spans="1:14" x14ac:dyDescent="0.45">
      <c r="A5" s="27">
        <f>Master!A$6</f>
        <v>0</v>
      </c>
      <c r="B5" s="27">
        <f>Master!B$6</f>
        <v>0</v>
      </c>
      <c r="C5" s="27" t="str">
        <f>'Activity List'!A5</f>
        <v>T1-004</v>
      </c>
      <c r="D5" s="27" t="str">
        <f>'Activity List'!D5</f>
        <v>Polytube Cutting</v>
      </c>
      <c r="E5" s="27" t="str">
        <f>'Activity List'!B5</f>
        <v>Tier 1 — Core Services</v>
      </c>
      <c r="F5" s="27" t="str">
        <f>'Activity List'!E5</f>
        <v>kg</v>
      </c>
      <c r="G5" s="42">
        <f>'Annual Election'!I8</f>
        <v>0</v>
      </c>
      <c r="H5" s="37"/>
      <c r="I5" s="34">
        <f>IFERROR(INDEX('Labor Rate Card'!$G$2:$G$135,MATCH(C5,'Labor Rate Card'!$A$2:$A$135,0)),0)</f>
        <v>0</v>
      </c>
      <c r="J5" s="33">
        <f t="shared" si="0"/>
        <v>0</v>
      </c>
      <c r="K5" s="41" t="str">
        <f>'Annual Election'!E8</f>
        <v/>
      </c>
      <c r="L5" s="41" t="str">
        <f>'Annual Election'!H8</f>
        <v/>
      </c>
      <c r="M5" s="45" t="str">
        <f t="shared" si="1"/>
        <v/>
      </c>
      <c r="N5" s="33">
        <f t="shared" si="2"/>
        <v>0</v>
      </c>
    </row>
    <row r="6" spans="1:14" x14ac:dyDescent="0.45">
      <c r="A6" s="27">
        <f>Master!A$6</f>
        <v>0</v>
      </c>
      <c r="B6" s="27">
        <f>Master!B$6</f>
        <v>0</v>
      </c>
      <c r="C6" s="27" t="str">
        <f>'Activity List'!A6</f>
        <v>T1-005</v>
      </c>
      <c r="D6" s="27" t="str">
        <f>'Activity List'!D6</f>
        <v>Polytube Filling</v>
      </c>
      <c r="E6" s="27" t="str">
        <f>'Activity List'!B6</f>
        <v>Tier 1 — Core Services</v>
      </c>
      <c r="F6" s="27" t="str">
        <f>'Activity List'!E6</f>
        <v>seedling</v>
      </c>
      <c r="G6" s="42">
        <f>'Annual Election'!I9</f>
        <v>0</v>
      </c>
      <c r="H6" s="37"/>
      <c r="I6" s="34">
        <f>IFERROR(INDEX('Labor Rate Card'!$G$2:$G$135,MATCH(C6,'Labor Rate Card'!$A$2:$A$135,0)),0)</f>
        <v>0</v>
      </c>
      <c r="J6" s="33">
        <f t="shared" si="0"/>
        <v>0</v>
      </c>
      <c r="K6" s="41" t="str">
        <f>'Annual Election'!E9</f>
        <v/>
      </c>
      <c r="L6" s="41" t="str">
        <f>'Annual Election'!H9</f>
        <v/>
      </c>
      <c r="M6" s="45" t="str">
        <f t="shared" si="1"/>
        <v/>
      </c>
      <c r="N6" s="33">
        <f t="shared" si="2"/>
        <v>0</v>
      </c>
    </row>
    <row r="7" spans="1:14" x14ac:dyDescent="0.45">
      <c r="A7" s="27">
        <f>Master!A$6</f>
        <v>0</v>
      </c>
      <c r="B7" s="27">
        <f>Master!B$6</f>
        <v>0</v>
      </c>
      <c r="C7" s="27" t="str">
        <f>'Activity List'!A7</f>
        <v>T1-006</v>
      </c>
      <c r="D7" s="27" t="str">
        <f>'Activity List'!D7</f>
        <v>Seedbed Preparation</v>
      </c>
      <c r="E7" s="27" t="str">
        <f>'Activity List'!B7</f>
        <v>Tier 1 — Core Services</v>
      </c>
      <c r="F7" s="27" t="str">
        <f>'Activity List'!E7</f>
        <v>bed</v>
      </c>
      <c r="G7" s="42">
        <f>'Annual Election'!I10</f>
        <v>0</v>
      </c>
      <c r="H7" s="37"/>
      <c r="I7" s="34">
        <f>IFERROR(INDEX('Labor Rate Card'!$G$2:$G$135,MATCH(C7,'Labor Rate Card'!$A$2:$A$135,0)),0)</f>
        <v>0</v>
      </c>
      <c r="J7" s="33">
        <f t="shared" si="0"/>
        <v>0</v>
      </c>
      <c r="K7" s="41" t="str">
        <f>'Annual Election'!E10</f>
        <v/>
      </c>
      <c r="L7" s="41" t="str">
        <f>'Annual Election'!H10</f>
        <v/>
      </c>
      <c r="M7" s="45" t="str">
        <f t="shared" si="1"/>
        <v/>
      </c>
      <c r="N7" s="33">
        <f t="shared" si="2"/>
        <v>0</v>
      </c>
    </row>
    <row r="8" spans="1:14" x14ac:dyDescent="0.45">
      <c r="A8" s="27">
        <f>Master!A$6</f>
        <v>0</v>
      </c>
      <c r="B8" s="27">
        <f>Master!B$6</f>
        <v>0</v>
      </c>
      <c r="C8" s="27" t="str">
        <f>'Activity List'!A8</f>
        <v>T1-007</v>
      </c>
      <c r="D8" s="27" t="str">
        <f>'Activity List'!D8</f>
        <v>Polytube Arranging</v>
      </c>
      <c r="E8" s="27" t="str">
        <f>'Activity List'!B8</f>
        <v>Tier 1 — Core Services</v>
      </c>
      <c r="F8" s="27" t="str">
        <f>'Activity List'!E8</f>
        <v>bed</v>
      </c>
      <c r="G8" s="42">
        <f>'Annual Election'!I11</f>
        <v>0</v>
      </c>
      <c r="H8" s="37"/>
      <c r="I8" s="34">
        <f>IFERROR(INDEX('Labor Rate Card'!$G$2:$G$135,MATCH(C8,'Labor Rate Card'!$A$2:$A$135,0)),0)</f>
        <v>0</v>
      </c>
      <c r="J8" s="33">
        <f t="shared" si="0"/>
        <v>0</v>
      </c>
      <c r="K8" s="41" t="str">
        <f>'Annual Election'!E11</f>
        <v/>
      </c>
      <c r="L8" s="41" t="str">
        <f>'Annual Election'!H11</f>
        <v/>
      </c>
      <c r="M8" s="45" t="str">
        <f t="shared" si="1"/>
        <v/>
      </c>
      <c r="N8" s="33">
        <f t="shared" si="2"/>
        <v>0</v>
      </c>
    </row>
    <row r="9" spans="1:14" x14ac:dyDescent="0.45">
      <c r="A9" s="27">
        <f>Master!A$6</f>
        <v>0</v>
      </c>
      <c r="B9" s="27">
        <f>Master!B$6</f>
        <v>0</v>
      </c>
      <c r="C9" s="27" t="str">
        <f>'Activity List'!A9</f>
        <v>T1-008</v>
      </c>
      <c r="D9" s="27" t="str">
        <f>'Activity List'!D9</f>
        <v>Seed Sowing</v>
      </c>
      <c r="E9" s="27" t="str">
        <f>'Activity List'!B9</f>
        <v>Tier 1 — Core Services</v>
      </c>
      <c r="F9" s="27" t="str">
        <f>'Activity List'!E9</f>
        <v>bed</v>
      </c>
      <c r="G9" s="42">
        <f>'Annual Election'!I12</f>
        <v>0</v>
      </c>
      <c r="H9" s="37"/>
      <c r="I9" s="34">
        <f>IFERROR(INDEX('Labor Rate Card'!$G$2:$G$135,MATCH(C9,'Labor Rate Card'!$A$2:$A$135,0)),0)</f>
        <v>0</v>
      </c>
      <c r="J9" s="33">
        <f t="shared" si="0"/>
        <v>0</v>
      </c>
      <c r="K9" s="41" t="str">
        <f>'Annual Election'!E12</f>
        <v/>
      </c>
      <c r="L9" s="41" t="str">
        <f>'Annual Election'!H12</f>
        <v/>
      </c>
      <c r="M9" s="45" t="str">
        <f t="shared" si="1"/>
        <v/>
      </c>
      <c r="N9" s="33">
        <f t="shared" si="2"/>
        <v>0</v>
      </c>
    </row>
    <row r="10" spans="1:14" x14ac:dyDescent="0.45">
      <c r="A10" s="27">
        <f>Master!A$6</f>
        <v>0</v>
      </c>
      <c r="B10" s="27">
        <f>Master!B$6</f>
        <v>0</v>
      </c>
      <c r="C10" s="27" t="str">
        <f>'Activity List'!A10</f>
        <v>T1-009</v>
      </c>
      <c r="D10" s="27" t="str">
        <f>'Activity List'!D10</f>
        <v>Mulch Material Preparation</v>
      </c>
      <c r="E10" s="27" t="str">
        <f>'Activity List'!B10</f>
        <v>Tier 1 — Core Services</v>
      </c>
      <c r="F10" s="27" t="str">
        <f>'Activity List'!E10</f>
        <v>bed</v>
      </c>
      <c r="G10" s="42">
        <f>'Annual Election'!I13</f>
        <v>0</v>
      </c>
      <c r="H10" s="37"/>
      <c r="I10" s="34">
        <f>IFERROR(INDEX('Labor Rate Card'!$G$2:$G$135,MATCH(C10,'Labor Rate Card'!$A$2:$A$135,0)),0)</f>
        <v>0</v>
      </c>
      <c r="J10" s="33">
        <f t="shared" si="0"/>
        <v>0</v>
      </c>
      <c r="K10" s="41" t="str">
        <f>'Annual Election'!E13</f>
        <v/>
      </c>
      <c r="L10" s="41" t="str">
        <f>'Annual Election'!H13</f>
        <v/>
      </c>
      <c r="M10" s="45" t="str">
        <f t="shared" si="1"/>
        <v/>
      </c>
      <c r="N10" s="33">
        <f t="shared" si="2"/>
        <v>0</v>
      </c>
    </row>
    <row r="11" spans="1:14" x14ac:dyDescent="0.45">
      <c r="A11" s="27">
        <f>Master!A$6</f>
        <v>0</v>
      </c>
      <c r="B11" s="27">
        <f>Master!B$6</f>
        <v>0</v>
      </c>
      <c r="C11" s="27" t="str">
        <f>'Activity List'!A11</f>
        <v>T1-010</v>
      </c>
      <c r="D11" s="27" t="str">
        <f>'Activity List'!D11</f>
        <v>Mulch Application</v>
      </c>
      <c r="E11" s="27" t="str">
        <f>'Activity List'!B11</f>
        <v>Tier 1 — Core Services</v>
      </c>
      <c r="F11" s="27" t="str">
        <f>'Activity List'!E11</f>
        <v>bed</v>
      </c>
      <c r="G11" s="42">
        <f>'Annual Election'!I14</f>
        <v>0</v>
      </c>
      <c r="H11" s="37"/>
      <c r="I11" s="34">
        <f>IFERROR(INDEX('Labor Rate Card'!$G$2:$G$135,MATCH(C11,'Labor Rate Card'!$A$2:$A$135,0)),0)</f>
        <v>0</v>
      </c>
      <c r="J11" s="33">
        <f t="shared" si="0"/>
        <v>0</v>
      </c>
      <c r="K11" s="41" t="str">
        <f>'Annual Election'!E14</f>
        <v/>
      </c>
      <c r="L11" s="41" t="str">
        <f>'Annual Election'!H14</f>
        <v/>
      </c>
      <c r="M11" s="45" t="str">
        <f t="shared" si="1"/>
        <v/>
      </c>
      <c r="N11" s="33">
        <f t="shared" si="2"/>
        <v>0</v>
      </c>
    </row>
    <row r="12" spans="1:14" x14ac:dyDescent="0.45">
      <c r="A12" s="27">
        <f>Master!A$6</f>
        <v>0</v>
      </c>
      <c r="B12" s="27">
        <f>Master!B$6</f>
        <v>0</v>
      </c>
      <c r="C12" s="27" t="str">
        <f>'Activity List'!A12</f>
        <v>T1-011</v>
      </c>
      <c r="D12" s="27" t="str">
        <f>'Activity List'!D12</f>
        <v>Shade Material Preparation</v>
      </c>
      <c r="E12" s="27" t="str">
        <f>'Activity List'!B12</f>
        <v>Tier 1 — Core Services</v>
      </c>
      <c r="F12" s="27" t="str">
        <f>'Activity List'!E12</f>
        <v>bed</v>
      </c>
      <c r="G12" s="42">
        <f>'Annual Election'!I15</f>
        <v>0</v>
      </c>
      <c r="H12" s="37"/>
      <c r="I12" s="34">
        <f>IFERROR(INDEX('Labor Rate Card'!$G$2:$G$135,MATCH(C12,'Labor Rate Card'!$A$2:$A$135,0)),0)</f>
        <v>0</v>
      </c>
      <c r="J12" s="33">
        <f t="shared" si="0"/>
        <v>0</v>
      </c>
      <c r="K12" s="41" t="str">
        <f>'Annual Election'!E15</f>
        <v/>
      </c>
      <c r="L12" s="41" t="str">
        <f>'Annual Election'!H15</f>
        <v/>
      </c>
      <c r="M12" s="45" t="str">
        <f t="shared" si="1"/>
        <v/>
      </c>
      <c r="N12" s="33">
        <f t="shared" si="2"/>
        <v>0</v>
      </c>
    </row>
    <row r="13" spans="1:14" x14ac:dyDescent="0.45">
      <c r="A13" s="27">
        <f>Master!A$6</f>
        <v>0</v>
      </c>
      <c r="B13" s="27">
        <f>Master!B$6</f>
        <v>0</v>
      </c>
      <c r="C13" s="27" t="str">
        <f>'Activity List'!A13</f>
        <v>T1-012</v>
      </c>
      <c r="D13" s="27" t="str">
        <f>'Activity List'!D13</f>
        <v>Shade Construction</v>
      </c>
      <c r="E13" s="27" t="str">
        <f>'Activity List'!B13</f>
        <v>Tier 1 — Core Services</v>
      </c>
      <c r="F13" s="27" t="str">
        <f>'Activity List'!E13</f>
        <v>bed</v>
      </c>
      <c r="G13" s="42">
        <f>'Annual Election'!I16</f>
        <v>0</v>
      </c>
      <c r="H13" s="37"/>
      <c r="I13" s="34">
        <f>IFERROR(INDEX('Labor Rate Card'!$G$2:$G$135,MATCH(C13,'Labor Rate Card'!$A$2:$A$135,0)),0)</f>
        <v>0</v>
      </c>
      <c r="J13" s="33">
        <f t="shared" si="0"/>
        <v>0</v>
      </c>
      <c r="K13" s="41" t="str">
        <f>'Annual Election'!E16</f>
        <v/>
      </c>
      <c r="L13" s="41" t="str">
        <f>'Annual Election'!H16</f>
        <v/>
      </c>
      <c r="M13" s="45" t="str">
        <f t="shared" si="1"/>
        <v/>
      </c>
      <c r="N13" s="33">
        <f t="shared" si="2"/>
        <v>0</v>
      </c>
    </row>
    <row r="14" spans="1:14" x14ac:dyDescent="0.45">
      <c r="A14" s="27">
        <f>Master!A$6</f>
        <v>0</v>
      </c>
      <c r="B14" s="27">
        <f>Master!B$6</f>
        <v>0</v>
      </c>
      <c r="C14" s="27" t="str">
        <f>'Activity List'!A14</f>
        <v>T1-013</v>
      </c>
      <c r="D14" s="27" t="str">
        <f>'Activity List'!D14</f>
        <v>Mulch Removal</v>
      </c>
      <c r="E14" s="27" t="str">
        <f>'Activity List'!B14</f>
        <v>Tier 1 — Core Services</v>
      </c>
      <c r="F14" s="27" t="str">
        <f>'Activity List'!E14</f>
        <v>bed</v>
      </c>
      <c r="G14" s="42">
        <f>'Annual Election'!I17</f>
        <v>0</v>
      </c>
      <c r="H14" s="37"/>
      <c r="I14" s="34">
        <f>IFERROR(INDEX('Labor Rate Card'!$G$2:$G$135,MATCH(C14,'Labor Rate Card'!$A$2:$A$135,0)),0)</f>
        <v>0</v>
      </c>
      <c r="J14" s="33">
        <f t="shared" si="0"/>
        <v>0</v>
      </c>
      <c r="K14" s="41" t="str">
        <f>'Annual Election'!E17</f>
        <v/>
      </c>
      <c r="L14" s="41" t="str">
        <f>'Annual Election'!H17</f>
        <v/>
      </c>
      <c r="M14" s="45" t="str">
        <f t="shared" si="1"/>
        <v/>
      </c>
      <c r="N14" s="33">
        <f t="shared" si="2"/>
        <v>0</v>
      </c>
    </row>
    <row r="15" spans="1:14" x14ac:dyDescent="0.45">
      <c r="A15" s="27">
        <f>Master!A$6</f>
        <v>0</v>
      </c>
      <c r="B15" s="27">
        <f>Master!B$6</f>
        <v>0</v>
      </c>
      <c r="C15" s="27" t="str">
        <f>'Activity List'!A15</f>
        <v>T1-014</v>
      </c>
      <c r="D15" s="27" t="str">
        <f>'Activity List'!D15</f>
        <v>Nursery Weeding</v>
      </c>
      <c r="E15" s="27" t="str">
        <f>'Activity List'!B15</f>
        <v>Tier 1 — Core Services</v>
      </c>
      <c r="F15" s="27" t="str">
        <f>'Activity List'!E15</f>
        <v>bed</v>
      </c>
      <c r="G15" s="42">
        <f>'Annual Election'!I18</f>
        <v>0</v>
      </c>
      <c r="H15" s="37"/>
      <c r="I15" s="34">
        <f>IFERROR(INDEX('Labor Rate Card'!$G$2:$G$135,MATCH(C15,'Labor Rate Card'!$A$2:$A$135,0)),0)</f>
        <v>0</v>
      </c>
      <c r="J15" s="33">
        <f t="shared" si="0"/>
        <v>0</v>
      </c>
      <c r="K15" s="41" t="str">
        <f>'Annual Election'!E18</f>
        <v/>
      </c>
      <c r="L15" s="41" t="str">
        <f>'Annual Election'!H18</f>
        <v/>
      </c>
      <c r="M15" s="45" t="str">
        <f t="shared" si="1"/>
        <v/>
      </c>
      <c r="N15" s="33">
        <f t="shared" si="2"/>
        <v>0</v>
      </c>
    </row>
    <row r="16" spans="1:14" x14ac:dyDescent="0.45">
      <c r="A16" s="27">
        <f>Master!A$6</f>
        <v>0</v>
      </c>
      <c r="B16" s="27">
        <f>Master!B$6</f>
        <v>0</v>
      </c>
      <c r="C16" s="27" t="str">
        <f>'Activity List'!A16</f>
        <v>T1-015</v>
      </c>
      <c r="D16" s="27" t="str">
        <f>'Activity List'!D16</f>
        <v>Shade Thinning</v>
      </c>
      <c r="E16" s="27" t="str">
        <f>'Activity List'!B16</f>
        <v>Tier 1 — Core Services</v>
      </c>
      <c r="F16" s="27" t="str">
        <f>'Activity List'!E16</f>
        <v>bed</v>
      </c>
      <c r="G16" s="42">
        <f>'Annual Election'!I19</f>
        <v>0</v>
      </c>
      <c r="H16" s="37"/>
      <c r="I16" s="34">
        <f>IFERROR(INDEX('Labor Rate Card'!$G$2:$G$135,MATCH(C16,'Labor Rate Card'!$A$2:$A$135,0)),0)</f>
        <v>0</v>
      </c>
      <c r="J16" s="33">
        <f t="shared" si="0"/>
        <v>0</v>
      </c>
      <c r="K16" s="41" t="str">
        <f>'Annual Election'!E19</f>
        <v/>
      </c>
      <c r="L16" s="41" t="str">
        <f>'Annual Election'!H19</f>
        <v/>
      </c>
      <c r="M16" s="45" t="str">
        <f t="shared" si="1"/>
        <v/>
      </c>
      <c r="N16" s="33">
        <f t="shared" si="2"/>
        <v>0</v>
      </c>
    </row>
    <row r="17" spans="1:14" x14ac:dyDescent="0.45">
      <c r="A17" s="27">
        <f>Master!A$6</f>
        <v>0</v>
      </c>
      <c r="B17" s="27">
        <f>Master!B$6</f>
        <v>0</v>
      </c>
      <c r="C17" s="27" t="str">
        <f>'Activity List'!A17</f>
        <v>T1-016</v>
      </c>
      <c r="D17" s="27" t="str">
        <f>'Activity List'!D17</f>
        <v>Shade Removal</v>
      </c>
      <c r="E17" s="27" t="str">
        <f>'Activity List'!B17</f>
        <v>Tier 1 — Core Services</v>
      </c>
      <c r="F17" s="27" t="str">
        <f>'Activity List'!E17</f>
        <v>bed</v>
      </c>
      <c r="G17" s="42">
        <f>'Annual Election'!I20</f>
        <v>0</v>
      </c>
      <c r="H17" s="37"/>
      <c r="I17" s="34">
        <f>IFERROR(INDEX('Labor Rate Card'!$G$2:$G$135,MATCH(C17,'Labor Rate Card'!$A$2:$A$135,0)),0)</f>
        <v>0</v>
      </c>
      <c r="J17" s="33">
        <f t="shared" si="0"/>
        <v>0</v>
      </c>
      <c r="K17" s="41" t="str">
        <f>'Annual Election'!E20</f>
        <v/>
      </c>
      <c r="L17" s="41" t="str">
        <f>'Annual Election'!H20</f>
        <v/>
      </c>
      <c r="M17" s="45" t="str">
        <f t="shared" si="1"/>
        <v/>
      </c>
      <c r="N17" s="33">
        <f t="shared" si="2"/>
        <v>0</v>
      </c>
    </row>
    <row r="18" spans="1:14" x14ac:dyDescent="0.45">
      <c r="A18" s="27">
        <f>Master!A$6</f>
        <v>0</v>
      </c>
      <c r="B18" s="27">
        <f>Master!B$6</f>
        <v>0</v>
      </c>
      <c r="C18" s="27" t="str">
        <f>'Activity List'!A18</f>
        <v>T1-017</v>
      </c>
      <c r="D18" s="27" t="str">
        <f>'Activity List'!D18</f>
        <v>Hoeing (Young Coffee)</v>
      </c>
      <c r="E18" s="27" t="str">
        <f>'Activity List'!B18</f>
        <v>Tier 1 — Core Services</v>
      </c>
      <c r="F18" s="27" t="str">
        <f>'Activity List'!E18</f>
        <v>tree</v>
      </c>
      <c r="G18" s="42">
        <f>'Annual Election'!I21</f>
        <v>0</v>
      </c>
      <c r="H18" s="37"/>
      <c r="I18" s="34">
        <f>IFERROR(INDEX('Labor Rate Card'!$G$2:$G$135,MATCH(C18,'Labor Rate Card'!$A$2:$A$135,0)),0)</f>
        <v>0</v>
      </c>
      <c r="J18" s="33">
        <f t="shared" si="0"/>
        <v>0</v>
      </c>
      <c r="K18" s="41" t="str">
        <f>'Annual Election'!E21</f>
        <v/>
      </c>
      <c r="L18" s="41" t="str">
        <f>'Annual Election'!H21</f>
        <v/>
      </c>
      <c r="M18" s="45" t="str">
        <f t="shared" si="1"/>
        <v/>
      </c>
      <c r="N18" s="33">
        <f t="shared" si="2"/>
        <v>0</v>
      </c>
    </row>
    <row r="19" spans="1:14" x14ac:dyDescent="0.45">
      <c r="A19" s="27">
        <f>Master!A$6</f>
        <v>0</v>
      </c>
      <c r="B19" s="27">
        <f>Master!B$6</f>
        <v>0</v>
      </c>
      <c r="C19" s="27" t="str">
        <f>'Activity List'!A19</f>
        <v>T1-018</v>
      </c>
      <c r="D19" s="27" t="str">
        <f>'Activity List'!D19</f>
        <v>Fertilizing (Young Coffee)</v>
      </c>
      <c r="E19" s="27" t="str">
        <f>'Activity List'!B19</f>
        <v>Tier 1 — Core Services</v>
      </c>
      <c r="F19" s="27" t="str">
        <f>'Activity List'!E19</f>
        <v>tree</v>
      </c>
      <c r="G19" s="42">
        <f>'Annual Election'!I22</f>
        <v>0</v>
      </c>
      <c r="H19" s="37"/>
      <c r="I19" s="34">
        <f>IFERROR(INDEX('Labor Rate Card'!$G$2:$G$135,MATCH(C19,'Labor Rate Card'!$A$2:$A$135,0)),0)</f>
        <v>0</v>
      </c>
      <c r="J19" s="33">
        <f t="shared" si="0"/>
        <v>0</v>
      </c>
      <c r="K19" s="41" t="str">
        <f>'Annual Election'!E22</f>
        <v/>
      </c>
      <c r="L19" s="41" t="str">
        <f>'Annual Election'!H22</f>
        <v/>
      </c>
      <c r="M19" s="45" t="str">
        <f t="shared" si="1"/>
        <v/>
      </c>
      <c r="N19" s="33">
        <f t="shared" si="2"/>
        <v>0</v>
      </c>
    </row>
    <row r="20" spans="1:14" x14ac:dyDescent="0.45">
      <c r="A20" s="27">
        <f>Master!A$6</f>
        <v>0</v>
      </c>
      <c r="B20" s="27">
        <f>Master!B$6</f>
        <v>0</v>
      </c>
      <c r="C20" s="27" t="str">
        <f>'Activity List'!A20</f>
        <v>T1-019</v>
      </c>
      <c r="D20" s="27" t="str">
        <f>'Activity List'!D20</f>
        <v>Ring Weeding of Seedlings</v>
      </c>
      <c r="E20" s="27" t="str">
        <f>'Activity List'!B20</f>
        <v>Tier 1 — Core Services</v>
      </c>
      <c r="F20" s="27" t="str">
        <f>'Activity List'!E20</f>
        <v>tree</v>
      </c>
      <c r="G20" s="42">
        <f>'Annual Election'!I23</f>
        <v>0</v>
      </c>
      <c r="H20" s="37"/>
      <c r="I20" s="34">
        <f>IFERROR(INDEX('Labor Rate Card'!$G$2:$G$135,MATCH(C20,'Labor Rate Card'!$A$2:$A$135,0)),0)</f>
        <v>0</v>
      </c>
      <c r="J20" s="33">
        <f t="shared" si="0"/>
        <v>0</v>
      </c>
      <c r="K20" s="41" t="str">
        <f>'Annual Election'!E23</f>
        <v/>
      </c>
      <c r="L20" s="41" t="str">
        <f>'Annual Election'!H23</f>
        <v/>
      </c>
      <c r="M20" s="45" t="str">
        <f t="shared" si="1"/>
        <v/>
      </c>
      <c r="N20" s="33">
        <f t="shared" si="2"/>
        <v>0</v>
      </c>
    </row>
    <row r="21" spans="1:14" x14ac:dyDescent="0.45">
      <c r="A21" s="27">
        <f>Master!A$6</f>
        <v>0</v>
      </c>
      <c r="B21" s="27">
        <f>Master!B$6</f>
        <v>0</v>
      </c>
      <c r="C21" s="27" t="str">
        <f>'Activity List'!A21</f>
        <v>T1-020</v>
      </c>
      <c r="D21" s="27" t="str">
        <f>'Activity List'!D21</f>
        <v>Shade Tree Regulation</v>
      </c>
      <c r="E21" s="27" t="str">
        <f>'Activity List'!B21</f>
        <v>Tier 1 — Core Services</v>
      </c>
      <c r="F21" s="27" t="str">
        <f>'Activity List'!E21</f>
        <v>ha</v>
      </c>
      <c r="G21" s="42">
        <f>'Annual Election'!I24</f>
        <v>0</v>
      </c>
      <c r="H21" s="37"/>
      <c r="I21" s="34">
        <f>IFERROR(INDEX('Labor Rate Card'!$G$2:$G$135,MATCH(C21,'Labor Rate Card'!$A$2:$A$135,0)),0)</f>
        <v>0</v>
      </c>
      <c r="J21" s="33">
        <f t="shared" si="0"/>
        <v>0</v>
      </c>
      <c r="K21" s="41" t="str">
        <f>'Annual Election'!E24</f>
        <v/>
      </c>
      <c r="L21" s="41" t="str">
        <f>'Annual Election'!H24</f>
        <v/>
      </c>
      <c r="M21" s="45" t="str">
        <f t="shared" si="1"/>
        <v/>
      </c>
      <c r="N21" s="33">
        <f t="shared" si="2"/>
        <v>0</v>
      </c>
    </row>
    <row r="22" spans="1:14" x14ac:dyDescent="0.45">
      <c r="A22" s="27">
        <f>Master!A$6</f>
        <v>0</v>
      </c>
      <c r="B22" s="27">
        <f>Master!B$6</f>
        <v>0</v>
      </c>
      <c r="C22" s="27" t="str">
        <f>'Activity List'!A22</f>
        <v>T1-021</v>
      </c>
      <c r="D22" s="27" t="str">
        <f>'Activity List'!D22</f>
        <v>Compost Preparation</v>
      </c>
      <c r="E22" s="27" t="str">
        <f>'Activity List'!B22</f>
        <v>Tier 1 — Core Services</v>
      </c>
      <c r="F22" s="27" t="str">
        <f>'Activity List'!E22</f>
        <v>m3</v>
      </c>
      <c r="G22" s="42">
        <f>'Annual Election'!I25</f>
        <v>0</v>
      </c>
      <c r="H22" s="37"/>
      <c r="I22" s="34">
        <f>IFERROR(INDEX('Labor Rate Card'!$G$2:$G$135,MATCH(C22,'Labor Rate Card'!$A$2:$A$135,0)),0)</f>
        <v>0</v>
      </c>
      <c r="J22" s="33">
        <f t="shared" si="0"/>
        <v>0</v>
      </c>
      <c r="K22" s="41" t="str">
        <f>'Annual Election'!E25</f>
        <v/>
      </c>
      <c r="L22" s="41" t="str">
        <f>'Annual Election'!H25</f>
        <v/>
      </c>
      <c r="M22" s="45" t="str">
        <f t="shared" si="1"/>
        <v/>
      </c>
      <c r="N22" s="33">
        <f t="shared" si="2"/>
        <v>0</v>
      </c>
    </row>
    <row r="23" spans="1:14" x14ac:dyDescent="0.45">
      <c r="A23" s="27">
        <f>Master!A$6</f>
        <v>0</v>
      </c>
      <c r="B23" s="27">
        <f>Master!B$6</f>
        <v>0</v>
      </c>
      <c r="C23" s="27" t="str">
        <f>'Activity List'!A23</f>
        <v>T1-022</v>
      </c>
      <c r="D23" s="27" t="str">
        <f>'Activity List'!D23</f>
        <v>Ridge Construction</v>
      </c>
      <c r="E23" s="27" t="str">
        <f>'Activity List'!B23</f>
        <v>Tier 1 — Core Services</v>
      </c>
      <c r="F23" s="27" t="str">
        <f>'Activity List'!E23</f>
        <v>meter</v>
      </c>
      <c r="G23" s="42">
        <f>'Annual Election'!I26</f>
        <v>0</v>
      </c>
      <c r="H23" s="37"/>
      <c r="I23" s="34">
        <f>IFERROR(INDEX('Labor Rate Card'!$G$2:$G$135,MATCH(C23,'Labor Rate Card'!$A$2:$A$135,0)),0)</f>
        <v>0</v>
      </c>
      <c r="J23" s="33">
        <f t="shared" si="0"/>
        <v>0</v>
      </c>
      <c r="K23" s="41" t="str">
        <f>'Annual Election'!E26</f>
        <v/>
      </c>
      <c r="L23" s="41" t="str">
        <f>'Annual Election'!H26</f>
        <v/>
      </c>
      <c r="M23" s="45" t="str">
        <f t="shared" si="1"/>
        <v/>
      </c>
      <c r="N23" s="33">
        <f t="shared" si="2"/>
        <v>0</v>
      </c>
    </row>
    <row r="24" spans="1:14" x14ac:dyDescent="0.45">
      <c r="A24" s="27">
        <f>Master!A$6</f>
        <v>0</v>
      </c>
      <c r="B24" s="27">
        <f>Master!B$6</f>
        <v>0</v>
      </c>
      <c r="C24" s="27" t="str">
        <f>'Activity List'!A24</f>
        <v>T1-023</v>
      </c>
      <c r="D24" s="27" t="str">
        <f>'Activity List'!D24</f>
        <v>Manual Weeding</v>
      </c>
      <c r="E24" s="27" t="str">
        <f>'Activity List'!B24</f>
        <v>Tier 1 — Core Services</v>
      </c>
      <c r="F24" s="27" t="str">
        <f>'Activity List'!E24</f>
        <v>ha</v>
      </c>
      <c r="G24" s="42">
        <f>'Annual Election'!I27</f>
        <v>0</v>
      </c>
      <c r="H24" s="37"/>
      <c r="I24" s="34">
        <f>IFERROR(INDEX('Labor Rate Card'!$G$2:$G$135,MATCH(C24,'Labor Rate Card'!$A$2:$A$135,0)),0)</f>
        <v>0</v>
      </c>
      <c r="J24" s="33">
        <f t="shared" si="0"/>
        <v>0</v>
      </c>
      <c r="K24" s="41" t="str">
        <f>'Annual Election'!E27</f>
        <v/>
      </c>
      <c r="L24" s="41" t="str">
        <f>'Annual Election'!H27</f>
        <v/>
      </c>
      <c r="M24" s="45" t="str">
        <f t="shared" si="1"/>
        <v/>
      </c>
      <c r="N24" s="33">
        <f t="shared" si="2"/>
        <v>0</v>
      </c>
    </row>
    <row r="25" spans="1:14" x14ac:dyDescent="0.45">
      <c r="A25" s="27">
        <f>Master!A$6</f>
        <v>0</v>
      </c>
      <c r="B25" s="27">
        <f>Master!B$6</f>
        <v>0</v>
      </c>
      <c r="C25" s="27" t="str">
        <f>'Activity List'!A25</f>
        <v>T1-024</v>
      </c>
      <c r="D25" s="27" t="str">
        <f>'Activity List'!D25</f>
        <v>Chemical Weeding</v>
      </c>
      <c r="E25" s="27" t="str">
        <f>'Activity List'!B25</f>
        <v>Tier 1 — Core Services</v>
      </c>
      <c r="F25" s="27" t="str">
        <f>'Activity List'!E25</f>
        <v>ha</v>
      </c>
      <c r="G25" s="42">
        <f>'Annual Election'!I28</f>
        <v>0</v>
      </c>
      <c r="H25" s="37"/>
      <c r="I25" s="34">
        <f>IFERROR(INDEX('Labor Rate Card'!$G$2:$G$135,MATCH(C25,'Labor Rate Card'!$A$2:$A$135,0)),0)</f>
        <v>0</v>
      </c>
      <c r="J25" s="33">
        <f t="shared" si="0"/>
        <v>0</v>
      </c>
      <c r="K25" s="41" t="str">
        <f>'Annual Election'!E28</f>
        <v/>
      </c>
      <c r="L25" s="41" t="str">
        <f>'Annual Election'!H28</f>
        <v/>
      </c>
      <c r="M25" s="45" t="str">
        <f t="shared" si="1"/>
        <v/>
      </c>
      <c r="N25" s="33">
        <f t="shared" si="2"/>
        <v>0</v>
      </c>
    </row>
    <row r="26" spans="1:14" x14ac:dyDescent="0.45">
      <c r="A26" s="27">
        <f>Master!A$6</f>
        <v>0</v>
      </c>
      <c r="B26" s="27">
        <f>Master!B$6</f>
        <v>0</v>
      </c>
      <c r="C26" s="27" t="str">
        <f>'Activity List'!A26</f>
        <v>T1-025</v>
      </c>
      <c r="D26" s="27" t="str">
        <f>'Activity List'!D26</f>
        <v>Pruning (Matured Coffee)</v>
      </c>
      <c r="E26" s="27" t="str">
        <f>'Activity List'!B26</f>
        <v>Tier 1 — Core Services</v>
      </c>
      <c r="F26" s="27" t="str">
        <f>'Activity List'!E26</f>
        <v>tree</v>
      </c>
      <c r="G26" s="42">
        <f>'Annual Election'!I29</f>
        <v>0</v>
      </c>
      <c r="H26" s="37"/>
      <c r="I26" s="34">
        <f>IFERROR(INDEX('Labor Rate Card'!$G$2:$G$135,MATCH(C26,'Labor Rate Card'!$A$2:$A$135,0)),0)</f>
        <v>0</v>
      </c>
      <c r="J26" s="33">
        <f t="shared" si="0"/>
        <v>0</v>
      </c>
      <c r="K26" s="41" t="str">
        <f>'Annual Election'!E29</f>
        <v/>
      </c>
      <c r="L26" s="41" t="str">
        <f>'Annual Election'!H29</f>
        <v/>
      </c>
      <c r="M26" s="45" t="str">
        <f t="shared" si="1"/>
        <v/>
      </c>
      <c r="N26" s="33">
        <f t="shared" si="2"/>
        <v>0</v>
      </c>
    </row>
    <row r="27" spans="1:14" x14ac:dyDescent="0.45">
      <c r="A27" s="27">
        <f>Master!A$6</f>
        <v>0</v>
      </c>
      <c r="B27" s="27">
        <f>Master!B$6</f>
        <v>0</v>
      </c>
      <c r="C27" s="27" t="str">
        <f>'Activity List'!A27</f>
        <v>T1-026</v>
      </c>
      <c r="D27" s="27" t="str">
        <f>'Activity List'!D27</f>
        <v>Topping (Matured Coffee)</v>
      </c>
      <c r="E27" s="27" t="str">
        <f>'Activity List'!B27</f>
        <v>Tier 1 — Core Services</v>
      </c>
      <c r="F27" s="27" t="str">
        <f>'Activity List'!E27</f>
        <v>tree</v>
      </c>
      <c r="G27" s="42">
        <f>'Annual Election'!I30</f>
        <v>0</v>
      </c>
      <c r="H27" s="37"/>
      <c r="I27" s="34">
        <f>IFERROR(INDEX('Labor Rate Card'!$G$2:$G$135,MATCH(C27,'Labor Rate Card'!$A$2:$A$135,0)),0)</f>
        <v>0</v>
      </c>
      <c r="J27" s="33">
        <f t="shared" si="0"/>
        <v>0</v>
      </c>
      <c r="K27" s="41" t="str">
        <f>'Annual Election'!E30</f>
        <v/>
      </c>
      <c r="L27" s="41" t="str">
        <f>'Annual Election'!H30</f>
        <v/>
      </c>
      <c r="M27" s="45" t="str">
        <f t="shared" si="1"/>
        <v/>
      </c>
      <c r="N27" s="33">
        <f t="shared" si="2"/>
        <v>0</v>
      </c>
    </row>
    <row r="28" spans="1:14" x14ac:dyDescent="0.45">
      <c r="A28" s="27">
        <f>Master!A$6</f>
        <v>0</v>
      </c>
      <c r="B28" s="27">
        <f>Master!B$6</f>
        <v>0</v>
      </c>
      <c r="C28" s="27" t="str">
        <f>'Activity List'!A28</f>
        <v>T1-027</v>
      </c>
      <c r="D28" s="27" t="str">
        <f>'Activity List'!D28</f>
        <v>Handling and Desuckering</v>
      </c>
      <c r="E28" s="27" t="str">
        <f>'Activity List'!B28</f>
        <v>Tier 1 — Core Services</v>
      </c>
      <c r="F28" s="27" t="str">
        <f>'Activity List'!E28</f>
        <v>tree</v>
      </c>
      <c r="G28" s="42">
        <f>'Annual Election'!I31</f>
        <v>0</v>
      </c>
      <c r="H28" s="37"/>
      <c r="I28" s="34">
        <f>IFERROR(INDEX('Labor Rate Card'!$G$2:$G$135,MATCH(C28,'Labor Rate Card'!$A$2:$A$135,0)),0)</f>
        <v>0</v>
      </c>
      <c r="J28" s="33">
        <f t="shared" si="0"/>
        <v>0</v>
      </c>
      <c r="K28" s="41" t="str">
        <f>'Annual Election'!E31</f>
        <v/>
      </c>
      <c r="L28" s="41" t="str">
        <f>'Annual Election'!H31</f>
        <v/>
      </c>
      <c r="M28" s="45" t="str">
        <f t="shared" si="1"/>
        <v/>
      </c>
      <c r="N28" s="33">
        <f t="shared" si="2"/>
        <v>0</v>
      </c>
    </row>
    <row r="29" spans="1:14" x14ac:dyDescent="0.45">
      <c r="A29" s="27">
        <f>Master!A$6</f>
        <v>0</v>
      </c>
      <c r="B29" s="27">
        <f>Master!B$6</f>
        <v>0</v>
      </c>
      <c r="C29" s="27" t="str">
        <f>'Activity List'!A29</f>
        <v>T1-028</v>
      </c>
      <c r="D29" s="27" t="str">
        <f>'Activity List'!D29</f>
        <v>Coffee Tree Support/Staking</v>
      </c>
      <c r="E29" s="27" t="str">
        <f>'Activity List'!B29</f>
        <v>Tier 1 — Core Services</v>
      </c>
      <c r="F29" s="27" t="str">
        <f>'Activity List'!E29</f>
        <v>tree</v>
      </c>
      <c r="G29" s="42">
        <f>'Annual Election'!I32</f>
        <v>0</v>
      </c>
      <c r="H29" s="37"/>
      <c r="I29" s="34">
        <f>IFERROR(INDEX('Labor Rate Card'!$G$2:$G$135,MATCH(C29,'Labor Rate Card'!$A$2:$A$135,0)),0)</f>
        <v>0</v>
      </c>
      <c r="J29" s="33">
        <f t="shared" si="0"/>
        <v>0</v>
      </c>
      <c r="K29" s="41" t="str">
        <f>'Annual Election'!E32</f>
        <v/>
      </c>
      <c r="L29" s="41" t="str">
        <f>'Annual Election'!H32</f>
        <v/>
      </c>
      <c r="M29" s="45" t="str">
        <f t="shared" si="1"/>
        <v/>
      </c>
      <c r="N29" s="33">
        <f t="shared" si="2"/>
        <v>0</v>
      </c>
    </row>
    <row r="30" spans="1:14" x14ac:dyDescent="0.45">
      <c r="A30" s="27">
        <f>Master!A$6</f>
        <v>0</v>
      </c>
      <c r="B30" s="27">
        <f>Master!B$6</f>
        <v>0</v>
      </c>
      <c r="C30" s="27" t="str">
        <f>'Activity List'!A30</f>
        <v>T1-029</v>
      </c>
      <c r="D30" s="27" t="str">
        <f>'Activity List'!D30</f>
        <v>Watchman Tower (Matured Block)</v>
      </c>
      <c r="E30" s="27" t="str">
        <f>'Activity List'!B30</f>
        <v>Tier 1 — Core Services</v>
      </c>
      <c r="F30" s="27" t="str">
        <f>'Activity List'!E30</f>
        <v>tower</v>
      </c>
      <c r="G30" s="42">
        <f>'Annual Election'!I33</f>
        <v>0</v>
      </c>
      <c r="H30" s="37"/>
      <c r="I30" s="34">
        <f>IFERROR(INDEX('Labor Rate Card'!$G$2:$G$135,MATCH(C30,'Labor Rate Card'!$A$2:$A$135,0)),0)</f>
        <v>0</v>
      </c>
      <c r="J30" s="33">
        <f t="shared" si="0"/>
        <v>0</v>
      </c>
      <c r="K30" s="41" t="str">
        <f>'Annual Election'!E33</f>
        <v/>
      </c>
      <c r="L30" s="41" t="str">
        <f>'Annual Election'!H33</f>
        <v/>
      </c>
      <c r="M30" s="45" t="str">
        <f t="shared" si="1"/>
        <v/>
      </c>
      <c r="N30" s="33">
        <f t="shared" si="2"/>
        <v>0</v>
      </c>
    </row>
    <row r="31" spans="1:14" x14ac:dyDescent="0.45">
      <c r="A31" s="27">
        <f>Master!A$6</f>
        <v>0</v>
      </c>
      <c r="B31" s="27">
        <f>Master!B$6</f>
        <v>0</v>
      </c>
      <c r="C31" s="27" t="str">
        <f>'Activity List'!A31</f>
        <v>T1-030</v>
      </c>
      <c r="D31" s="27" t="str">
        <f>'Activity List'!D31</f>
        <v>Infill Peg Preparation</v>
      </c>
      <c r="E31" s="27" t="str">
        <f>'Activity List'!B31</f>
        <v>Tier 1 — Core Services</v>
      </c>
      <c r="F31" s="27" t="str">
        <f>'Activity List'!E31</f>
        <v>planting point</v>
      </c>
      <c r="G31" s="42">
        <f>'Annual Election'!I34</f>
        <v>0</v>
      </c>
      <c r="H31" s="37"/>
      <c r="I31" s="34">
        <f>IFERROR(INDEX('Labor Rate Card'!$G$2:$G$135,MATCH(C31,'Labor Rate Card'!$A$2:$A$135,0)),0)</f>
        <v>0</v>
      </c>
      <c r="J31" s="33">
        <f t="shared" si="0"/>
        <v>0</v>
      </c>
      <c r="K31" s="41" t="str">
        <f>'Annual Election'!E34</f>
        <v/>
      </c>
      <c r="L31" s="41" t="str">
        <f>'Annual Election'!H34</f>
        <v/>
      </c>
      <c r="M31" s="45" t="str">
        <f t="shared" si="1"/>
        <v/>
      </c>
      <c r="N31" s="33">
        <f t="shared" si="2"/>
        <v>0</v>
      </c>
    </row>
    <row r="32" spans="1:14" x14ac:dyDescent="0.45">
      <c r="A32" s="27">
        <f>Master!A$6</f>
        <v>0</v>
      </c>
      <c r="B32" s="27">
        <f>Master!B$6</f>
        <v>0</v>
      </c>
      <c r="C32" s="27" t="str">
        <f>'Activity List'!A32</f>
        <v>T1-031</v>
      </c>
      <c r="D32" s="27" t="str">
        <f>'Activity List'!D32</f>
        <v>Infill Layout and Pegging</v>
      </c>
      <c r="E32" s="27" t="str">
        <f>'Activity List'!B32</f>
        <v>Tier 1 — Core Services</v>
      </c>
      <c r="F32" s="27" t="str">
        <f>'Activity List'!E32</f>
        <v>planting point</v>
      </c>
      <c r="G32" s="42">
        <f>'Annual Election'!I35</f>
        <v>0</v>
      </c>
      <c r="H32" s="37"/>
      <c r="I32" s="34">
        <f>IFERROR(INDEX('Labor Rate Card'!$G$2:$G$135,MATCH(C32,'Labor Rate Card'!$A$2:$A$135,0)),0)</f>
        <v>0</v>
      </c>
      <c r="J32" s="33">
        <f t="shared" si="0"/>
        <v>0</v>
      </c>
      <c r="K32" s="41" t="str">
        <f>'Annual Election'!E35</f>
        <v/>
      </c>
      <c r="L32" s="41" t="str">
        <f>'Annual Election'!H35</f>
        <v/>
      </c>
      <c r="M32" s="45" t="str">
        <f t="shared" si="1"/>
        <v/>
      </c>
      <c r="N32" s="33">
        <f t="shared" si="2"/>
        <v>0</v>
      </c>
    </row>
    <row r="33" spans="1:14" x14ac:dyDescent="0.45">
      <c r="A33" s="27">
        <f>Master!A$6</f>
        <v>0</v>
      </c>
      <c r="B33" s="27">
        <f>Master!B$6</f>
        <v>0</v>
      </c>
      <c r="C33" s="27" t="str">
        <f>'Activity List'!A33</f>
        <v>T1-032</v>
      </c>
      <c r="D33" s="27" t="str">
        <f>'Activity List'!D33</f>
        <v>Infill Hole Digging</v>
      </c>
      <c r="E33" s="27" t="str">
        <f>'Activity List'!B33</f>
        <v>Tier 1 — Core Services</v>
      </c>
      <c r="F33" s="27" t="str">
        <f>'Activity List'!E33</f>
        <v>planting point</v>
      </c>
      <c r="G33" s="42">
        <f>'Annual Election'!I36</f>
        <v>0</v>
      </c>
      <c r="H33" s="37"/>
      <c r="I33" s="34">
        <f>IFERROR(INDEX('Labor Rate Card'!$G$2:$G$135,MATCH(C33,'Labor Rate Card'!$A$2:$A$135,0)),0)</f>
        <v>0</v>
      </c>
      <c r="J33" s="33">
        <f t="shared" si="0"/>
        <v>0</v>
      </c>
      <c r="K33" s="41" t="str">
        <f>'Annual Election'!E36</f>
        <v/>
      </c>
      <c r="L33" s="41" t="str">
        <f>'Annual Election'!H36</f>
        <v/>
      </c>
      <c r="M33" s="45" t="str">
        <f t="shared" si="1"/>
        <v/>
      </c>
      <c r="N33" s="33">
        <f t="shared" si="2"/>
        <v>0</v>
      </c>
    </row>
    <row r="34" spans="1:14" x14ac:dyDescent="0.45">
      <c r="A34" s="27">
        <f>Master!A$6</f>
        <v>0</v>
      </c>
      <c r="B34" s="27">
        <f>Master!B$6</f>
        <v>0</v>
      </c>
      <c r="C34" s="27" t="str">
        <f>'Activity List'!A34</f>
        <v>T1-033</v>
      </c>
      <c r="D34" s="27" t="str">
        <f>'Activity List'!D34</f>
        <v>Infill Hole Refilling</v>
      </c>
      <c r="E34" s="27" t="str">
        <f>'Activity List'!B34</f>
        <v>Tier 1 — Core Services</v>
      </c>
      <c r="F34" s="27" t="str">
        <f>'Activity List'!E34</f>
        <v>planting point</v>
      </c>
      <c r="G34" s="42">
        <f>'Annual Election'!I37</f>
        <v>0</v>
      </c>
      <c r="H34" s="37"/>
      <c r="I34" s="34">
        <f>IFERROR(INDEX('Labor Rate Card'!$G$2:$G$135,MATCH(C34,'Labor Rate Card'!$A$2:$A$135,0)),0)</f>
        <v>0</v>
      </c>
      <c r="J34" s="33">
        <f t="shared" ref="J34:J65" si="3">IF(G34="Y",H34*I34,0)</f>
        <v>0</v>
      </c>
      <c r="K34" s="41" t="str">
        <f>'Annual Election'!E37</f>
        <v/>
      </c>
      <c r="L34" s="41" t="str">
        <f>'Annual Election'!H37</f>
        <v/>
      </c>
      <c r="M34" s="45" t="str">
        <f t="shared" ref="M34:M65" si="4">IF(OR(K34="",L34=""),"",ROUNDUP((L34-K34+1)/7,0))</f>
        <v/>
      </c>
      <c r="N34" s="33">
        <f t="shared" ref="N34:N65" si="5">IF(OR(J34="",M34="",M34=0),0,J34/M34)</f>
        <v>0</v>
      </c>
    </row>
    <row r="35" spans="1:14" x14ac:dyDescent="0.45">
      <c r="A35" s="27">
        <f>Master!A$6</f>
        <v>0</v>
      </c>
      <c r="B35" s="27">
        <f>Master!B$6</f>
        <v>0</v>
      </c>
      <c r="C35" s="27" t="str">
        <f>'Activity List'!A35</f>
        <v>T1-034</v>
      </c>
      <c r="D35" s="27" t="str">
        <f>'Activity List'!D35</f>
        <v>Infill Watchman Tower Prep</v>
      </c>
      <c r="E35" s="27" t="str">
        <f>'Activity List'!B35</f>
        <v>Tier 1 — Core Services</v>
      </c>
      <c r="F35" s="27" t="str">
        <f>'Activity List'!E35</f>
        <v>tower</v>
      </c>
      <c r="G35" s="42">
        <f>'Annual Election'!I38</f>
        <v>0</v>
      </c>
      <c r="H35" s="37"/>
      <c r="I35" s="34">
        <f>IFERROR(INDEX('Labor Rate Card'!$G$2:$G$135,MATCH(C35,'Labor Rate Card'!$A$2:$A$135,0)),0)</f>
        <v>0</v>
      </c>
      <c r="J35" s="33">
        <f t="shared" si="3"/>
        <v>0</v>
      </c>
      <c r="K35" s="41" t="str">
        <f>'Annual Election'!E38</f>
        <v/>
      </c>
      <c r="L35" s="41" t="str">
        <f>'Annual Election'!H38</f>
        <v/>
      </c>
      <c r="M35" s="45" t="str">
        <f t="shared" si="4"/>
        <v/>
      </c>
      <c r="N35" s="33">
        <f t="shared" si="5"/>
        <v>0</v>
      </c>
    </row>
    <row r="36" spans="1:14" x14ac:dyDescent="0.45">
      <c r="A36" s="27">
        <f>Master!A$6</f>
        <v>0</v>
      </c>
      <c r="B36" s="27">
        <f>Master!B$6</f>
        <v>0</v>
      </c>
      <c r="C36" s="27" t="str">
        <f>'Activity List'!A36</f>
        <v>T1-035</v>
      </c>
      <c r="D36" s="27" t="str">
        <f>'Activity List'!D36</f>
        <v>Infill Seedling Transport</v>
      </c>
      <c r="E36" s="27" t="str">
        <f>'Activity List'!B36</f>
        <v>Tier 1 — Core Services</v>
      </c>
      <c r="F36" s="27" t="str">
        <f>'Activity List'!E36</f>
        <v>seedling</v>
      </c>
      <c r="G36" s="42">
        <f>'Annual Election'!I39</f>
        <v>0</v>
      </c>
      <c r="H36" s="37"/>
      <c r="I36" s="34">
        <f>IFERROR(INDEX('Labor Rate Card'!$G$2:$G$135,MATCH(C36,'Labor Rate Card'!$A$2:$A$135,0)),0)</f>
        <v>0</v>
      </c>
      <c r="J36" s="33">
        <f t="shared" si="3"/>
        <v>0</v>
      </c>
      <c r="K36" s="41" t="str">
        <f>'Annual Election'!E39</f>
        <v/>
      </c>
      <c r="L36" s="41" t="str">
        <f>'Annual Election'!H39</f>
        <v/>
      </c>
      <c r="M36" s="45" t="str">
        <f t="shared" si="4"/>
        <v/>
      </c>
      <c r="N36" s="33">
        <f t="shared" si="5"/>
        <v>0</v>
      </c>
    </row>
    <row r="37" spans="1:14" x14ac:dyDescent="0.45">
      <c r="A37" s="27">
        <f>Master!A$6</f>
        <v>0</v>
      </c>
      <c r="B37" s="27">
        <f>Master!B$6</f>
        <v>0</v>
      </c>
      <c r="C37" s="27" t="str">
        <f>'Activity List'!A37</f>
        <v>T1-036</v>
      </c>
      <c r="D37" s="27" t="str">
        <f>'Activity List'!D37</f>
        <v>Infill Planting</v>
      </c>
      <c r="E37" s="27" t="str">
        <f>'Activity List'!B37</f>
        <v>Tier 1 — Core Services</v>
      </c>
      <c r="F37" s="27" t="str">
        <f>'Activity List'!E37</f>
        <v>seedling</v>
      </c>
      <c r="G37" s="42">
        <f>'Annual Election'!I40</f>
        <v>0</v>
      </c>
      <c r="H37" s="37"/>
      <c r="I37" s="34">
        <f>IFERROR(INDEX('Labor Rate Card'!$G$2:$G$135,MATCH(C37,'Labor Rate Card'!$A$2:$A$135,0)),0)</f>
        <v>0</v>
      </c>
      <c r="J37" s="33">
        <f t="shared" si="3"/>
        <v>0</v>
      </c>
      <c r="K37" s="41" t="str">
        <f>'Annual Election'!E40</f>
        <v/>
      </c>
      <c r="L37" s="41" t="str">
        <f>'Annual Election'!H40</f>
        <v/>
      </c>
      <c r="M37" s="45" t="str">
        <f t="shared" si="4"/>
        <v/>
      </c>
      <c r="N37" s="33">
        <f t="shared" si="5"/>
        <v>0</v>
      </c>
    </row>
    <row r="38" spans="1:14" x14ac:dyDescent="0.45">
      <c r="A38" s="27">
        <f>Master!A$6</f>
        <v>0</v>
      </c>
      <c r="B38" s="27">
        <f>Master!B$6</f>
        <v>0</v>
      </c>
      <c r="C38" s="27" t="str">
        <f>'Activity List'!A38</f>
        <v>T1-037</v>
      </c>
      <c r="D38" s="27" t="str">
        <f>'Activity List'!D38</f>
        <v>Harvest Watchman Tower Prep</v>
      </c>
      <c r="E38" s="27" t="str">
        <f>'Activity List'!B38</f>
        <v>Tier 1 — Core Services</v>
      </c>
      <c r="F38" s="27" t="str">
        <f>'Activity List'!E38</f>
        <v>tower</v>
      </c>
      <c r="G38" s="42">
        <f>'Annual Election'!I41</f>
        <v>0</v>
      </c>
      <c r="H38" s="37"/>
      <c r="I38" s="34">
        <f>IFERROR(INDEX('Labor Rate Card'!$G$2:$G$135,MATCH(C38,'Labor Rate Card'!$A$2:$A$135,0)),0)</f>
        <v>0</v>
      </c>
      <c r="J38" s="33">
        <f t="shared" si="3"/>
        <v>0</v>
      </c>
      <c r="K38" s="41" t="str">
        <f>'Annual Election'!E41</f>
        <v/>
      </c>
      <c r="L38" s="41" t="str">
        <f>'Annual Election'!H41</f>
        <v/>
      </c>
      <c r="M38" s="45" t="str">
        <f t="shared" si="4"/>
        <v/>
      </c>
      <c r="N38" s="33">
        <f t="shared" si="5"/>
        <v>0</v>
      </c>
    </row>
    <row r="39" spans="1:14" x14ac:dyDescent="0.45">
      <c r="A39" s="27">
        <f>Master!A$6</f>
        <v>0</v>
      </c>
      <c r="B39" s="27">
        <f>Master!B$6</f>
        <v>0</v>
      </c>
      <c r="C39" s="27" t="str">
        <f>'Activity List'!A39</f>
        <v>T1-038</v>
      </c>
      <c r="D39" s="27" t="str">
        <f>'Activity List'!D39</f>
        <v>Drying Bed Material Prep and Transport</v>
      </c>
      <c r="E39" s="27" t="str">
        <f>'Activity List'!B39</f>
        <v>Tier 1 — Core Services</v>
      </c>
      <c r="F39" s="27" t="str">
        <f>'Activity List'!E39</f>
        <v>bed</v>
      </c>
      <c r="G39" s="42">
        <f>'Annual Election'!I42</f>
        <v>0</v>
      </c>
      <c r="H39" s="37"/>
      <c r="I39" s="34">
        <f>IFERROR(INDEX('Labor Rate Card'!$G$2:$G$135,MATCH(C39,'Labor Rate Card'!$A$2:$A$135,0)),0)</f>
        <v>0</v>
      </c>
      <c r="J39" s="33">
        <f t="shared" si="3"/>
        <v>0</v>
      </c>
      <c r="K39" s="41" t="str">
        <f>'Annual Election'!E42</f>
        <v/>
      </c>
      <c r="L39" s="41" t="str">
        <f>'Annual Election'!H42</f>
        <v/>
      </c>
      <c r="M39" s="45" t="str">
        <f t="shared" si="4"/>
        <v/>
      </c>
      <c r="N39" s="33">
        <f t="shared" si="5"/>
        <v>0</v>
      </c>
    </row>
    <row r="40" spans="1:14" x14ac:dyDescent="0.45">
      <c r="A40" s="27">
        <f>Master!A$6</f>
        <v>0</v>
      </c>
      <c r="B40" s="27">
        <f>Master!B$6</f>
        <v>0</v>
      </c>
      <c r="C40" s="27" t="str">
        <f>'Activity List'!A40</f>
        <v>T1-039</v>
      </c>
      <c r="D40" s="27" t="str">
        <f>'Activity List'!D40</f>
        <v>Drying Bed Site Cleaning</v>
      </c>
      <c r="E40" s="27" t="str">
        <f>'Activity List'!B40</f>
        <v>Tier 1 — Core Services</v>
      </c>
      <c r="F40" s="27" t="str">
        <f>'Activity List'!E40</f>
        <v>bed</v>
      </c>
      <c r="G40" s="42">
        <f>'Annual Election'!I43</f>
        <v>0</v>
      </c>
      <c r="H40" s="37"/>
      <c r="I40" s="34">
        <f>IFERROR(INDEX('Labor Rate Card'!$G$2:$G$135,MATCH(C40,'Labor Rate Card'!$A$2:$A$135,0)),0)</f>
        <v>0</v>
      </c>
      <c r="J40" s="33">
        <f t="shared" si="3"/>
        <v>0</v>
      </c>
      <c r="K40" s="41" t="str">
        <f>'Annual Election'!E43</f>
        <v/>
      </c>
      <c r="L40" s="41" t="str">
        <f>'Annual Election'!H43</f>
        <v/>
      </c>
      <c r="M40" s="45" t="str">
        <f t="shared" si="4"/>
        <v/>
      </c>
      <c r="N40" s="33">
        <f t="shared" si="5"/>
        <v>0</v>
      </c>
    </row>
    <row r="41" spans="1:14" x14ac:dyDescent="0.45">
      <c r="A41" s="27">
        <f>Master!A$6</f>
        <v>0</v>
      </c>
      <c r="B41" s="27">
        <f>Master!B$6</f>
        <v>0</v>
      </c>
      <c r="C41" s="27" t="str">
        <f>'Activity List'!A41</f>
        <v>T1-040</v>
      </c>
      <c r="D41" s="27" t="str">
        <f>'Activity List'!D41</f>
        <v>Drying Bed Construction</v>
      </c>
      <c r="E41" s="27" t="str">
        <f>'Activity List'!B41</f>
        <v>Tier 1 — Core Services</v>
      </c>
      <c r="F41" s="27" t="str">
        <f>'Activity List'!E41</f>
        <v>bed</v>
      </c>
      <c r="G41" s="42">
        <f>'Annual Election'!I44</f>
        <v>0</v>
      </c>
      <c r="H41" s="37"/>
      <c r="I41" s="34">
        <f>IFERROR(INDEX('Labor Rate Card'!$G$2:$G$135,MATCH(C41,'Labor Rate Card'!$A$2:$A$135,0)),0)</f>
        <v>0</v>
      </c>
      <c r="J41" s="33">
        <f t="shared" si="3"/>
        <v>0</v>
      </c>
      <c r="K41" s="41" t="str">
        <f>'Annual Election'!E44</f>
        <v/>
      </c>
      <c r="L41" s="41" t="str">
        <f>'Annual Election'!H44</f>
        <v/>
      </c>
      <c r="M41" s="45" t="str">
        <f t="shared" si="4"/>
        <v/>
      </c>
      <c r="N41" s="33">
        <f t="shared" si="5"/>
        <v>0</v>
      </c>
    </row>
    <row r="42" spans="1:14" x14ac:dyDescent="0.45">
      <c r="A42" s="27">
        <f>Master!A$6</f>
        <v>0</v>
      </c>
      <c r="B42" s="27">
        <f>Master!B$6</f>
        <v>0</v>
      </c>
      <c r="C42" s="27" t="str">
        <f>'Activity List'!A42</f>
        <v>T1-041</v>
      </c>
      <c r="D42" s="27" t="str">
        <f>'Activity List'!D42</f>
        <v>Selective Picking, Red Cherry</v>
      </c>
      <c r="E42" s="27" t="str">
        <f>'Activity List'!B42</f>
        <v>Tier 1 — Core Services</v>
      </c>
      <c r="F42" s="27" t="str">
        <f>'Activity List'!E42</f>
        <v>kg</v>
      </c>
      <c r="G42" s="42">
        <f>'Annual Election'!I45</f>
        <v>0</v>
      </c>
      <c r="H42" s="37"/>
      <c r="I42" s="34">
        <f>IFERROR(INDEX('Labor Rate Card'!$G$2:$G$135,MATCH(C42,'Labor Rate Card'!$A$2:$A$135,0)),0)</f>
        <v>0</v>
      </c>
      <c r="J42" s="33">
        <f t="shared" si="3"/>
        <v>0</v>
      </c>
      <c r="K42" s="41" t="str">
        <f>'Annual Election'!E45</f>
        <v/>
      </c>
      <c r="L42" s="41" t="str">
        <f>'Annual Election'!H45</f>
        <v/>
      </c>
      <c r="M42" s="45" t="str">
        <f t="shared" si="4"/>
        <v/>
      </c>
      <c r="N42" s="33">
        <f t="shared" si="5"/>
        <v>0</v>
      </c>
    </row>
    <row r="43" spans="1:14" x14ac:dyDescent="0.45">
      <c r="A43" s="27">
        <f>Master!A$6</f>
        <v>0</v>
      </c>
      <c r="B43" s="27">
        <f>Master!B$6</f>
        <v>0</v>
      </c>
      <c r="C43" s="27" t="str">
        <f>'Activity List'!A43</f>
        <v>T1-042</v>
      </c>
      <c r="D43" s="27" t="str">
        <f>'Activity List'!D43</f>
        <v>Cherry Drying on Bed</v>
      </c>
      <c r="E43" s="27" t="str">
        <f>'Activity List'!B43</f>
        <v>Tier 1 — Core Services</v>
      </c>
      <c r="F43" s="27" t="str">
        <f>'Activity List'!E43</f>
        <v>bed</v>
      </c>
      <c r="G43" s="42">
        <f>'Annual Election'!I46</f>
        <v>0</v>
      </c>
      <c r="H43" s="37"/>
      <c r="I43" s="34">
        <f>IFERROR(INDEX('Labor Rate Card'!$G$2:$G$135,MATCH(C43,'Labor Rate Card'!$A$2:$A$135,0)),0)</f>
        <v>0</v>
      </c>
      <c r="J43" s="33">
        <f t="shared" si="3"/>
        <v>0</v>
      </c>
      <c r="K43" s="41" t="str">
        <f>'Annual Election'!E46</f>
        <v/>
      </c>
      <c r="L43" s="41" t="str">
        <f>'Annual Election'!H46</f>
        <v/>
      </c>
      <c r="M43" s="45" t="str">
        <f t="shared" si="4"/>
        <v/>
      </c>
      <c r="N43" s="33">
        <f t="shared" si="5"/>
        <v>0</v>
      </c>
    </row>
    <row r="44" spans="1:14" x14ac:dyDescent="0.45">
      <c r="A44" s="27">
        <f>Master!A$6</f>
        <v>0</v>
      </c>
      <c r="B44" s="27">
        <f>Master!B$6</f>
        <v>0</v>
      </c>
      <c r="C44" s="27" t="str">
        <f>'Activity List'!A44</f>
        <v>T1-043</v>
      </c>
      <c r="D44" s="27" t="str">
        <f>'Activity List'!D44</f>
        <v>Drying Bed Maintenance</v>
      </c>
      <c r="E44" s="27" t="str">
        <f>'Activity List'!B44</f>
        <v>Tier 1 — Core Services</v>
      </c>
      <c r="F44" s="27" t="str">
        <f>'Activity List'!E44</f>
        <v>bed</v>
      </c>
      <c r="G44" s="42">
        <f>'Annual Election'!I47</f>
        <v>0</v>
      </c>
      <c r="H44" s="37"/>
      <c r="I44" s="34">
        <f>IFERROR(INDEX('Labor Rate Card'!$G$2:$G$135,MATCH(C44,'Labor Rate Card'!$A$2:$A$135,0)),0)</f>
        <v>0</v>
      </c>
      <c r="J44" s="33">
        <f t="shared" si="3"/>
        <v>0</v>
      </c>
      <c r="K44" s="41" t="str">
        <f>'Annual Election'!E47</f>
        <v/>
      </c>
      <c r="L44" s="41" t="str">
        <f>'Annual Election'!H47</f>
        <v/>
      </c>
      <c r="M44" s="45" t="str">
        <f t="shared" si="4"/>
        <v/>
      </c>
      <c r="N44" s="33">
        <f t="shared" si="5"/>
        <v>0</v>
      </c>
    </row>
    <row r="45" spans="1:14" x14ac:dyDescent="0.45">
      <c r="A45" s="27">
        <f>Master!A$6</f>
        <v>0</v>
      </c>
      <c r="B45" s="27">
        <f>Master!B$6</f>
        <v>0</v>
      </c>
      <c r="C45" s="27" t="str">
        <f>'Activity List'!A45</f>
        <v>T1-044</v>
      </c>
      <c r="D45" s="27" t="str">
        <f>'Activity List'!D45</f>
        <v>Weighing and Arranging Dry Coffee</v>
      </c>
      <c r="E45" s="27" t="str">
        <f>'Activity List'!B45</f>
        <v>Tier 1 — Core Services</v>
      </c>
      <c r="F45" s="27" t="str">
        <f>'Activity List'!E45</f>
        <v>jute bag</v>
      </c>
      <c r="G45" s="42">
        <f>'Annual Election'!I48</f>
        <v>0</v>
      </c>
      <c r="H45" s="37"/>
      <c r="I45" s="34">
        <f>IFERROR(INDEX('Labor Rate Card'!$G$2:$G$135,MATCH(C45,'Labor Rate Card'!$A$2:$A$135,0)),0)</f>
        <v>0</v>
      </c>
      <c r="J45" s="33">
        <f t="shared" si="3"/>
        <v>0</v>
      </c>
      <c r="K45" s="41" t="str">
        <f>'Annual Election'!E48</f>
        <v/>
      </c>
      <c r="L45" s="41" t="str">
        <f>'Annual Election'!H48</f>
        <v/>
      </c>
      <c r="M45" s="45" t="str">
        <f t="shared" si="4"/>
        <v/>
      </c>
      <c r="N45" s="33">
        <f t="shared" si="5"/>
        <v>0</v>
      </c>
    </row>
    <row r="46" spans="1:14" x14ac:dyDescent="0.45">
      <c r="A46" s="27">
        <f>Master!A$6</f>
        <v>0</v>
      </c>
      <c r="B46" s="27">
        <f>Master!B$6</f>
        <v>0</v>
      </c>
      <c r="C46" s="27" t="str">
        <f>'Activity List'!A46</f>
        <v>T1-045</v>
      </c>
      <c r="D46" s="27" t="str">
        <f>'Activity List'!D46</f>
        <v>Loading Dry Coffee, Farm 1 to 2</v>
      </c>
      <c r="E46" s="27" t="str">
        <f>'Activity List'!B46</f>
        <v>Tier 1 — Core Services</v>
      </c>
      <c r="F46" s="27" t="str">
        <f>'Activity List'!E46</f>
        <v>jute bag</v>
      </c>
      <c r="G46" s="42">
        <f>'Annual Election'!I49</f>
        <v>0</v>
      </c>
      <c r="H46" s="37"/>
      <c r="I46" s="34">
        <f>IFERROR(INDEX('Labor Rate Card'!$G$2:$G$135,MATCH(C46,'Labor Rate Card'!$A$2:$A$135,0)),0)</f>
        <v>0</v>
      </c>
      <c r="J46" s="33">
        <f t="shared" si="3"/>
        <v>0</v>
      </c>
      <c r="K46" s="41" t="str">
        <f>'Annual Election'!E49</f>
        <v/>
      </c>
      <c r="L46" s="41" t="str">
        <f>'Annual Election'!H49</f>
        <v/>
      </c>
      <c r="M46" s="45" t="str">
        <f t="shared" si="4"/>
        <v/>
      </c>
      <c r="N46" s="33">
        <f t="shared" si="5"/>
        <v>0</v>
      </c>
    </row>
    <row r="47" spans="1:14" x14ac:dyDescent="0.45">
      <c r="A47" s="27">
        <f>Master!A$6</f>
        <v>0</v>
      </c>
      <c r="B47" s="27">
        <f>Master!B$6</f>
        <v>0</v>
      </c>
      <c r="C47" s="27" t="str">
        <f>'Activity List'!A47</f>
        <v>T1-046</v>
      </c>
      <c r="D47" s="27" t="str">
        <f>'Activity List'!D47</f>
        <v>Loading Dry Coffee, Farm to Hulling</v>
      </c>
      <c r="E47" s="27" t="str">
        <f>'Activity List'!B47</f>
        <v>Tier 1 — Core Services</v>
      </c>
      <c r="F47" s="27" t="str">
        <f>'Activity List'!E47</f>
        <v>jute bag</v>
      </c>
      <c r="G47" s="42">
        <f>'Annual Election'!I50</f>
        <v>0</v>
      </c>
      <c r="H47" s="37"/>
      <c r="I47" s="34">
        <f>IFERROR(INDEX('Labor Rate Card'!$G$2:$G$135,MATCH(C47,'Labor Rate Card'!$A$2:$A$135,0)),0)</f>
        <v>0</v>
      </c>
      <c r="J47" s="33">
        <f t="shared" si="3"/>
        <v>0</v>
      </c>
      <c r="K47" s="41" t="str">
        <f>'Annual Election'!E50</f>
        <v/>
      </c>
      <c r="L47" s="41" t="str">
        <f>'Annual Election'!H50</f>
        <v/>
      </c>
      <c r="M47" s="45" t="str">
        <f t="shared" si="4"/>
        <v/>
      </c>
      <c r="N47" s="33">
        <f t="shared" si="5"/>
        <v>0</v>
      </c>
    </row>
    <row r="48" spans="1:14" x14ac:dyDescent="0.45">
      <c r="A48" s="27">
        <f>Master!A$6</f>
        <v>0</v>
      </c>
      <c r="B48" s="27">
        <f>Master!B$6</f>
        <v>0</v>
      </c>
      <c r="C48" s="27" t="str">
        <f>'Activity List'!A48</f>
        <v>T1-047</v>
      </c>
      <c r="D48" s="27" t="str">
        <f>'Activity List'!D48</f>
        <v>Transport Vehicle Rental</v>
      </c>
      <c r="E48" s="27" t="str">
        <f>'Activity List'!B48</f>
        <v>Tier 1 — Core Services</v>
      </c>
      <c r="F48" s="27" t="str">
        <f>'Activity List'!E48</f>
        <v>jute bag</v>
      </c>
      <c r="G48" s="42">
        <f>'Annual Election'!I51</f>
        <v>0</v>
      </c>
      <c r="H48" s="37"/>
      <c r="I48" s="34">
        <f>IFERROR(INDEX('Labor Rate Card'!$G$2:$G$135,MATCH(C48,'Labor Rate Card'!$A$2:$A$135,0)),0)</f>
        <v>0</v>
      </c>
      <c r="J48" s="33">
        <f t="shared" si="3"/>
        <v>0</v>
      </c>
      <c r="K48" s="41" t="str">
        <f>'Annual Election'!E51</f>
        <v/>
      </c>
      <c r="L48" s="41" t="str">
        <f>'Annual Election'!H51</f>
        <v/>
      </c>
      <c r="M48" s="45" t="str">
        <f t="shared" si="4"/>
        <v/>
      </c>
      <c r="N48" s="33">
        <f t="shared" si="5"/>
        <v>0</v>
      </c>
    </row>
    <row r="49" spans="1:14" x14ac:dyDescent="0.45">
      <c r="A49" s="27">
        <f>Master!A$6</f>
        <v>0</v>
      </c>
      <c r="B49" s="27">
        <f>Master!B$6</f>
        <v>0</v>
      </c>
      <c r="C49" s="27" t="str">
        <f>'Activity List'!A49</f>
        <v>T1-048</v>
      </c>
      <c r="D49" s="27" t="str">
        <f>'Activity List'!D49</f>
        <v>Unloading Dry Coffee at Hulling</v>
      </c>
      <c r="E49" s="27" t="str">
        <f>'Activity List'!B49</f>
        <v>Tier 1 — Core Services</v>
      </c>
      <c r="F49" s="27" t="str">
        <f>'Activity List'!E49</f>
        <v>jute bag</v>
      </c>
      <c r="G49" s="42">
        <f>'Annual Election'!I52</f>
        <v>0</v>
      </c>
      <c r="H49" s="37"/>
      <c r="I49" s="34">
        <f>IFERROR(INDEX('Labor Rate Card'!$G$2:$G$135,MATCH(C49,'Labor Rate Card'!$A$2:$A$135,0)),0)</f>
        <v>0</v>
      </c>
      <c r="J49" s="33">
        <f t="shared" si="3"/>
        <v>0</v>
      </c>
      <c r="K49" s="41" t="str">
        <f>'Annual Election'!E52</f>
        <v/>
      </c>
      <c r="L49" s="41" t="str">
        <f>'Annual Election'!H52</f>
        <v/>
      </c>
      <c r="M49" s="45" t="str">
        <f t="shared" si="4"/>
        <v/>
      </c>
      <c r="N49" s="33">
        <f t="shared" si="5"/>
        <v>0</v>
      </c>
    </row>
    <row r="50" spans="1:14" x14ac:dyDescent="0.45">
      <c r="A50" s="27">
        <f>Master!A$6</f>
        <v>0</v>
      </c>
      <c r="B50" s="27">
        <f>Master!B$6</f>
        <v>0</v>
      </c>
      <c r="C50" s="27" t="str">
        <f>'Activity List'!A50</f>
        <v>T1-049</v>
      </c>
      <c r="D50" s="27" t="str">
        <f>'Activity List'!D50</f>
        <v>Hulling of Dry Coffee (incl. VAT)</v>
      </c>
      <c r="E50" s="27" t="str">
        <f>'Activity List'!B50</f>
        <v>Tier 1 — Core Services</v>
      </c>
      <c r="F50" s="27" t="str">
        <f>'Activity List'!E50</f>
        <v>jute bag</v>
      </c>
      <c r="G50" s="42">
        <f>'Annual Election'!I53</f>
        <v>0</v>
      </c>
      <c r="H50" s="37"/>
      <c r="I50" s="34">
        <f>IFERROR(INDEX('Labor Rate Card'!$G$2:$G$135,MATCH(C50,'Labor Rate Card'!$A$2:$A$135,0)),0)</f>
        <v>0</v>
      </c>
      <c r="J50" s="33">
        <f t="shared" si="3"/>
        <v>0</v>
      </c>
      <c r="K50" s="41" t="str">
        <f>'Annual Election'!E53</f>
        <v/>
      </c>
      <c r="L50" s="41" t="str">
        <f>'Annual Election'!H53</f>
        <v/>
      </c>
      <c r="M50" s="45" t="str">
        <f t="shared" si="4"/>
        <v/>
      </c>
      <c r="N50" s="33">
        <f t="shared" si="5"/>
        <v>0</v>
      </c>
    </row>
    <row r="51" spans="1:14" x14ac:dyDescent="0.45">
      <c r="A51" s="27">
        <f>Master!A$6</f>
        <v>0</v>
      </c>
      <c r="B51" s="27">
        <f>Master!B$6</f>
        <v>0</v>
      </c>
      <c r="C51" s="27" t="str">
        <f>'Activity List'!A51</f>
        <v>T1-050</v>
      </c>
      <c r="D51" s="27" t="str">
        <f>'Activity List'!D51</f>
        <v>Unloading at Warehouse</v>
      </c>
      <c r="E51" s="27" t="str">
        <f>'Activity List'!B51</f>
        <v>Tier 1 — Core Services</v>
      </c>
      <c r="F51" s="27" t="str">
        <f>'Activity List'!E51</f>
        <v>quintal</v>
      </c>
      <c r="G51" s="42">
        <f>'Annual Election'!I54</f>
        <v>0</v>
      </c>
      <c r="H51" s="37"/>
      <c r="I51" s="34">
        <f>IFERROR(INDEX('Labor Rate Card'!$G$2:$G$135,MATCH(C51,'Labor Rate Card'!$A$2:$A$135,0)),0)</f>
        <v>0</v>
      </c>
      <c r="J51" s="33">
        <f t="shared" si="3"/>
        <v>0</v>
      </c>
      <c r="K51" s="41" t="str">
        <f>'Annual Election'!E54</f>
        <v/>
      </c>
      <c r="L51" s="41" t="str">
        <f>'Annual Election'!H54</f>
        <v/>
      </c>
      <c r="M51" s="45" t="str">
        <f t="shared" si="4"/>
        <v/>
      </c>
      <c r="N51" s="33">
        <f t="shared" si="5"/>
        <v>0</v>
      </c>
    </row>
    <row r="52" spans="1:14" x14ac:dyDescent="0.45">
      <c r="A52" s="27">
        <f>Master!A$6</f>
        <v>0</v>
      </c>
      <c r="B52" s="27">
        <f>Master!B$6</f>
        <v>0</v>
      </c>
      <c r="C52" s="27" t="str">
        <f>'Activity List'!A52</f>
        <v>T1-051</v>
      </c>
      <c r="D52" s="27" t="str">
        <f>'Activity List'!D52</f>
        <v>Transport Clean Coffee to Addis Ababa</v>
      </c>
      <c r="E52" s="27" t="str">
        <f>'Activity List'!B52</f>
        <v>Tier 1 — Core Services</v>
      </c>
      <c r="F52" s="27" t="str">
        <f>'Activity List'!E52</f>
        <v>quintal</v>
      </c>
      <c r="G52" s="42">
        <f>'Annual Election'!I55</f>
        <v>0</v>
      </c>
      <c r="H52" s="37"/>
      <c r="I52" s="34">
        <f>IFERROR(INDEX('Labor Rate Card'!$G$2:$G$135,MATCH(C52,'Labor Rate Card'!$A$2:$A$135,0)),0)</f>
        <v>0</v>
      </c>
      <c r="J52" s="33">
        <f t="shared" si="3"/>
        <v>0</v>
      </c>
      <c r="K52" s="41" t="str">
        <f>'Annual Election'!E55</f>
        <v/>
      </c>
      <c r="L52" s="41" t="str">
        <f>'Annual Election'!H55</f>
        <v/>
      </c>
      <c r="M52" s="45" t="str">
        <f t="shared" si="4"/>
        <v/>
      </c>
      <c r="N52" s="33">
        <f t="shared" si="5"/>
        <v>0</v>
      </c>
    </row>
    <row r="53" spans="1:14" x14ac:dyDescent="0.45">
      <c r="A53" s="27">
        <f>Master!A$6</f>
        <v>0</v>
      </c>
      <c r="B53" s="27">
        <f>Master!B$6</f>
        <v>0</v>
      </c>
      <c r="C53" s="27" t="str">
        <f>'Activity List'!A53</f>
        <v>T1-052</v>
      </c>
      <c r="D53" s="27" t="str">
        <f>'Activity List'!D53</f>
        <v>Drying Bed Removal</v>
      </c>
      <c r="E53" s="27" t="str">
        <f>'Activity List'!B53</f>
        <v>Tier 1 — Core Services</v>
      </c>
      <c r="F53" s="27" t="str">
        <f>'Activity List'!E53</f>
        <v>bed</v>
      </c>
      <c r="G53" s="42">
        <f>'Annual Election'!I56</f>
        <v>0</v>
      </c>
      <c r="H53" s="37"/>
      <c r="I53" s="34">
        <f>IFERROR(INDEX('Labor Rate Card'!$G$2:$G$135,MATCH(C53,'Labor Rate Card'!$A$2:$A$135,0)),0)</f>
        <v>0</v>
      </c>
      <c r="J53" s="33">
        <f t="shared" si="3"/>
        <v>0</v>
      </c>
      <c r="K53" s="41" t="str">
        <f>'Annual Election'!E56</f>
        <v/>
      </c>
      <c r="L53" s="41" t="str">
        <f>'Annual Election'!H56</f>
        <v/>
      </c>
      <c r="M53" s="45" t="str">
        <f t="shared" si="4"/>
        <v/>
      </c>
      <c r="N53" s="33">
        <f t="shared" si="5"/>
        <v>0</v>
      </c>
    </row>
    <row r="54" spans="1:14" x14ac:dyDescent="0.45">
      <c r="A54" s="27">
        <f>Master!A$6</f>
        <v>0</v>
      </c>
      <c r="B54" s="27">
        <f>Master!B$6</f>
        <v>0</v>
      </c>
      <c r="C54" s="27" t="str">
        <f>'Activity List'!A54</f>
        <v>T2-001</v>
      </c>
      <c r="D54" s="27" t="str">
        <f>'Activity List'!D54</f>
        <v>Harvest Planning</v>
      </c>
      <c r="E54" s="27" t="str">
        <f>'Activity List'!B54</f>
        <v>Tier 2 — Projects</v>
      </c>
      <c r="F54" s="27" t="str">
        <f>'Activity List'!E54</f>
        <v>farm</v>
      </c>
      <c r="G54" s="42" t="str">
        <f>'Annual Election'!I57</f>
        <v>N</v>
      </c>
      <c r="H54" s="37"/>
      <c r="I54" s="34">
        <f>IFERROR(INDEX('Labor Rate Card'!$G$2:$G$135,MATCH(C54,'Labor Rate Card'!$A$2:$A$135,0)),0)</f>
        <v>0</v>
      </c>
      <c r="J54" s="33">
        <f t="shared" si="3"/>
        <v>0</v>
      </c>
      <c r="K54" s="41" t="str">
        <f>'Annual Election'!E57</f>
        <v/>
      </c>
      <c r="L54" s="41" t="str">
        <f>'Annual Election'!H57</f>
        <v/>
      </c>
      <c r="M54" s="45" t="str">
        <f t="shared" si="4"/>
        <v/>
      </c>
      <c r="N54" s="33">
        <f t="shared" si="5"/>
        <v>0</v>
      </c>
    </row>
    <row r="55" spans="1:14" x14ac:dyDescent="0.45">
      <c r="A55" s="27">
        <f>Master!A$6</f>
        <v>0</v>
      </c>
      <c r="B55" s="27">
        <f>Master!B$6</f>
        <v>0</v>
      </c>
      <c r="C55" s="27" t="str">
        <f>'Activity List'!A55</f>
        <v>T2-002</v>
      </c>
      <c r="D55" s="27" t="str">
        <f>'Activity List'!D55</f>
        <v>Labour Mobilisation</v>
      </c>
      <c r="E55" s="27" t="str">
        <f>'Activity List'!B55</f>
        <v>Tier 2 — Projects</v>
      </c>
      <c r="F55" s="27" t="str">
        <f>'Activity List'!E55</f>
        <v>farm</v>
      </c>
      <c r="G55" s="42" t="str">
        <f>'Annual Election'!I58</f>
        <v>N</v>
      </c>
      <c r="H55" s="37"/>
      <c r="I55" s="34">
        <f>IFERROR(INDEX('Labor Rate Card'!$G$2:$G$135,MATCH(C55,'Labor Rate Card'!$A$2:$A$135,0)),0)</f>
        <v>0</v>
      </c>
      <c r="J55" s="33">
        <f t="shared" si="3"/>
        <v>0</v>
      </c>
      <c r="K55" s="41" t="str">
        <f>'Annual Election'!E58</f>
        <v/>
      </c>
      <c r="L55" s="41" t="str">
        <f>'Annual Election'!H58</f>
        <v/>
      </c>
      <c r="M55" s="45" t="str">
        <f t="shared" si="4"/>
        <v/>
      </c>
      <c r="N55" s="33">
        <f t="shared" si="5"/>
        <v>0</v>
      </c>
    </row>
    <row r="56" spans="1:14" x14ac:dyDescent="0.45">
      <c r="A56" s="27">
        <f>Master!A$6</f>
        <v>0</v>
      </c>
      <c r="B56" s="27">
        <f>Master!B$6</f>
        <v>0</v>
      </c>
      <c r="C56" s="27" t="str">
        <f>'Activity List'!A56</f>
        <v>T2-003</v>
      </c>
      <c r="D56" s="27" t="str">
        <f>'Activity List'!D56</f>
        <v>Harvest Supervision</v>
      </c>
      <c r="E56" s="27" t="str">
        <f>'Activity List'!B56</f>
        <v>Tier 2 — Projects</v>
      </c>
      <c r="F56" s="27" t="str">
        <f>'Activity List'!E56</f>
        <v>ha</v>
      </c>
      <c r="G56" s="42" t="str">
        <f>'Annual Election'!I59</f>
        <v>N</v>
      </c>
      <c r="H56" s="37"/>
      <c r="I56" s="34">
        <f>IFERROR(INDEX('Labor Rate Card'!$G$2:$G$135,MATCH(C56,'Labor Rate Card'!$A$2:$A$135,0)),0)</f>
        <v>0</v>
      </c>
      <c r="J56" s="33">
        <f t="shared" si="3"/>
        <v>0</v>
      </c>
      <c r="K56" s="41" t="str">
        <f>'Annual Election'!E59</f>
        <v/>
      </c>
      <c r="L56" s="41" t="str">
        <f>'Annual Election'!H59</f>
        <v/>
      </c>
      <c r="M56" s="45" t="str">
        <f t="shared" si="4"/>
        <v/>
      </c>
      <c r="N56" s="33">
        <f t="shared" si="5"/>
        <v>0</v>
      </c>
    </row>
    <row r="57" spans="1:14" x14ac:dyDescent="0.45">
      <c r="A57" s="27">
        <f>Master!A$6</f>
        <v>0</v>
      </c>
      <c r="B57" s="27">
        <f>Master!B$6</f>
        <v>0</v>
      </c>
      <c r="C57" s="27" t="str">
        <f>'Activity List'!A57</f>
        <v>T2-004</v>
      </c>
      <c r="D57" s="27" t="str">
        <f>'Activity List'!D57</f>
        <v>Daily Production Monitoring</v>
      </c>
      <c r="E57" s="27" t="str">
        <f>'Activity List'!B57</f>
        <v>Tier 2 — Projects</v>
      </c>
      <c r="F57" s="27" t="str">
        <f>'Activity List'!E57</f>
        <v>farm</v>
      </c>
      <c r="G57" s="42" t="str">
        <f>'Annual Election'!I60</f>
        <v>N</v>
      </c>
      <c r="H57" s="37"/>
      <c r="I57" s="34">
        <f>IFERROR(INDEX('Labor Rate Card'!$G$2:$G$135,MATCH(C57,'Labor Rate Card'!$A$2:$A$135,0)),0)</f>
        <v>0</v>
      </c>
      <c r="J57" s="33">
        <f t="shared" si="3"/>
        <v>0</v>
      </c>
      <c r="K57" s="41" t="str">
        <f>'Annual Election'!E60</f>
        <v/>
      </c>
      <c r="L57" s="41" t="str">
        <f>'Annual Election'!H60</f>
        <v/>
      </c>
      <c r="M57" s="45" t="str">
        <f t="shared" si="4"/>
        <v/>
      </c>
      <c r="N57" s="33">
        <f t="shared" si="5"/>
        <v>0</v>
      </c>
    </row>
    <row r="58" spans="1:14" x14ac:dyDescent="0.45">
      <c r="A58" s="27">
        <f>Master!A$6</f>
        <v>0</v>
      </c>
      <c r="B58" s="27">
        <f>Master!B$6</f>
        <v>0</v>
      </c>
      <c r="C58" s="27" t="str">
        <f>'Activity List'!A58</f>
        <v>T2-005</v>
      </c>
      <c r="D58" s="27" t="str">
        <f>'Activity List'!D58</f>
        <v>Quality Monitoring (Harvest)</v>
      </c>
      <c r="E58" s="27" t="str">
        <f>'Activity List'!B58</f>
        <v>Tier 2 — Projects</v>
      </c>
      <c r="F58" s="27" t="str">
        <f>'Activity List'!E58</f>
        <v>farm</v>
      </c>
      <c r="G58" s="42" t="str">
        <f>'Annual Election'!I61</f>
        <v>N</v>
      </c>
      <c r="H58" s="37"/>
      <c r="I58" s="34">
        <f>IFERROR(INDEX('Labor Rate Card'!$G$2:$G$135,MATCH(C58,'Labor Rate Card'!$A$2:$A$135,0)),0)</f>
        <v>0</v>
      </c>
      <c r="J58" s="33">
        <f t="shared" si="3"/>
        <v>0</v>
      </c>
      <c r="K58" s="41" t="str">
        <f>'Annual Election'!E61</f>
        <v/>
      </c>
      <c r="L58" s="41" t="str">
        <f>'Annual Election'!H61</f>
        <v/>
      </c>
      <c r="M58" s="45" t="str">
        <f t="shared" si="4"/>
        <v/>
      </c>
      <c r="N58" s="33">
        <f t="shared" si="5"/>
        <v>0</v>
      </c>
    </row>
    <row r="59" spans="1:14" x14ac:dyDescent="0.45">
      <c r="A59" s="27">
        <f>Master!A$6</f>
        <v>0</v>
      </c>
      <c r="B59" s="27">
        <f>Master!B$6</f>
        <v>0</v>
      </c>
      <c r="C59" s="27" t="str">
        <f>'Activity List'!A59</f>
        <v>T2-006</v>
      </c>
      <c r="D59" s="27" t="str">
        <f>'Activity List'!D59</f>
        <v>Cherry Movement Coordination</v>
      </c>
      <c r="E59" s="27" t="str">
        <f>'Activity List'!B59</f>
        <v>Tier 2 — Projects</v>
      </c>
      <c r="F59" s="27" t="str">
        <f>'Activity List'!E59</f>
        <v>farm</v>
      </c>
      <c r="G59" s="42" t="str">
        <f>'Annual Election'!I62</f>
        <v>N</v>
      </c>
      <c r="H59" s="37"/>
      <c r="I59" s="34">
        <f>IFERROR(INDEX('Labor Rate Card'!$G$2:$G$135,MATCH(C59,'Labor Rate Card'!$A$2:$A$135,0)),0)</f>
        <v>0</v>
      </c>
      <c r="J59" s="33">
        <f t="shared" si="3"/>
        <v>0</v>
      </c>
      <c r="K59" s="41" t="str">
        <f>'Annual Election'!E62</f>
        <v/>
      </c>
      <c r="L59" s="41" t="str">
        <f>'Annual Election'!H62</f>
        <v/>
      </c>
      <c r="M59" s="45" t="str">
        <f t="shared" si="4"/>
        <v/>
      </c>
      <c r="N59" s="33">
        <f t="shared" si="5"/>
        <v>0</v>
      </c>
    </row>
    <row r="60" spans="1:14" x14ac:dyDescent="0.45">
      <c r="A60" s="27">
        <f>Master!A$6</f>
        <v>0</v>
      </c>
      <c r="B60" s="27">
        <f>Master!B$6</f>
        <v>0</v>
      </c>
      <c r="C60" s="27" t="str">
        <f>'Activity List'!A60</f>
        <v>T2-007</v>
      </c>
      <c r="D60" s="27" t="str">
        <f>'Activity List'!D60</f>
        <v>Daily Harvest Reporting</v>
      </c>
      <c r="E60" s="27" t="str">
        <f>'Activity List'!B60</f>
        <v>Tier 2 — Projects</v>
      </c>
      <c r="F60" s="27" t="str">
        <f>'Activity List'!E60</f>
        <v>farm</v>
      </c>
      <c r="G60" s="42" t="str">
        <f>'Annual Election'!I63</f>
        <v>N</v>
      </c>
      <c r="H60" s="37"/>
      <c r="I60" s="34">
        <f>IFERROR(INDEX('Labor Rate Card'!$G$2:$G$135,MATCH(C60,'Labor Rate Card'!$A$2:$A$135,0)),0)</f>
        <v>0</v>
      </c>
      <c r="J60" s="33">
        <f t="shared" si="3"/>
        <v>0</v>
      </c>
      <c r="K60" s="41" t="str">
        <f>'Annual Election'!E63</f>
        <v/>
      </c>
      <c r="L60" s="41" t="str">
        <f>'Annual Election'!H63</f>
        <v/>
      </c>
      <c r="M60" s="45" t="str">
        <f t="shared" si="4"/>
        <v/>
      </c>
      <c r="N60" s="33">
        <f t="shared" si="5"/>
        <v>0</v>
      </c>
    </row>
    <row r="61" spans="1:14" x14ac:dyDescent="0.45">
      <c r="A61" s="27">
        <f>Master!A$6</f>
        <v>0</v>
      </c>
      <c r="B61" s="27">
        <f>Master!B$6</f>
        <v>0</v>
      </c>
      <c r="C61" s="27" t="str">
        <f>'Activity List'!A61</f>
        <v>T2-008</v>
      </c>
      <c r="D61" s="27" t="str">
        <f>'Activity List'!D61</f>
        <v>Yield Reconciliation</v>
      </c>
      <c r="E61" s="27" t="str">
        <f>'Activity List'!B61</f>
        <v>Tier 2 — Projects</v>
      </c>
      <c r="F61" s="27" t="str">
        <f>'Activity List'!E61</f>
        <v>farm</v>
      </c>
      <c r="G61" s="42" t="str">
        <f>'Annual Election'!I64</f>
        <v>N</v>
      </c>
      <c r="H61" s="37"/>
      <c r="I61" s="34">
        <f>IFERROR(INDEX('Labor Rate Card'!$G$2:$G$135,MATCH(C61,'Labor Rate Card'!$A$2:$A$135,0)),0)</f>
        <v>0</v>
      </c>
      <c r="J61" s="33">
        <f t="shared" si="3"/>
        <v>0</v>
      </c>
      <c r="K61" s="41" t="str">
        <f>'Annual Election'!E64</f>
        <v/>
      </c>
      <c r="L61" s="41" t="str">
        <f>'Annual Election'!H64</f>
        <v/>
      </c>
      <c r="M61" s="45" t="str">
        <f t="shared" si="4"/>
        <v/>
      </c>
      <c r="N61" s="33">
        <f t="shared" si="5"/>
        <v>0</v>
      </c>
    </row>
    <row r="62" spans="1:14" x14ac:dyDescent="0.45">
      <c r="A62" s="27">
        <f>Master!A$6</f>
        <v>0</v>
      </c>
      <c r="B62" s="27">
        <f>Master!B$6</f>
        <v>0</v>
      </c>
      <c r="C62" s="27" t="str">
        <f>'Activity List'!A62</f>
        <v>T2-009</v>
      </c>
      <c r="D62" s="27" t="str">
        <f>'Activity List'!D62</f>
        <v>Harvest Close-Out</v>
      </c>
      <c r="E62" s="27" t="str">
        <f>'Activity List'!B62</f>
        <v>Tier 2 — Projects</v>
      </c>
      <c r="F62" s="27" t="str">
        <f>'Activity List'!E62</f>
        <v>farm</v>
      </c>
      <c r="G62" s="42" t="str">
        <f>'Annual Election'!I65</f>
        <v>N</v>
      </c>
      <c r="H62" s="37"/>
      <c r="I62" s="34">
        <f>IFERROR(INDEX('Labor Rate Card'!$G$2:$G$135,MATCH(C62,'Labor Rate Card'!$A$2:$A$135,0)),0)</f>
        <v>0</v>
      </c>
      <c r="J62" s="33">
        <f t="shared" si="3"/>
        <v>0</v>
      </c>
      <c r="K62" s="41" t="str">
        <f>'Annual Election'!E65</f>
        <v/>
      </c>
      <c r="L62" s="41" t="str">
        <f>'Annual Election'!H65</f>
        <v/>
      </c>
      <c r="M62" s="45" t="str">
        <f t="shared" si="4"/>
        <v/>
      </c>
      <c r="N62" s="33">
        <f t="shared" si="5"/>
        <v>0</v>
      </c>
    </row>
    <row r="63" spans="1:14" x14ac:dyDescent="0.45">
      <c r="A63" s="27">
        <f>Master!A$6</f>
        <v>0</v>
      </c>
      <c r="B63" s="27">
        <f>Master!B$6</f>
        <v>0</v>
      </c>
      <c r="C63" s="27" t="str">
        <f>'Activity List'!A63</f>
        <v>T2-010</v>
      </c>
      <c r="D63" s="27" t="str">
        <f>'Activity List'!D63</f>
        <v>Cherry Reception</v>
      </c>
      <c r="E63" s="27" t="str">
        <f>'Activity List'!B63</f>
        <v>Tier 2 — Projects</v>
      </c>
      <c r="F63" s="27" t="str">
        <f>'Activity List'!E63</f>
        <v>farm</v>
      </c>
      <c r="G63" s="42" t="str">
        <f>'Annual Election'!I66</f>
        <v>N</v>
      </c>
      <c r="H63" s="37"/>
      <c r="I63" s="34">
        <f>IFERROR(INDEX('Labor Rate Card'!$G$2:$G$135,MATCH(C63,'Labor Rate Card'!$A$2:$A$135,0)),0)</f>
        <v>0</v>
      </c>
      <c r="J63" s="33">
        <f t="shared" si="3"/>
        <v>0</v>
      </c>
      <c r="K63" s="41" t="str">
        <f>'Annual Election'!E66</f>
        <v/>
      </c>
      <c r="L63" s="41" t="str">
        <f>'Annual Election'!H66</f>
        <v/>
      </c>
      <c r="M63" s="45" t="str">
        <f t="shared" si="4"/>
        <v/>
      </c>
      <c r="N63" s="33">
        <f t="shared" si="5"/>
        <v>0</v>
      </c>
    </row>
    <row r="64" spans="1:14" x14ac:dyDescent="0.45">
      <c r="A64" s="27">
        <f>Master!A$6</f>
        <v>0</v>
      </c>
      <c r="B64" s="27">
        <f>Master!B$6</f>
        <v>0</v>
      </c>
      <c r="C64" s="27" t="str">
        <f>'Activity List'!A64</f>
        <v>T2-011</v>
      </c>
      <c r="D64" s="27" t="str">
        <f>'Activity List'!D64</f>
        <v>Washing Supervision</v>
      </c>
      <c r="E64" s="27" t="str">
        <f>'Activity List'!B64</f>
        <v>Tier 2 — Projects</v>
      </c>
      <c r="F64" s="27" t="str">
        <f>'Activity List'!E64</f>
        <v>farm</v>
      </c>
      <c r="G64" s="42" t="str">
        <f>'Annual Election'!I67</f>
        <v>N</v>
      </c>
      <c r="H64" s="37"/>
      <c r="I64" s="34">
        <f>IFERROR(INDEX('Labor Rate Card'!$G$2:$G$135,MATCH(C64,'Labor Rate Card'!$A$2:$A$135,0)),0)</f>
        <v>0</v>
      </c>
      <c r="J64" s="33">
        <f t="shared" si="3"/>
        <v>0</v>
      </c>
      <c r="K64" s="41" t="str">
        <f>'Annual Election'!E67</f>
        <v/>
      </c>
      <c r="L64" s="41" t="str">
        <f>'Annual Election'!H67</f>
        <v/>
      </c>
      <c r="M64" s="45" t="str">
        <f t="shared" si="4"/>
        <v/>
      </c>
      <c r="N64" s="33">
        <f t="shared" si="5"/>
        <v>0</v>
      </c>
    </row>
    <row r="65" spans="1:14" x14ac:dyDescent="0.45">
      <c r="A65" s="27">
        <f>Master!A$6</f>
        <v>0</v>
      </c>
      <c r="B65" s="27">
        <f>Master!B$6</f>
        <v>0</v>
      </c>
      <c r="C65" s="27" t="str">
        <f>'Activity List'!A65</f>
        <v>T2-012</v>
      </c>
      <c r="D65" s="27" t="str">
        <f>'Activity List'!D65</f>
        <v>Fermentation Supervision</v>
      </c>
      <c r="E65" s="27" t="str">
        <f>'Activity List'!B65</f>
        <v>Tier 2 — Projects</v>
      </c>
      <c r="F65" s="27" t="str">
        <f>'Activity List'!E65</f>
        <v>farm</v>
      </c>
      <c r="G65" s="42" t="str">
        <f>'Annual Election'!I68</f>
        <v>N</v>
      </c>
      <c r="H65" s="37"/>
      <c r="I65" s="34">
        <f>IFERROR(INDEX('Labor Rate Card'!$G$2:$G$135,MATCH(C65,'Labor Rate Card'!$A$2:$A$135,0)),0)</f>
        <v>0</v>
      </c>
      <c r="J65" s="33">
        <f t="shared" si="3"/>
        <v>0</v>
      </c>
      <c r="K65" s="41" t="str">
        <f>'Annual Election'!E68</f>
        <v/>
      </c>
      <c r="L65" s="41" t="str">
        <f>'Annual Election'!H68</f>
        <v/>
      </c>
      <c r="M65" s="45" t="str">
        <f t="shared" si="4"/>
        <v/>
      </c>
      <c r="N65" s="33">
        <f t="shared" si="5"/>
        <v>0</v>
      </c>
    </row>
    <row r="66" spans="1:14" x14ac:dyDescent="0.45">
      <c r="A66" s="27">
        <f>Master!A$6</f>
        <v>0</v>
      </c>
      <c r="B66" s="27">
        <f>Master!B$6</f>
        <v>0</v>
      </c>
      <c r="C66" s="27" t="str">
        <f>'Activity List'!A66</f>
        <v>T2-013</v>
      </c>
      <c r="D66" s="27" t="str">
        <f>'Activity List'!D66</f>
        <v>Drying Supervision</v>
      </c>
      <c r="E66" s="27" t="str">
        <f>'Activity List'!B66</f>
        <v>Tier 2 — Projects</v>
      </c>
      <c r="F66" s="27" t="str">
        <f>'Activity List'!E66</f>
        <v>farm</v>
      </c>
      <c r="G66" s="42" t="str">
        <f>'Annual Election'!I69</f>
        <v>N</v>
      </c>
      <c r="H66" s="37"/>
      <c r="I66" s="34">
        <f>IFERROR(INDEX('Labor Rate Card'!$G$2:$G$135,MATCH(C66,'Labor Rate Card'!$A$2:$A$135,0)),0)</f>
        <v>0</v>
      </c>
      <c r="J66" s="33">
        <f t="shared" ref="J66:J97" si="6">IF(G66="Y",H66*I66,0)</f>
        <v>0</v>
      </c>
      <c r="K66" s="41" t="str">
        <f>'Annual Election'!E69</f>
        <v/>
      </c>
      <c r="L66" s="41" t="str">
        <f>'Annual Election'!H69</f>
        <v/>
      </c>
      <c r="M66" s="45" t="str">
        <f t="shared" ref="M66:M97" si="7">IF(OR(K66="",L66=""),"",ROUNDUP((L66-K66+1)/7,0))</f>
        <v/>
      </c>
      <c r="N66" s="33">
        <f t="shared" ref="N66:N97" si="8">IF(OR(J66="",M66="",M66=0),0,J66/M66)</f>
        <v>0</v>
      </c>
    </row>
    <row r="67" spans="1:14" x14ac:dyDescent="0.45">
      <c r="A67" s="27">
        <f>Master!A$6</f>
        <v>0</v>
      </c>
      <c r="B67" s="27">
        <f>Master!B$6</f>
        <v>0</v>
      </c>
      <c r="C67" s="27" t="str">
        <f>'Activity List'!A67</f>
        <v>T2-014</v>
      </c>
      <c r="D67" s="27" t="str">
        <f>'Activity List'!D67</f>
        <v>Moisture Management</v>
      </c>
      <c r="E67" s="27" t="str">
        <f>'Activity List'!B67</f>
        <v>Tier 2 — Projects</v>
      </c>
      <c r="F67" s="27" t="str">
        <f>'Activity List'!E67</f>
        <v>farm</v>
      </c>
      <c r="G67" s="42" t="str">
        <f>'Annual Election'!I70</f>
        <v>N</v>
      </c>
      <c r="H67" s="37"/>
      <c r="I67" s="34">
        <f>IFERROR(INDEX('Labor Rate Card'!$G$2:$G$135,MATCH(C67,'Labor Rate Card'!$A$2:$A$135,0)),0)</f>
        <v>0</v>
      </c>
      <c r="J67" s="33">
        <f t="shared" si="6"/>
        <v>0</v>
      </c>
      <c r="K67" s="41" t="str">
        <f>'Annual Election'!E70</f>
        <v/>
      </c>
      <c r="L67" s="41" t="str">
        <f>'Annual Election'!H70</f>
        <v/>
      </c>
      <c r="M67" s="45" t="str">
        <f t="shared" si="7"/>
        <v/>
      </c>
      <c r="N67" s="33">
        <f t="shared" si="8"/>
        <v>0</v>
      </c>
    </row>
    <row r="68" spans="1:14" x14ac:dyDescent="0.45">
      <c r="A68" s="27">
        <f>Master!A$6</f>
        <v>0</v>
      </c>
      <c r="B68" s="27">
        <f>Master!B$6</f>
        <v>0</v>
      </c>
      <c r="C68" s="27" t="str">
        <f>'Activity List'!A68</f>
        <v>T2-015</v>
      </c>
      <c r="D68" s="27" t="str">
        <f>'Activity List'!D68</f>
        <v>Parchment Storage</v>
      </c>
      <c r="E68" s="27" t="str">
        <f>'Activity List'!B68</f>
        <v>Tier 2 — Projects</v>
      </c>
      <c r="F68" s="27" t="str">
        <f>'Activity List'!E68</f>
        <v>farm</v>
      </c>
      <c r="G68" s="42" t="str">
        <f>'Annual Election'!I71</f>
        <v>N</v>
      </c>
      <c r="H68" s="37"/>
      <c r="I68" s="34">
        <f>IFERROR(INDEX('Labor Rate Card'!$G$2:$G$135,MATCH(C68,'Labor Rate Card'!$A$2:$A$135,0)),0)</f>
        <v>0</v>
      </c>
      <c r="J68" s="33">
        <f t="shared" si="6"/>
        <v>0</v>
      </c>
      <c r="K68" s="41" t="str">
        <f>'Annual Election'!E71</f>
        <v/>
      </c>
      <c r="L68" s="41" t="str">
        <f>'Annual Election'!H71</f>
        <v/>
      </c>
      <c r="M68" s="45" t="str">
        <f t="shared" si="7"/>
        <v/>
      </c>
      <c r="N68" s="33">
        <f t="shared" si="8"/>
        <v>0</v>
      </c>
    </row>
    <row r="69" spans="1:14" x14ac:dyDescent="0.45">
      <c r="A69" s="27">
        <f>Master!A$6</f>
        <v>0</v>
      </c>
      <c r="B69" s="27">
        <f>Master!B$6</f>
        <v>0</v>
      </c>
      <c r="C69" s="27" t="str">
        <f>'Activity List'!A69</f>
        <v>T2-016</v>
      </c>
      <c r="D69" s="27" t="str">
        <f>'Activity List'!D69</f>
        <v>Warehouse Management</v>
      </c>
      <c r="E69" s="27" t="str">
        <f>'Activity List'!B69</f>
        <v>Tier 2 — Projects</v>
      </c>
      <c r="F69" s="27" t="str">
        <f>'Activity List'!E69</f>
        <v>farm</v>
      </c>
      <c r="G69" s="42" t="str">
        <f>'Annual Election'!I72</f>
        <v>N</v>
      </c>
      <c r="H69" s="37"/>
      <c r="I69" s="34">
        <f>IFERROR(INDEX('Labor Rate Card'!$G$2:$G$135,MATCH(C69,'Labor Rate Card'!$A$2:$A$135,0)),0)</f>
        <v>0</v>
      </c>
      <c r="J69" s="33">
        <f t="shared" si="6"/>
        <v>0</v>
      </c>
      <c r="K69" s="41" t="str">
        <f>'Annual Election'!E72</f>
        <v/>
      </c>
      <c r="L69" s="41" t="str">
        <f>'Annual Election'!H72</f>
        <v/>
      </c>
      <c r="M69" s="45" t="str">
        <f t="shared" si="7"/>
        <v/>
      </c>
      <c r="N69" s="33">
        <f t="shared" si="8"/>
        <v>0</v>
      </c>
    </row>
    <row r="70" spans="1:14" x14ac:dyDescent="0.45">
      <c r="A70" s="27">
        <f>Master!A$6</f>
        <v>0</v>
      </c>
      <c r="B70" s="27">
        <f>Master!B$6</f>
        <v>0</v>
      </c>
      <c r="C70" s="27" t="str">
        <f>'Activity List'!A70</f>
        <v>T2-017</v>
      </c>
      <c r="D70" s="27" t="str">
        <f>'Activity List'!D70</f>
        <v>Inventory Reconciliation</v>
      </c>
      <c r="E70" s="27" t="str">
        <f>'Activity List'!B70</f>
        <v>Tier 2 — Projects</v>
      </c>
      <c r="F70" s="27" t="str">
        <f>'Activity List'!E70</f>
        <v>farm</v>
      </c>
      <c r="G70" s="42" t="str">
        <f>'Annual Election'!I73</f>
        <v>N</v>
      </c>
      <c r="H70" s="37"/>
      <c r="I70" s="34">
        <f>IFERROR(INDEX('Labor Rate Card'!$G$2:$G$135,MATCH(C70,'Labor Rate Card'!$A$2:$A$135,0)),0)</f>
        <v>0</v>
      </c>
      <c r="J70" s="33">
        <f t="shared" si="6"/>
        <v>0</v>
      </c>
      <c r="K70" s="41" t="str">
        <f>'Annual Election'!E73</f>
        <v/>
      </c>
      <c r="L70" s="41" t="str">
        <f>'Annual Election'!H73</f>
        <v/>
      </c>
      <c r="M70" s="45" t="str">
        <f t="shared" si="7"/>
        <v/>
      </c>
      <c r="N70" s="33">
        <f t="shared" si="8"/>
        <v>0</v>
      </c>
    </row>
    <row r="71" spans="1:14" x14ac:dyDescent="0.45">
      <c r="A71" s="27">
        <f>Master!A$6</f>
        <v>0</v>
      </c>
      <c r="B71" s="27">
        <f>Master!B$6</f>
        <v>0</v>
      </c>
      <c r="C71" s="27" t="str">
        <f>'Activity List'!A71</f>
        <v>T2-018</v>
      </c>
      <c r="D71" s="27" t="str">
        <f>'Activity List'!D71</f>
        <v>Internal Transport Coordination</v>
      </c>
      <c r="E71" s="27" t="str">
        <f>'Activity List'!B71</f>
        <v>Tier 2 — Projects</v>
      </c>
      <c r="F71" s="27" t="str">
        <f>'Activity List'!E71</f>
        <v>farm</v>
      </c>
      <c r="G71" s="42" t="str">
        <f>'Annual Election'!I74</f>
        <v>N</v>
      </c>
      <c r="H71" s="37"/>
      <c r="I71" s="34">
        <f>IFERROR(INDEX('Labor Rate Card'!$G$2:$G$135,MATCH(C71,'Labor Rate Card'!$A$2:$A$135,0)),0)</f>
        <v>0</v>
      </c>
      <c r="J71" s="33">
        <f t="shared" si="6"/>
        <v>0</v>
      </c>
      <c r="K71" s="41" t="str">
        <f>'Annual Election'!E74</f>
        <v/>
      </c>
      <c r="L71" s="41" t="str">
        <f>'Annual Election'!H74</f>
        <v/>
      </c>
      <c r="M71" s="45" t="str">
        <f t="shared" si="7"/>
        <v/>
      </c>
      <c r="N71" s="33">
        <f t="shared" si="8"/>
        <v>0</v>
      </c>
    </row>
    <row r="72" spans="1:14" x14ac:dyDescent="0.45">
      <c r="A72" s="27">
        <f>Master!A$6</f>
        <v>0</v>
      </c>
      <c r="B72" s="27">
        <f>Master!B$6</f>
        <v>0</v>
      </c>
      <c r="C72" s="27" t="str">
        <f>'Activity List'!A72</f>
        <v>T2-019</v>
      </c>
      <c r="D72" s="27" t="str">
        <f>'Activity List'!D72</f>
        <v>Hulling Supervision</v>
      </c>
      <c r="E72" s="27" t="str">
        <f>'Activity List'!B72</f>
        <v>Tier 2 — Projects</v>
      </c>
      <c r="F72" s="27" t="str">
        <f>'Activity List'!E72</f>
        <v>farm</v>
      </c>
      <c r="G72" s="42" t="str">
        <f>'Annual Election'!I75</f>
        <v>N</v>
      </c>
      <c r="H72" s="37"/>
      <c r="I72" s="34">
        <f>IFERROR(INDEX('Labor Rate Card'!$G$2:$G$135,MATCH(C72,'Labor Rate Card'!$A$2:$A$135,0)),0)</f>
        <v>0</v>
      </c>
      <c r="J72" s="33">
        <f t="shared" si="6"/>
        <v>0</v>
      </c>
      <c r="K72" s="41" t="str">
        <f>'Annual Election'!E75</f>
        <v/>
      </c>
      <c r="L72" s="41" t="str">
        <f>'Annual Election'!H75</f>
        <v/>
      </c>
      <c r="M72" s="45" t="str">
        <f t="shared" si="7"/>
        <v/>
      </c>
      <c r="N72" s="33">
        <f t="shared" si="8"/>
        <v>0</v>
      </c>
    </row>
    <row r="73" spans="1:14" x14ac:dyDescent="0.45">
      <c r="A73" s="27">
        <f>Master!A$6</f>
        <v>0</v>
      </c>
      <c r="B73" s="27">
        <f>Master!B$6</f>
        <v>0</v>
      </c>
      <c r="C73" s="27" t="str">
        <f>'Activity List'!A73</f>
        <v>T2-020</v>
      </c>
      <c r="D73" s="27" t="str">
        <f>'Activity List'!D73</f>
        <v>Stock Management</v>
      </c>
      <c r="E73" s="27" t="str">
        <f>'Activity List'!B73</f>
        <v>Tier 2 — Projects</v>
      </c>
      <c r="F73" s="27" t="str">
        <f>'Activity List'!E73</f>
        <v>farm</v>
      </c>
      <c r="G73" s="42" t="str">
        <f>'Annual Election'!I76</f>
        <v>N</v>
      </c>
      <c r="H73" s="37"/>
      <c r="I73" s="34">
        <f>IFERROR(INDEX('Labor Rate Card'!$G$2:$G$135,MATCH(C73,'Labor Rate Card'!$A$2:$A$135,0)),0)</f>
        <v>0</v>
      </c>
      <c r="J73" s="33">
        <f t="shared" si="6"/>
        <v>0</v>
      </c>
      <c r="K73" s="41" t="str">
        <f>'Annual Election'!E76</f>
        <v/>
      </c>
      <c r="L73" s="41" t="str">
        <f>'Annual Election'!H76</f>
        <v/>
      </c>
      <c r="M73" s="45" t="str">
        <f t="shared" si="7"/>
        <v/>
      </c>
      <c r="N73" s="33">
        <f t="shared" si="8"/>
        <v>0</v>
      </c>
    </row>
    <row r="74" spans="1:14" x14ac:dyDescent="0.45">
      <c r="A74" s="27">
        <f>Master!A$6</f>
        <v>0</v>
      </c>
      <c r="B74" s="27">
        <f>Master!B$6</f>
        <v>0</v>
      </c>
      <c r="C74" s="27" t="str">
        <f>'Activity List'!A74</f>
        <v>T2-021</v>
      </c>
      <c r="D74" s="27" t="str">
        <f>'Activity List'!D74</f>
        <v>Loss Control</v>
      </c>
      <c r="E74" s="27" t="str">
        <f>'Activity List'!B74</f>
        <v>Tier 2 — Projects</v>
      </c>
      <c r="F74" s="27" t="str">
        <f>'Activity List'!E74</f>
        <v>farm</v>
      </c>
      <c r="G74" s="42" t="str">
        <f>'Annual Election'!I77</f>
        <v>N</v>
      </c>
      <c r="H74" s="37"/>
      <c r="I74" s="34">
        <f>IFERROR(INDEX('Labor Rate Card'!$G$2:$G$135,MATCH(C74,'Labor Rate Card'!$A$2:$A$135,0)),0)</f>
        <v>0</v>
      </c>
      <c r="J74" s="33">
        <f t="shared" si="6"/>
        <v>0</v>
      </c>
      <c r="K74" s="41" t="str">
        <f>'Annual Election'!E77</f>
        <v/>
      </c>
      <c r="L74" s="41" t="str">
        <f>'Annual Election'!H77</f>
        <v/>
      </c>
      <c r="M74" s="45" t="str">
        <f t="shared" si="7"/>
        <v/>
      </c>
      <c r="N74" s="33">
        <f t="shared" si="8"/>
        <v>0</v>
      </c>
    </row>
    <row r="75" spans="1:14" x14ac:dyDescent="0.45">
      <c r="A75" s="27">
        <f>Master!A$6</f>
        <v>0</v>
      </c>
      <c r="B75" s="27">
        <f>Master!B$6</f>
        <v>0</v>
      </c>
      <c r="C75" s="27" t="str">
        <f>'Activity List'!A75</f>
        <v>T2-022</v>
      </c>
      <c r="D75" s="27" t="str">
        <f>'Activity List'!D75</f>
        <v>Export Grading Coordination</v>
      </c>
      <c r="E75" s="27" t="str">
        <f>'Activity List'!B75</f>
        <v>Tier 2 — Projects</v>
      </c>
      <c r="F75" s="27" t="str">
        <f>'Activity List'!E75</f>
        <v>farm</v>
      </c>
      <c r="G75" s="42" t="str">
        <f>'Annual Election'!I78</f>
        <v>N</v>
      </c>
      <c r="H75" s="37"/>
      <c r="I75" s="34">
        <f>IFERROR(INDEX('Labor Rate Card'!$G$2:$G$135,MATCH(C75,'Labor Rate Card'!$A$2:$A$135,0)),0)</f>
        <v>0</v>
      </c>
      <c r="J75" s="33">
        <f t="shared" si="6"/>
        <v>0</v>
      </c>
      <c r="K75" s="41" t="str">
        <f>'Annual Election'!E78</f>
        <v/>
      </c>
      <c r="L75" s="41" t="str">
        <f>'Annual Election'!H78</f>
        <v/>
      </c>
      <c r="M75" s="45" t="str">
        <f t="shared" si="7"/>
        <v/>
      </c>
      <c r="N75" s="33">
        <f t="shared" si="8"/>
        <v>0</v>
      </c>
    </row>
    <row r="76" spans="1:14" x14ac:dyDescent="0.45">
      <c r="A76" s="27">
        <f>Master!A$6</f>
        <v>0</v>
      </c>
      <c r="B76" s="27">
        <f>Master!B$6</f>
        <v>0</v>
      </c>
      <c r="C76" s="27" t="str">
        <f>'Activity List'!A76</f>
        <v>T2-023</v>
      </c>
      <c r="D76" s="27" t="str">
        <f>'Activity List'!D76</f>
        <v>Quality Inspection Coordination</v>
      </c>
      <c r="E76" s="27" t="str">
        <f>'Activity List'!B76</f>
        <v>Tier 2 — Projects</v>
      </c>
      <c r="F76" s="27" t="str">
        <f>'Activity List'!E76</f>
        <v>farm</v>
      </c>
      <c r="G76" s="42" t="str">
        <f>'Annual Election'!I79</f>
        <v>N</v>
      </c>
      <c r="H76" s="37"/>
      <c r="I76" s="34">
        <f>IFERROR(INDEX('Labor Rate Card'!$G$2:$G$135,MATCH(C76,'Labor Rate Card'!$A$2:$A$135,0)),0)</f>
        <v>0</v>
      </c>
      <c r="J76" s="33">
        <f t="shared" si="6"/>
        <v>0</v>
      </c>
      <c r="K76" s="41" t="str">
        <f>'Annual Election'!E79</f>
        <v/>
      </c>
      <c r="L76" s="41" t="str">
        <f>'Annual Election'!H79</f>
        <v/>
      </c>
      <c r="M76" s="45" t="str">
        <f t="shared" si="7"/>
        <v/>
      </c>
      <c r="N76" s="33">
        <f t="shared" si="8"/>
        <v>0</v>
      </c>
    </row>
    <row r="77" spans="1:14" x14ac:dyDescent="0.45">
      <c r="A77" s="27">
        <f>Master!A$6</f>
        <v>0</v>
      </c>
      <c r="B77" s="27">
        <f>Master!B$6</f>
        <v>0</v>
      </c>
      <c r="C77" s="27" t="str">
        <f>'Activity List'!A77</f>
        <v>T2-024</v>
      </c>
      <c r="D77" s="27" t="str">
        <f>'Activity List'!D77</f>
        <v>Sample Preparation</v>
      </c>
      <c r="E77" s="27" t="str">
        <f>'Activity List'!B77</f>
        <v>Tier 2 — Projects</v>
      </c>
      <c r="F77" s="27" t="str">
        <f>'Activity List'!E77</f>
        <v>farm</v>
      </c>
      <c r="G77" s="42" t="str">
        <f>'Annual Election'!I80</f>
        <v>N</v>
      </c>
      <c r="H77" s="37"/>
      <c r="I77" s="34">
        <f>IFERROR(INDEX('Labor Rate Card'!$G$2:$G$135,MATCH(C77,'Labor Rate Card'!$A$2:$A$135,0)),0)</f>
        <v>0</v>
      </c>
      <c r="J77" s="33">
        <f t="shared" si="6"/>
        <v>0</v>
      </c>
      <c r="K77" s="41" t="str">
        <f>'Annual Election'!E80</f>
        <v/>
      </c>
      <c r="L77" s="41" t="str">
        <f>'Annual Election'!H80</f>
        <v/>
      </c>
      <c r="M77" s="45" t="str">
        <f t="shared" si="7"/>
        <v/>
      </c>
      <c r="N77" s="33">
        <f t="shared" si="8"/>
        <v>0</v>
      </c>
    </row>
    <row r="78" spans="1:14" x14ac:dyDescent="0.45">
      <c r="A78" s="27">
        <f>Master!A$6</f>
        <v>0</v>
      </c>
      <c r="B78" s="27">
        <f>Master!B$6</f>
        <v>0</v>
      </c>
      <c r="C78" s="27" t="str">
        <f>'Activity List'!A78</f>
        <v>T2-025</v>
      </c>
      <c r="D78" s="27" t="str">
        <f>'Activity List'!D78</f>
        <v>Client Correspondence</v>
      </c>
      <c r="E78" s="27" t="str">
        <f>'Activity List'!B78</f>
        <v>Tier 2 — Projects</v>
      </c>
      <c r="F78" s="27" t="str">
        <f>'Activity List'!E78</f>
        <v>farm</v>
      </c>
      <c r="G78" s="42" t="str">
        <f>'Annual Election'!I81</f>
        <v>N</v>
      </c>
      <c r="H78" s="37"/>
      <c r="I78" s="34">
        <f>IFERROR(INDEX('Labor Rate Card'!$G$2:$G$135,MATCH(C78,'Labor Rate Card'!$A$2:$A$135,0)),0)</f>
        <v>0</v>
      </c>
      <c r="J78" s="33">
        <f t="shared" si="6"/>
        <v>0</v>
      </c>
      <c r="K78" s="41" t="str">
        <f>'Annual Election'!E81</f>
        <v/>
      </c>
      <c r="L78" s="41" t="str">
        <f>'Annual Election'!H81</f>
        <v/>
      </c>
      <c r="M78" s="45" t="str">
        <f t="shared" si="7"/>
        <v/>
      </c>
      <c r="N78" s="33">
        <f t="shared" si="8"/>
        <v>0</v>
      </c>
    </row>
    <row r="79" spans="1:14" x14ac:dyDescent="0.45">
      <c r="A79" s="27">
        <f>Master!A$6</f>
        <v>0</v>
      </c>
      <c r="B79" s="27">
        <f>Master!B$6</f>
        <v>0</v>
      </c>
      <c r="C79" s="27" t="str">
        <f>'Activity List'!A79</f>
        <v>T2-026</v>
      </c>
      <c r="D79" s="27" t="str">
        <f>'Activity List'!D79</f>
        <v>Contract Administration</v>
      </c>
      <c r="E79" s="27" t="str">
        <f>'Activity List'!B79</f>
        <v>Tier 2 — Projects</v>
      </c>
      <c r="F79" s="27" t="str">
        <f>'Activity List'!E79</f>
        <v>farm</v>
      </c>
      <c r="G79" s="42" t="str">
        <f>'Annual Election'!I82</f>
        <v>N</v>
      </c>
      <c r="H79" s="37"/>
      <c r="I79" s="34">
        <f>IFERROR(INDEX('Labor Rate Card'!$G$2:$G$135,MATCH(C79,'Labor Rate Card'!$A$2:$A$135,0)),0)</f>
        <v>0</v>
      </c>
      <c r="J79" s="33">
        <f t="shared" si="6"/>
        <v>0</v>
      </c>
      <c r="K79" s="41" t="str">
        <f>'Annual Election'!E82</f>
        <v/>
      </c>
      <c r="L79" s="41" t="str">
        <f>'Annual Election'!H82</f>
        <v/>
      </c>
      <c r="M79" s="45" t="str">
        <f t="shared" si="7"/>
        <v/>
      </c>
      <c r="N79" s="33">
        <f t="shared" si="8"/>
        <v>0</v>
      </c>
    </row>
    <row r="80" spans="1:14" x14ac:dyDescent="0.45">
      <c r="A80" s="27">
        <f>Master!A$6</f>
        <v>0</v>
      </c>
      <c r="B80" s="27">
        <f>Master!B$6</f>
        <v>0</v>
      </c>
      <c r="C80" s="27" t="str">
        <f>'Activity List'!A80</f>
        <v>T2-027</v>
      </c>
      <c r="D80" s="27" t="str">
        <f>'Activity List'!D80</f>
        <v>Buyer Coordination</v>
      </c>
      <c r="E80" s="27" t="str">
        <f>'Activity List'!B80</f>
        <v>Tier 2 — Projects</v>
      </c>
      <c r="F80" s="27" t="str">
        <f>'Activity List'!E80</f>
        <v>farm</v>
      </c>
      <c r="G80" s="42" t="str">
        <f>'Annual Election'!I83</f>
        <v>N</v>
      </c>
      <c r="H80" s="37"/>
      <c r="I80" s="34">
        <f>IFERROR(INDEX('Labor Rate Card'!$G$2:$G$135,MATCH(C80,'Labor Rate Card'!$A$2:$A$135,0)),0)</f>
        <v>0</v>
      </c>
      <c r="J80" s="33">
        <f t="shared" si="6"/>
        <v>0</v>
      </c>
      <c r="K80" s="41" t="str">
        <f>'Annual Election'!E83</f>
        <v/>
      </c>
      <c r="L80" s="41" t="str">
        <f>'Annual Election'!H83</f>
        <v/>
      </c>
      <c r="M80" s="45" t="str">
        <f t="shared" si="7"/>
        <v/>
      </c>
      <c r="N80" s="33">
        <f t="shared" si="8"/>
        <v>0</v>
      </c>
    </row>
    <row r="81" spans="1:14" x14ac:dyDescent="0.45">
      <c r="A81" s="27">
        <f>Master!A$6</f>
        <v>0</v>
      </c>
      <c r="B81" s="27">
        <f>Master!B$6</f>
        <v>0</v>
      </c>
      <c r="C81" s="27" t="str">
        <f>'Activity List'!A81</f>
        <v>T2-028</v>
      </c>
      <c r="D81" s="27" t="str">
        <f>'Activity List'!D81</f>
        <v>Letters of Credit Coordination</v>
      </c>
      <c r="E81" s="27" t="str">
        <f>'Activity List'!B81</f>
        <v>Tier 2 — Projects</v>
      </c>
      <c r="F81" s="27" t="str">
        <f>'Activity List'!E81</f>
        <v>farm</v>
      </c>
      <c r="G81" s="42" t="str">
        <f>'Annual Election'!I84</f>
        <v>N</v>
      </c>
      <c r="H81" s="37"/>
      <c r="I81" s="34">
        <f>IFERROR(INDEX('Labor Rate Card'!$G$2:$G$135,MATCH(C81,'Labor Rate Card'!$A$2:$A$135,0)),0)</f>
        <v>0</v>
      </c>
      <c r="J81" s="33">
        <f t="shared" si="6"/>
        <v>0</v>
      </c>
      <c r="K81" s="41" t="str">
        <f>'Annual Election'!E84</f>
        <v/>
      </c>
      <c r="L81" s="41" t="str">
        <f>'Annual Election'!H84</f>
        <v/>
      </c>
      <c r="M81" s="45" t="str">
        <f t="shared" si="7"/>
        <v/>
      </c>
      <c r="N81" s="33">
        <f t="shared" si="8"/>
        <v>0</v>
      </c>
    </row>
    <row r="82" spans="1:14" x14ac:dyDescent="0.45">
      <c r="A82" s="27">
        <f>Master!A$6</f>
        <v>0</v>
      </c>
      <c r="B82" s="27">
        <f>Master!B$6</f>
        <v>0</v>
      </c>
      <c r="C82" s="27" t="str">
        <f>'Activity List'!A82</f>
        <v>T2-029</v>
      </c>
      <c r="D82" s="27" t="str">
        <f>'Activity List'!D82</f>
        <v>Export Documentation</v>
      </c>
      <c r="E82" s="27" t="str">
        <f>'Activity List'!B82</f>
        <v>Tier 2 — Projects</v>
      </c>
      <c r="F82" s="27" t="str">
        <f>'Activity List'!E82</f>
        <v>farm</v>
      </c>
      <c r="G82" s="42" t="str">
        <f>'Annual Election'!I85</f>
        <v>N</v>
      </c>
      <c r="H82" s="37"/>
      <c r="I82" s="34">
        <f>IFERROR(INDEX('Labor Rate Card'!$G$2:$G$135,MATCH(C82,'Labor Rate Card'!$A$2:$A$135,0)),0)</f>
        <v>0</v>
      </c>
      <c r="J82" s="33">
        <f t="shared" si="6"/>
        <v>0</v>
      </c>
      <c r="K82" s="41" t="str">
        <f>'Annual Election'!E85</f>
        <v/>
      </c>
      <c r="L82" s="41" t="str">
        <f>'Annual Election'!H85</f>
        <v/>
      </c>
      <c r="M82" s="45" t="str">
        <f t="shared" si="7"/>
        <v/>
      </c>
      <c r="N82" s="33">
        <f t="shared" si="8"/>
        <v>0</v>
      </c>
    </row>
    <row r="83" spans="1:14" x14ac:dyDescent="0.45">
      <c r="A83" s="27">
        <f>Master!A$6</f>
        <v>0</v>
      </c>
      <c r="B83" s="27">
        <f>Master!B$6</f>
        <v>0</v>
      </c>
      <c r="C83" s="27" t="str">
        <f>'Activity List'!A83</f>
        <v>T2-030</v>
      </c>
      <c r="D83" s="27" t="str">
        <f>'Activity List'!D83</f>
        <v>Shipping Coordination</v>
      </c>
      <c r="E83" s="27" t="str">
        <f>'Activity List'!B83</f>
        <v>Tier 2 — Projects</v>
      </c>
      <c r="F83" s="27" t="str">
        <f>'Activity List'!E83</f>
        <v>farm</v>
      </c>
      <c r="G83" s="42" t="str">
        <f>'Annual Election'!I86</f>
        <v>N</v>
      </c>
      <c r="H83" s="37"/>
      <c r="I83" s="34">
        <f>IFERROR(INDEX('Labor Rate Card'!$G$2:$G$135,MATCH(C83,'Labor Rate Card'!$A$2:$A$135,0)),0)</f>
        <v>0</v>
      </c>
      <c r="J83" s="33">
        <f t="shared" si="6"/>
        <v>0</v>
      </c>
      <c r="K83" s="41" t="str">
        <f>'Annual Election'!E86</f>
        <v/>
      </c>
      <c r="L83" s="41" t="str">
        <f>'Annual Election'!H86</f>
        <v/>
      </c>
      <c r="M83" s="45" t="str">
        <f t="shared" si="7"/>
        <v/>
      </c>
      <c r="N83" s="33">
        <f t="shared" si="8"/>
        <v>0</v>
      </c>
    </row>
    <row r="84" spans="1:14" x14ac:dyDescent="0.45">
      <c r="A84" s="27">
        <f>Master!A$6</f>
        <v>0</v>
      </c>
      <c r="B84" s="27">
        <f>Master!B$6</f>
        <v>0</v>
      </c>
      <c r="C84" s="27" t="str">
        <f>'Activity List'!A84</f>
        <v>T2-031</v>
      </c>
      <c r="D84" s="27" t="str">
        <f>'Activity List'!D84</f>
        <v>Export Compliance</v>
      </c>
      <c r="E84" s="27" t="str">
        <f>'Activity List'!B84</f>
        <v>Tier 2 — Projects</v>
      </c>
      <c r="F84" s="27" t="str">
        <f>'Activity List'!E84</f>
        <v>farm</v>
      </c>
      <c r="G84" s="42" t="str">
        <f>'Annual Election'!I87</f>
        <v>N</v>
      </c>
      <c r="H84" s="37"/>
      <c r="I84" s="34">
        <f>IFERROR(INDEX('Labor Rate Card'!$G$2:$G$135,MATCH(C84,'Labor Rate Card'!$A$2:$A$135,0)),0)</f>
        <v>0</v>
      </c>
      <c r="J84" s="33">
        <f t="shared" si="6"/>
        <v>0</v>
      </c>
      <c r="K84" s="41" t="str">
        <f>'Annual Election'!E87</f>
        <v/>
      </c>
      <c r="L84" s="41" t="str">
        <f>'Annual Election'!H87</f>
        <v/>
      </c>
      <c r="M84" s="45" t="str">
        <f t="shared" si="7"/>
        <v/>
      </c>
      <c r="N84" s="33">
        <f t="shared" si="8"/>
        <v>0</v>
      </c>
    </row>
    <row r="85" spans="1:14" x14ac:dyDescent="0.45">
      <c r="A85" s="27">
        <f>Master!A$6</f>
        <v>0</v>
      </c>
      <c r="B85" s="27">
        <f>Master!B$6</f>
        <v>0</v>
      </c>
      <c r="C85" s="27" t="str">
        <f>'Activity List'!A85</f>
        <v>T2-032</v>
      </c>
      <c r="D85" s="27" t="str">
        <f>'Activity List'!D85</f>
        <v>Shipment Follow-Up</v>
      </c>
      <c r="E85" s="27" t="str">
        <f>'Activity List'!B85</f>
        <v>Tier 2 — Projects</v>
      </c>
      <c r="F85" s="27" t="str">
        <f>'Activity List'!E85</f>
        <v>farm</v>
      </c>
      <c r="G85" s="42" t="str">
        <f>'Annual Election'!I88</f>
        <v>N</v>
      </c>
      <c r="H85" s="37"/>
      <c r="I85" s="34">
        <f>IFERROR(INDEX('Labor Rate Card'!$G$2:$G$135,MATCH(C85,'Labor Rate Card'!$A$2:$A$135,0)),0)</f>
        <v>0</v>
      </c>
      <c r="J85" s="33">
        <f t="shared" si="6"/>
        <v>0</v>
      </c>
      <c r="K85" s="41" t="str">
        <f>'Annual Election'!E88</f>
        <v/>
      </c>
      <c r="L85" s="41" t="str">
        <f>'Annual Election'!H88</f>
        <v/>
      </c>
      <c r="M85" s="45" t="str">
        <f t="shared" si="7"/>
        <v/>
      </c>
      <c r="N85" s="33">
        <f t="shared" si="8"/>
        <v>0</v>
      </c>
    </row>
    <row r="86" spans="1:14" x14ac:dyDescent="0.45">
      <c r="A86" s="27">
        <f>Master!A$6</f>
        <v>0</v>
      </c>
      <c r="B86" s="27">
        <f>Master!B$6</f>
        <v>0</v>
      </c>
      <c r="C86" s="27" t="str">
        <f>'Activity List'!A86</f>
        <v>T2-033</v>
      </c>
      <c r="D86" s="27" t="str">
        <f>'Activity List'!D86</f>
        <v>Export Proceeds Receipt and Reconciliation</v>
      </c>
      <c r="E86" s="27" t="str">
        <f>'Activity List'!B86</f>
        <v>Tier 2 — Projects</v>
      </c>
      <c r="F86" s="27" t="str">
        <f>'Activity List'!E86</f>
        <v>farm</v>
      </c>
      <c r="G86" s="42" t="str">
        <f>'Annual Election'!I89</f>
        <v>N</v>
      </c>
      <c r="H86" s="37"/>
      <c r="I86" s="34">
        <f>IFERROR(INDEX('Labor Rate Card'!$G$2:$G$135,MATCH(C86,'Labor Rate Card'!$A$2:$A$135,0)),0)</f>
        <v>0</v>
      </c>
      <c r="J86" s="33">
        <f t="shared" si="6"/>
        <v>0</v>
      </c>
      <c r="K86" s="41" t="str">
        <f>'Annual Election'!E89</f>
        <v/>
      </c>
      <c r="L86" s="41" t="str">
        <f>'Annual Election'!H89</f>
        <v/>
      </c>
      <c r="M86" s="45" t="str">
        <f t="shared" si="7"/>
        <v/>
      </c>
      <c r="N86" s="33">
        <f t="shared" si="8"/>
        <v>0</v>
      </c>
    </row>
    <row r="87" spans="1:14" x14ac:dyDescent="0.45">
      <c r="A87" s="27">
        <f>Master!A$6</f>
        <v>0</v>
      </c>
      <c r="B87" s="27">
        <f>Master!B$6</f>
        <v>0</v>
      </c>
      <c r="C87" s="27" t="str">
        <f>'Activity List'!A87</f>
        <v>T2-034</v>
      </c>
      <c r="D87" s="27" t="str">
        <f>'Activity List'!D87</f>
        <v>Washing Station Rehabilitation</v>
      </c>
      <c r="E87" s="27" t="str">
        <f>'Activity List'!B87</f>
        <v>Tier 2 — Projects</v>
      </c>
      <c r="F87" s="27" t="str">
        <f>'Activity List'!E87</f>
        <v>project</v>
      </c>
      <c r="G87" s="42" t="str">
        <f>'Annual Election'!I90</f>
        <v>N</v>
      </c>
      <c r="H87" s="37"/>
      <c r="I87" s="34">
        <f>IFERROR(INDEX('Labor Rate Card'!$G$2:$G$135,MATCH(C87,'Labor Rate Card'!$A$2:$A$135,0)),0)</f>
        <v>0</v>
      </c>
      <c r="J87" s="33">
        <f t="shared" si="6"/>
        <v>0</v>
      </c>
      <c r="K87" s="41">
        <f>'Annual Election'!E90</f>
        <v>0</v>
      </c>
      <c r="L87" s="41">
        <f>'Annual Election'!H90</f>
        <v>0</v>
      </c>
      <c r="M87" s="45">
        <f t="shared" si="7"/>
        <v>1</v>
      </c>
      <c r="N87" s="33">
        <f t="shared" si="8"/>
        <v>0</v>
      </c>
    </row>
    <row r="88" spans="1:14" x14ac:dyDescent="0.45">
      <c r="A88" s="27">
        <f>Master!A$6</f>
        <v>0</v>
      </c>
      <c r="B88" s="27">
        <f>Master!B$6</f>
        <v>0</v>
      </c>
      <c r="C88" s="27" t="str">
        <f>'Activity List'!A88</f>
        <v>T2-035</v>
      </c>
      <c r="D88" s="27" t="str">
        <f>'Activity List'!D88</f>
        <v>Huller Rehabilitation</v>
      </c>
      <c r="E88" s="27" t="str">
        <f>'Activity List'!B88</f>
        <v>Tier 2 — Projects</v>
      </c>
      <c r="F88" s="27" t="str">
        <f>'Activity List'!E88</f>
        <v>project</v>
      </c>
      <c r="G88" s="42" t="str">
        <f>'Annual Election'!I91</f>
        <v>N</v>
      </c>
      <c r="H88" s="37"/>
      <c r="I88" s="34">
        <f>IFERROR(INDEX('Labor Rate Card'!$G$2:$G$135,MATCH(C88,'Labor Rate Card'!$A$2:$A$135,0)),0)</f>
        <v>0</v>
      </c>
      <c r="J88" s="33">
        <f t="shared" si="6"/>
        <v>0</v>
      </c>
      <c r="K88" s="41">
        <f>'Annual Election'!E91</f>
        <v>0</v>
      </c>
      <c r="L88" s="41">
        <f>'Annual Election'!H91</f>
        <v>0</v>
      </c>
      <c r="M88" s="45">
        <f t="shared" si="7"/>
        <v>1</v>
      </c>
      <c r="N88" s="33">
        <f t="shared" si="8"/>
        <v>0</v>
      </c>
    </row>
    <row r="89" spans="1:14" x14ac:dyDescent="0.45">
      <c r="A89" s="27">
        <f>Master!A$6</f>
        <v>0</v>
      </c>
      <c r="B89" s="27">
        <f>Master!B$6</f>
        <v>0</v>
      </c>
      <c r="C89" s="27" t="str">
        <f>'Activity List'!A89</f>
        <v>T2-036</v>
      </c>
      <c r="D89" s="27" t="str">
        <f>'Activity List'!D89</f>
        <v>Irrigation Systems</v>
      </c>
      <c r="E89" s="27" t="str">
        <f>'Activity List'!B89</f>
        <v>Tier 2 — Projects</v>
      </c>
      <c r="F89" s="27" t="str">
        <f>'Activity List'!E89</f>
        <v>project</v>
      </c>
      <c r="G89" s="42" t="str">
        <f>'Annual Election'!I92</f>
        <v>N</v>
      </c>
      <c r="H89" s="37"/>
      <c r="I89" s="34">
        <f>IFERROR(INDEX('Labor Rate Card'!$G$2:$G$135,MATCH(C89,'Labor Rate Card'!$A$2:$A$135,0)),0)</f>
        <v>0</v>
      </c>
      <c r="J89" s="33">
        <f t="shared" si="6"/>
        <v>0</v>
      </c>
      <c r="K89" s="41">
        <f>'Annual Election'!E92</f>
        <v>0</v>
      </c>
      <c r="L89" s="41">
        <f>'Annual Election'!H92</f>
        <v>0</v>
      </c>
      <c r="M89" s="45">
        <f t="shared" si="7"/>
        <v>1</v>
      </c>
      <c r="N89" s="33">
        <f t="shared" si="8"/>
        <v>0</v>
      </c>
    </row>
    <row r="90" spans="1:14" x14ac:dyDescent="0.45">
      <c r="A90" s="27">
        <f>Master!A$6</f>
        <v>0</v>
      </c>
      <c r="B90" s="27">
        <f>Master!B$6</f>
        <v>0</v>
      </c>
      <c r="C90" s="27" t="str">
        <f>'Activity List'!A90</f>
        <v>T2-037</v>
      </c>
      <c r="D90" s="27" t="str">
        <f>'Activity List'!D90</f>
        <v>On-Farm Water Systems Development</v>
      </c>
      <c r="E90" s="27" t="str">
        <f>'Activity List'!B90</f>
        <v>Tier 2 — Projects</v>
      </c>
      <c r="F90" s="27" t="str">
        <f>'Activity List'!E90</f>
        <v>project</v>
      </c>
      <c r="G90" s="42" t="str">
        <f>'Annual Election'!I93</f>
        <v>N</v>
      </c>
      <c r="H90" s="37"/>
      <c r="I90" s="34">
        <f>IFERROR(INDEX('Labor Rate Card'!$G$2:$G$135,MATCH(C90,'Labor Rate Card'!$A$2:$A$135,0)),0)</f>
        <v>0</v>
      </c>
      <c r="J90" s="33">
        <f t="shared" si="6"/>
        <v>0</v>
      </c>
      <c r="K90" s="41">
        <f>'Annual Election'!E93</f>
        <v>0</v>
      </c>
      <c r="L90" s="41">
        <f>'Annual Election'!H93</f>
        <v>0</v>
      </c>
      <c r="M90" s="45">
        <f t="shared" si="7"/>
        <v>1</v>
      </c>
      <c r="N90" s="33">
        <f t="shared" si="8"/>
        <v>0</v>
      </c>
    </row>
    <row r="91" spans="1:14" x14ac:dyDescent="0.45">
      <c r="A91" s="27">
        <f>Master!A$6</f>
        <v>0</v>
      </c>
      <c r="B91" s="27">
        <f>Master!B$6</f>
        <v>0</v>
      </c>
      <c r="C91" s="27" t="str">
        <f>'Activity List'!A91</f>
        <v>T2-038</v>
      </c>
      <c r="D91" s="27" t="str">
        <f>'Activity List'!D91</f>
        <v>Roads</v>
      </c>
      <c r="E91" s="27" t="str">
        <f>'Activity List'!B91</f>
        <v>Tier 2 — Projects</v>
      </c>
      <c r="F91" s="27" t="str">
        <f>'Activity List'!E91</f>
        <v>project</v>
      </c>
      <c r="G91" s="42" t="str">
        <f>'Annual Election'!I94</f>
        <v>N</v>
      </c>
      <c r="H91" s="37"/>
      <c r="I91" s="34">
        <f>IFERROR(INDEX('Labor Rate Card'!$G$2:$G$135,MATCH(C91,'Labor Rate Card'!$A$2:$A$135,0)),0)</f>
        <v>0</v>
      </c>
      <c r="J91" s="33">
        <f t="shared" si="6"/>
        <v>0</v>
      </c>
      <c r="K91" s="41">
        <f>'Annual Election'!E94</f>
        <v>0</v>
      </c>
      <c r="L91" s="41">
        <f>'Annual Election'!H94</f>
        <v>0</v>
      </c>
      <c r="M91" s="45">
        <f t="shared" si="7"/>
        <v>1</v>
      </c>
      <c r="N91" s="33">
        <f t="shared" si="8"/>
        <v>0</v>
      </c>
    </row>
    <row r="92" spans="1:14" x14ac:dyDescent="0.45">
      <c r="A92" s="27">
        <f>Master!A$6</f>
        <v>0</v>
      </c>
      <c r="B92" s="27">
        <f>Master!B$6</f>
        <v>0</v>
      </c>
      <c r="C92" s="27" t="str">
        <f>'Activity List'!A92</f>
        <v>T2-039</v>
      </c>
      <c r="D92" s="27" t="str">
        <f>'Activity List'!D92</f>
        <v>Buildings</v>
      </c>
      <c r="E92" s="27" t="str">
        <f>'Activity List'!B92</f>
        <v>Tier 2 — Projects</v>
      </c>
      <c r="F92" s="27" t="str">
        <f>'Activity List'!E92</f>
        <v>project</v>
      </c>
      <c r="G92" s="42" t="str">
        <f>'Annual Election'!I95</f>
        <v>N</v>
      </c>
      <c r="H92" s="37"/>
      <c r="I92" s="34">
        <f>IFERROR(INDEX('Labor Rate Card'!$G$2:$G$135,MATCH(C92,'Labor Rate Card'!$A$2:$A$135,0)),0)</f>
        <v>0</v>
      </c>
      <c r="J92" s="33">
        <f t="shared" si="6"/>
        <v>0</v>
      </c>
      <c r="K92" s="41">
        <f>'Annual Election'!E95</f>
        <v>0</v>
      </c>
      <c r="L92" s="41">
        <f>'Annual Election'!H95</f>
        <v>0</v>
      </c>
      <c r="M92" s="45">
        <f t="shared" si="7"/>
        <v>1</v>
      </c>
      <c r="N92" s="33">
        <f t="shared" si="8"/>
        <v>0</v>
      </c>
    </row>
    <row r="93" spans="1:14" x14ac:dyDescent="0.45">
      <c r="A93" s="27">
        <f>Master!A$6</f>
        <v>0</v>
      </c>
      <c r="B93" s="27">
        <f>Master!B$6</f>
        <v>0</v>
      </c>
      <c r="C93" s="27" t="str">
        <f>'Activity List'!A93</f>
        <v>T2-040</v>
      </c>
      <c r="D93" s="27" t="str">
        <f>'Activity List'!D93</f>
        <v>Staff Housing</v>
      </c>
      <c r="E93" s="27" t="str">
        <f>'Activity List'!B93</f>
        <v>Tier 2 — Projects</v>
      </c>
      <c r="F93" s="27" t="str">
        <f>'Activity List'!E93</f>
        <v>project</v>
      </c>
      <c r="G93" s="42" t="str">
        <f>'Annual Election'!I96</f>
        <v>N</v>
      </c>
      <c r="H93" s="37"/>
      <c r="I93" s="34">
        <f>IFERROR(INDEX('Labor Rate Card'!$G$2:$G$135,MATCH(C93,'Labor Rate Card'!$A$2:$A$135,0)),0)</f>
        <v>0</v>
      </c>
      <c r="J93" s="33">
        <f t="shared" si="6"/>
        <v>0</v>
      </c>
      <c r="K93" s="41">
        <f>'Annual Election'!E96</f>
        <v>0</v>
      </c>
      <c r="L93" s="41">
        <f>'Annual Election'!H96</f>
        <v>0</v>
      </c>
      <c r="M93" s="45">
        <f t="shared" si="7"/>
        <v>1</v>
      </c>
      <c r="N93" s="33">
        <f t="shared" si="8"/>
        <v>0</v>
      </c>
    </row>
    <row r="94" spans="1:14" x14ac:dyDescent="0.45">
      <c r="A94" s="27">
        <f>Master!A$6</f>
        <v>0</v>
      </c>
      <c r="B94" s="27">
        <f>Master!B$6</f>
        <v>0</v>
      </c>
      <c r="C94" s="27" t="str">
        <f>'Activity List'!A94</f>
        <v>T2-041</v>
      </c>
      <c r="D94" s="27" t="str">
        <f>'Activity List'!D94</f>
        <v>Workshops</v>
      </c>
      <c r="E94" s="27" t="str">
        <f>'Activity List'!B94</f>
        <v>Tier 2 — Projects</v>
      </c>
      <c r="F94" s="27" t="str">
        <f>'Activity List'!E94</f>
        <v>project</v>
      </c>
      <c r="G94" s="42" t="str">
        <f>'Annual Election'!I97</f>
        <v>N</v>
      </c>
      <c r="H94" s="37"/>
      <c r="I94" s="34">
        <f>IFERROR(INDEX('Labor Rate Card'!$G$2:$G$135,MATCH(C94,'Labor Rate Card'!$A$2:$A$135,0)),0)</f>
        <v>0</v>
      </c>
      <c r="J94" s="33">
        <f t="shared" si="6"/>
        <v>0</v>
      </c>
      <c r="K94" s="41">
        <f>'Annual Election'!E97</f>
        <v>0</v>
      </c>
      <c r="L94" s="41">
        <f>'Annual Election'!H97</f>
        <v>0</v>
      </c>
      <c r="M94" s="45">
        <f t="shared" si="7"/>
        <v>1</v>
      </c>
      <c r="N94" s="33">
        <f t="shared" si="8"/>
        <v>0</v>
      </c>
    </row>
    <row r="95" spans="1:14" x14ac:dyDescent="0.45">
      <c r="A95" s="27">
        <f>Master!A$6</f>
        <v>0</v>
      </c>
      <c r="B95" s="27">
        <f>Master!B$6</f>
        <v>0</v>
      </c>
      <c r="C95" s="27" t="str">
        <f>'Activity List'!A95</f>
        <v>T2-042</v>
      </c>
      <c r="D95" s="27" t="str">
        <f>'Activity List'!D95</f>
        <v>Machinery Procurement</v>
      </c>
      <c r="E95" s="27" t="str">
        <f>'Activity List'!B95</f>
        <v>Tier 2 — Projects</v>
      </c>
      <c r="F95" s="27" t="str">
        <f>'Activity List'!E95</f>
        <v>project</v>
      </c>
      <c r="G95" s="42" t="str">
        <f>'Annual Election'!I98</f>
        <v>N</v>
      </c>
      <c r="H95" s="37"/>
      <c r="I95" s="34">
        <f>IFERROR(INDEX('Labor Rate Card'!$G$2:$G$135,MATCH(C95,'Labor Rate Card'!$A$2:$A$135,0)),0)</f>
        <v>0</v>
      </c>
      <c r="J95" s="33">
        <f t="shared" si="6"/>
        <v>0</v>
      </c>
      <c r="K95" s="41">
        <f>'Annual Election'!E98</f>
        <v>0</v>
      </c>
      <c r="L95" s="41">
        <f>'Annual Election'!H98</f>
        <v>0</v>
      </c>
      <c r="M95" s="45">
        <f t="shared" si="7"/>
        <v>1</v>
      </c>
      <c r="N95" s="33">
        <f t="shared" si="8"/>
        <v>0</v>
      </c>
    </row>
    <row r="96" spans="1:14" x14ac:dyDescent="0.45">
      <c r="A96" s="27">
        <f>Master!A$6</f>
        <v>0</v>
      </c>
      <c r="B96" s="27">
        <f>Master!B$6</f>
        <v>0</v>
      </c>
      <c r="C96" s="27" t="str">
        <f>'Activity List'!A96</f>
        <v>T2-043</v>
      </c>
      <c r="D96" s="27" t="str">
        <f>'Activity List'!D96</f>
        <v>Utilities</v>
      </c>
      <c r="E96" s="27" t="str">
        <f>'Activity List'!B96</f>
        <v>Tier 2 — Projects</v>
      </c>
      <c r="F96" s="27" t="str">
        <f>'Activity List'!E96</f>
        <v>project</v>
      </c>
      <c r="G96" s="42" t="str">
        <f>'Annual Election'!I99</f>
        <v>N</v>
      </c>
      <c r="H96" s="37"/>
      <c r="I96" s="34">
        <f>IFERROR(INDEX('Labor Rate Card'!$G$2:$G$135,MATCH(C96,'Labor Rate Card'!$A$2:$A$135,0)),0)</f>
        <v>0</v>
      </c>
      <c r="J96" s="33">
        <f t="shared" si="6"/>
        <v>0</v>
      </c>
      <c r="K96" s="41">
        <f>'Annual Election'!E99</f>
        <v>0</v>
      </c>
      <c r="L96" s="41">
        <f>'Annual Election'!H99</f>
        <v>0</v>
      </c>
      <c r="M96" s="45">
        <f t="shared" si="7"/>
        <v>1</v>
      </c>
      <c r="N96" s="33">
        <f t="shared" si="8"/>
        <v>0</v>
      </c>
    </row>
    <row r="97" spans="1:14" x14ac:dyDescent="0.45">
      <c r="A97" s="27">
        <f>Master!A$6</f>
        <v>0</v>
      </c>
      <c r="B97" s="27">
        <f>Master!B$6</f>
        <v>0</v>
      </c>
      <c r="C97" s="27" t="str">
        <f>'Activity List'!A97</f>
        <v>T2-044</v>
      </c>
      <c r="D97" s="27" t="str">
        <f>'Activity List'!D97</f>
        <v>Solar Systems (incl. Staff Welfare)</v>
      </c>
      <c r="E97" s="27" t="str">
        <f>'Activity List'!B97</f>
        <v>Tier 2 — Projects</v>
      </c>
      <c r="F97" s="27" t="str">
        <f>'Activity List'!E97</f>
        <v>project</v>
      </c>
      <c r="G97" s="42" t="str">
        <f>'Annual Election'!I100</f>
        <v>N</v>
      </c>
      <c r="H97" s="37"/>
      <c r="I97" s="34">
        <f>IFERROR(INDEX('Labor Rate Card'!$G$2:$G$135,MATCH(C97,'Labor Rate Card'!$A$2:$A$135,0)),0)</f>
        <v>0</v>
      </c>
      <c r="J97" s="33">
        <f t="shared" si="6"/>
        <v>0</v>
      </c>
      <c r="K97" s="41">
        <f>'Annual Election'!E100</f>
        <v>0</v>
      </c>
      <c r="L97" s="41">
        <f>'Annual Election'!H100</f>
        <v>0</v>
      </c>
      <c r="M97" s="45">
        <f t="shared" si="7"/>
        <v>1</v>
      </c>
      <c r="N97" s="33">
        <f t="shared" si="8"/>
        <v>0</v>
      </c>
    </row>
    <row r="98" spans="1:14" x14ac:dyDescent="0.45">
      <c r="A98" s="27">
        <f>Master!A$6</f>
        <v>0</v>
      </c>
      <c r="B98" s="27">
        <f>Master!B$6</f>
        <v>0</v>
      </c>
      <c r="C98" s="27" t="str">
        <f>'Activity List'!A98</f>
        <v>T2-045</v>
      </c>
      <c r="D98" s="27" t="str">
        <f>'Activity List'!D98</f>
        <v>Farm Expansion</v>
      </c>
      <c r="E98" s="27" t="str">
        <f>'Activity List'!B98</f>
        <v>Tier 2 — Projects</v>
      </c>
      <c r="F98" s="27" t="str">
        <f>'Activity List'!E98</f>
        <v>project</v>
      </c>
      <c r="G98" s="42" t="str">
        <f>'Annual Election'!I101</f>
        <v>N</v>
      </c>
      <c r="H98" s="37"/>
      <c r="I98" s="34">
        <f>IFERROR(INDEX('Labor Rate Card'!$G$2:$G$135,MATCH(C98,'Labor Rate Card'!$A$2:$A$135,0)),0)</f>
        <v>0</v>
      </c>
      <c r="J98" s="33">
        <f t="shared" ref="J98:J129" si="9">IF(G98="Y",H98*I98,0)</f>
        <v>0</v>
      </c>
      <c r="K98" s="41">
        <f>'Annual Election'!E101</f>
        <v>0</v>
      </c>
      <c r="L98" s="41">
        <f>'Annual Election'!H101</f>
        <v>0</v>
      </c>
      <c r="M98" s="45">
        <f t="shared" ref="M98:M129" si="10">IF(OR(K98="",L98=""),"",ROUNDUP((L98-K98+1)/7,0))</f>
        <v>1</v>
      </c>
      <c r="N98" s="33">
        <f t="shared" ref="N98:N129" si="11">IF(OR(J98="",M98="",M98=0),0,J98/M98)</f>
        <v>0</v>
      </c>
    </row>
    <row r="99" spans="1:14" x14ac:dyDescent="0.45">
      <c r="A99" s="27">
        <f>Master!A$6</f>
        <v>0</v>
      </c>
      <c r="B99" s="27">
        <f>Master!B$6</f>
        <v>0</v>
      </c>
      <c r="C99" s="27" t="str">
        <f>'Activity List'!A99</f>
        <v>T2-046</v>
      </c>
      <c r="D99" s="27" t="str">
        <f>'Activity List'!D99</f>
        <v>New Planting Blocks</v>
      </c>
      <c r="E99" s="27" t="str">
        <f>'Activity List'!B99</f>
        <v>Tier 2 — Projects</v>
      </c>
      <c r="F99" s="27" t="str">
        <f>'Activity List'!E99</f>
        <v>project</v>
      </c>
      <c r="G99" s="42" t="str">
        <f>'Annual Election'!I102</f>
        <v>N</v>
      </c>
      <c r="H99" s="37"/>
      <c r="I99" s="34">
        <f>IFERROR(INDEX('Labor Rate Card'!$G$2:$G$135,MATCH(C99,'Labor Rate Card'!$A$2:$A$135,0)),0)</f>
        <v>0</v>
      </c>
      <c r="J99" s="33">
        <f t="shared" si="9"/>
        <v>0</v>
      </c>
      <c r="K99" s="41">
        <f>'Annual Election'!E102</f>
        <v>0</v>
      </c>
      <c r="L99" s="41">
        <f>'Annual Election'!H102</f>
        <v>0</v>
      </c>
      <c r="M99" s="45">
        <f t="shared" si="10"/>
        <v>1</v>
      </c>
      <c r="N99" s="33">
        <f t="shared" si="11"/>
        <v>0</v>
      </c>
    </row>
    <row r="100" spans="1:14" x14ac:dyDescent="0.45">
      <c r="A100" s="27">
        <f>Master!A$6</f>
        <v>0</v>
      </c>
      <c r="B100" s="27">
        <f>Master!B$6</f>
        <v>0</v>
      </c>
      <c r="C100" s="27" t="str">
        <f>'Activity List'!A100</f>
        <v>T2-047</v>
      </c>
      <c r="D100" s="27" t="str">
        <f>'Activity List'!D100</f>
        <v>Security Infrastructure (incl. Camp Monitoring)</v>
      </c>
      <c r="E100" s="27" t="str">
        <f>'Activity List'!B100</f>
        <v>Tier 2 — Projects</v>
      </c>
      <c r="F100" s="27" t="str">
        <f>'Activity List'!E100</f>
        <v>project</v>
      </c>
      <c r="G100" s="42" t="str">
        <f>'Annual Election'!I103</f>
        <v>N</v>
      </c>
      <c r="H100" s="37"/>
      <c r="I100" s="34">
        <f>IFERROR(INDEX('Labor Rate Card'!$G$2:$G$135,MATCH(C100,'Labor Rate Card'!$A$2:$A$135,0)),0)</f>
        <v>0</v>
      </c>
      <c r="J100" s="33">
        <f t="shared" si="9"/>
        <v>0</v>
      </c>
      <c r="K100" s="41">
        <f>'Annual Election'!E103</f>
        <v>0</v>
      </c>
      <c r="L100" s="41">
        <f>'Annual Election'!H103</f>
        <v>0</v>
      </c>
      <c r="M100" s="45">
        <f t="shared" si="10"/>
        <v>1</v>
      </c>
      <c r="N100" s="33">
        <f t="shared" si="11"/>
        <v>0</v>
      </c>
    </row>
    <row r="101" spans="1:14" x14ac:dyDescent="0.45">
      <c r="A101" s="27">
        <f>Master!A$6</f>
        <v>0</v>
      </c>
      <c r="B101" s="27">
        <f>Master!B$6</f>
        <v>0</v>
      </c>
      <c r="C101" s="27" t="str">
        <f>'Activity List'!A101</f>
        <v>T3-001</v>
      </c>
      <c r="D101" s="27" t="str">
        <f>'Activity List'!D101</f>
        <v>Investment Due Diligence</v>
      </c>
      <c r="E101" s="27" t="str">
        <f>'Activity List'!B101</f>
        <v>Tier 3 — Interventions</v>
      </c>
      <c r="F101" s="27" t="str">
        <f>'Activity List'!E101</f>
        <v>assignment</v>
      </c>
      <c r="G101" s="42" t="str">
        <f>'Annual Election'!I104</f>
        <v>N</v>
      </c>
      <c r="H101" s="37"/>
      <c r="I101" s="34">
        <f>IFERROR(INDEX('Labor Rate Card'!$G$2:$G$135,MATCH(C101,'Labor Rate Card'!$A$2:$A$135,0)),0)</f>
        <v>0</v>
      </c>
      <c r="J101" s="33">
        <f t="shared" si="9"/>
        <v>0</v>
      </c>
      <c r="K101" s="41">
        <f>'Annual Election'!E104</f>
        <v>0</v>
      </c>
      <c r="L101" s="41">
        <f>'Annual Election'!H104</f>
        <v>0</v>
      </c>
      <c r="M101" s="45">
        <f t="shared" si="10"/>
        <v>1</v>
      </c>
      <c r="N101" s="33">
        <f t="shared" si="11"/>
        <v>0</v>
      </c>
    </row>
    <row r="102" spans="1:14" x14ac:dyDescent="0.45">
      <c r="A102" s="27">
        <f>Master!A$6</f>
        <v>0</v>
      </c>
      <c r="B102" s="27">
        <f>Master!B$6</f>
        <v>0</v>
      </c>
      <c r="C102" s="27" t="str">
        <f>'Activity List'!A102</f>
        <v>T3-002</v>
      </c>
      <c r="D102" s="27" t="str">
        <f>'Activity List'!D102</f>
        <v>Technical Due Diligence</v>
      </c>
      <c r="E102" s="27" t="str">
        <f>'Activity List'!B102</f>
        <v>Tier 3 — Interventions</v>
      </c>
      <c r="F102" s="27" t="str">
        <f>'Activity List'!E102</f>
        <v>assignment</v>
      </c>
      <c r="G102" s="42" t="str">
        <f>'Annual Election'!I105</f>
        <v>N</v>
      </c>
      <c r="H102" s="37"/>
      <c r="I102" s="34">
        <f>IFERROR(INDEX('Labor Rate Card'!$G$2:$G$135,MATCH(C102,'Labor Rate Card'!$A$2:$A$135,0)),0)</f>
        <v>0</v>
      </c>
      <c r="J102" s="33">
        <f t="shared" si="9"/>
        <v>0</v>
      </c>
      <c r="K102" s="41">
        <f>'Annual Election'!E105</f>
        <v>0</v>
      </c>
      <c r="L102" s="41">
        <f>'Annual Election'!H105</f>
        <v>0</v>
      </c>
      <c r="M102" s="45">
        <f t="shared" si="10"/>
        <v>1</v>
      </c>
      <c r="N102" s="33">
        <f t="shared" si="11"/>
        <v>0</v>
      </c>
    </row>
    <row r="103" spans="1:14" x14ac:dyDescent="0.45">
      <c r="A103" s="27">
        <f>Master!A$6</f>
        <v>0</v>
      </c>
      <c r="B103" s="27">
        <f>Master!B$6</f>
        <v>0</v>
      </c>
      <c r="C103" s="27" t="str">
        <f>'Activity List'!A103</f>
        <v>T3-003</v>
      </c>
      <c r="D103" s="27" t="str">
        <f>'Activity List'!D103</f>
        <v>Turnaround Assessments</v>
      </c>
      <c r="E103" s="27" t="str">
        <f>'Activity List'!B103</f>
        <v>Tier 3 — Interventions</v>
      </c>
      <c r="F103" s="27" t="str">
        <f>'Activity List'!E103</f>
        <v>assignment</v>
      </c>
      <c r="G103" s="42" t="str">
        <f>'Annual Election'!I106</f>
        <v>N</v>
      </c>
      <c r="H103" s="37"/>
      <c r="I103" s="34">
        <f>IFERROR(INDEX('Labor Rate Card'!$G$2:$G$135,MATCH(C103,'Labor Rate Card'!$A$2:$A$135,0)),0)</f>
        <v>0</v>
      </c>
      <c r="J103" s="33">
        <f t="shared" si="9"/>
        <v>0</v>
      </c>
      <c r="K103" s="41">
        <f>'Annual Election'!E106</f>
        <v>0</v>
      </c>
      <c r="L103" s="41">
        <f>'Annual Election'!H106</f>
        <v>0</v>
      </c>
      <c r="M103" s="45">
        <f t="shared" si="10"/>
        <v>1</v>
      </c>
      <c r="N103" s="33">
        <f t="shared" si="11"/>
        <v>0</v>
      </c>
    </row>
    <row r="104" spans="1:14" x14ac:dyDescent="0.45">
      <c r="A104" s="27">
        <f>Master!A$6</f>
        <v>0</v>
      </c>
      <c r="B104" s="27">
        <f>Master!B$6</f>
        <v>0</v>
      </c>
      <c r="C104" s="27" t="str">
        <f>'Activity List'!A104</f>
        <v>T3-004</v>
      </c>
      <c r="D104" s="27" t="str">
        <f>'Activity List'!D104</f>
        <v>Strategic Reviews</v>
      </c>
      <c r="E104" s="27" t="str">
        <f>'Activity List'!B104</f>
        <v>Tier 3 — Interventions</v>
      </c>
      <c r="F104" s="27" t="str">
        <f>'Activity List'!E104</f>
        <v>assignment</v>
      </c>
      <c r="G104" s="42" t="str">
        <f>'Annual Election'!I107</f>
        <v>N</v>
      </c>
      <c r="H104" s="37"/>
      <c r="I104" s="34">
        <f>IFERROR(INDEX('Labor Rate Card'!$G$2:$G$135,MATCH(C104,'Labor Rate Card'!$A$2:$A$135,0)),0)</f>
        <v>0</v>
      </c>
      <c r="J104" s="33">
        <f t="shared" si="9"/>
        <v>0</v>
      </c>
      <c r="K104" s="41">
        <f>'Annual Election'!E107</f>
        <v>0</v>
      </c>
      <c r="L104" s="41">
        <f>'Annual Election'!H107</f>
        <v>0</v>
      </c>
      <c r="M104" s="45">
        <f t="shared" si="10"/>
        <v>1</v>
      </c>
      <c r="N104" s="33">
        <f t="shared" si="11"/>
        <v>0</v>
      </c>
    </row>
    <row r="105" spans="1:14" x14ac:dyDescent="0.45">
      <c r="A105" s="27">
        <f>Master!A$6</f>
        <v>0</v>
      </c>
      <c r="B105" s="27">
        <f>Master!B$6</f>
        <v>0</v>
      </c>
      <c r="C105" s="27" t="str">
        <f>'Activity List'!A105</f>
        <v>T3-005</v>
      </c>
      <c r="D105" s="27" t="str">
        <f>'Activity List'!D105</f>
        <v>Major Procurement</v>
      </c>
      <c r="E105" s="27" t="str">
        <f>'Activity List'!B105</f>
        <v>Tier 3 — Interventions</v>
      </c>
      <c r="F105" s="27" t="str">
        <f>'Activity List'!E105</f>
        <v>assignment</v>
      </c>
      <c r="G105" s="42" t="str">
        <f>'Annual Election'!I108</f>
        <v>N</v>
      </c>
      <c r="H105" s="37"/>
      <c r="I105" s="34">
        <f>IFERROR(INDEX('Labor Rate Card'!$G$2:$G$135,MATCH(C105,'Labor Rate Card'!$A$2:$A$135,0)),0)</f>
        <v>0</v>
      </c>
      <c r="J105" s="33">
        <f t="shared" si="9"/>
        <v>0</v>
      </c>
      <c r="K105" s="41">
        <f>'Annual Election'!E108</f>
        <v>0</v>
      </c>
      <c r="L105" s="41">
        <f>'Annual Election'!H108</f>
        <v>0</v>
      </c>
      <c r="M105" s="45">
        <f t="shared" si="10"/>
        <v>1</v>
      </c>
      <c r="N105" s="33">
        <f t="shared" si="11"/>
        <v>0</v>
      </c>
    </row>
    <row r="106" spans="1:14" x14ac:dyDescent="0.45">
      <c r="A106" s="27">
        <f>Master!A$6</f>
        <v>0</v>
      </c>
      <c r="B106" s="27">
        <f>Master!B$6</f>
        <v>0</v>
      </c>
      <c r="C106" s="27" t="str">
        <f>'Activity List'!A106</f>
        <v>T3-006</v>
      </c>
      <c r="D106" s="27" t="str">
        <f>'Activity List'!D106</f>
        <v>Organisational Reviews</v>
      </c>
      <c r="E106" s="27" t="str">
        <f>'Activity List'!B106</f>
        <v>Tier 3 — Interventions</v>
      </c>
      <c r="F106" s="27" t="str">
        <f>'Activity List'!E106</f>
        <v>assignment</v>
      </c>
      <c r="G106" s="42" t="str">
        <f>'Annual Election'!I109</f>
        <v>N</v>
      </c>
      <c r="H106" s="37"/>
      <c r="I106" s="34">
        <f>IFERROR(INDEX('Labor Rate Card'!$G$2:$G$135,MATCH(C106,'Labor Rate Card'!$A$2:$A$135,0)),0)</f>
        <v>0</v>
      </c>
      <c r="J106" s="33">
        <f t="shared" si="9"/>
        <v>0</v>
      </c>
      <c r="K106" s="41">
        <f>'Annual Election'!E109</f>
        <v>0</v>
      </c>
      <c r="L106" s="41">
        <f>'Annual Election'!H109</f>
        <v>0</v>
      </c>
      <c r="M106" s="45">
        <f t="shared" si="10"/>
        <v>1</v>
      </c>
      <c r="N106" s="33">
        <f t="shared" si="11"/>
        <v>0</v>
      </c>
    </row>
    <row r="107" spans="1:14" x14ac:dyDescent="0.45">
      <c r="A107" s="27">
        <f>Master!A$6</f>
        <v>0</v>
      </c>
      <c r="B107" s="27">
        <f>Master!B$6</f>
        <v>0</v>
      </c>
      <c r="C107" s="27" t="str">
        <f>'Activity List'!A107</f>
        <v>T3-007</v>
      </c>
      <c r="D107" s="27" t="str">
        <f>'Activity List'!D107</f>
        <v>Performance Audits</v>
      </c>
      <c r="E107" s="27" t="str">
        <f>'Activity List'!B107</f>
        <v>Tier 3 — Interventions</v>
      </c>
      <c r="F107" s="27" t="str">
        <f>'Activity List'!E107</f>
        <v>assignment</v>
      </c>
      <c r="G107" s="42" t="str">
        <f>'Annual Election'!I110</f>
        <v>N</v>
      </c>
      <c r="H107" s="37"/>
      <c r="I107" s="34">
        <f>IFERROR(INDEX('Labor Rate Card'!$G$2:$G$135,MATCH(C107,'Labor Rate Card'!$A$2:$A$135,0)),0)</f>
        <v>0</v>
      </c>
      <c r="J107" s="33">
        <f t="shared" si="9"/>
        <v>0</v>
      </c>
      <c r="K107" s="41">
        <f>'Annual Election'!E110</f>
        <v>0</v>
      </c>
      <c r="L107" s="41">
        <f>'Annual Election'!H110</f>
        <v>0</v>
      </c>
      <c r="M107" s="45">
        <f t="shared" si="10"/>
        <v>1</v>
      </c>
      <c r="N107" s="33">
        <f t="shared" si="11"/>
        <v>0</v>
      </c>
    </row>
    <row r="108" spans="1:14" x14ac:dyDescent="0.45">
      <c r="A108" s="27">
        <f>Master!A$6</f>
        <v>0</v>
      </c>
      <c r="B108" s="27">
        <f>Master!B$6</f>
        <v>0</v>
      </c>
      <c r="C108" s="27" t="str">
        <f>'Activity List'!A108</f>
        <v>T3-008</v>
      </c>
      <c r="D108" s="27" t="str">
        <f>'Activity List'!D108</f>
        <v>Recruitment Support</v>
      </c>
      <c r="E108" s="27" t="str">
        <f>'Activity List'!B108</f>
        <v>Tier 3 — Interventions</v>
      </c>
      <c r="F108" s="27" t="str">
        <f>'Activity List'!E108</f>
        <v>assignment</v>
      </c>
      <c r="G108" s="42" t="str">
        <f>'Annual Election'!I111</f>
        <v>N</v>
      </c>
      <c r="H108" s="37"/>
      <c r="I108" s="34">
        <f>IFERROR(INDEX('Labor Rate Card'!$G$2:$G$135,MATCH(C108,'Labor Rate Card'!$A$2:$A$135,0)),0)</f>
        <v>0</v>
      </c>
      <c r="J108" s="33">
        <f t="shared" si="9"/>
        <v>0</v>
      </c>
      <c r="K108" s="41">
        <f>'Annual Election'!E111</f>
        <v>0</v>
      </c>
      <c r="L108" s="41">
        <f>'Annual Election'!H111</f>
        <v>0</v>
      </c>
      <c r="M108" s="45">
        <f t="shared" si="10"/>
        <v>1</v>
      </c>
      <c r="N108" s="33">
        <f t="shared" si="11"/>
        <v>0</v>
      </c>
    </row>
    <row r="109" spans="1:14" x14ac:dyDescent="0.45">
      <c r="A109" s="27">
        <f>Master!A$6</f>
        <v>0</v>
      </c>
      <c r="B109" s="27">
        <f>Master!B$6</f>
        <v>0</v>
      </c>
      <c r="C109" s="27" t="str">
        <f>'Activity List'!A109</f>
        <v>T3-009</v>
      </c>
      <c r="D109" s="27" t="str">
        <f>'Activity List'!D109</f>
        <v>Regulatory Coordination and Monitoring</v>
      </c>
      <c r="E109" s="27" t="str">
        <f>'Activity List'!B109</f>
        <v>Tier 3 — Interventions</v>
      </c>
      <c r="F109" s="27" t="str">
        <f>'Activity List'!E109</f>
        <v>assignment</v>
      </c>
      <c r="G109" s="42" t="str">
        <f>'Annual Election'!I112</f>
        <v>N</v>
      </c>
      <c r="H109" s="37"/>
      <c r="I109" s="34">
        <f>IFERROR(INDEX('Labor Rate Card'!$G$2:$G$135,MATCH(C109,'Labor Rate Card'!$A$2:$A$135,0)),0)</f>
        <v>0</v>
      </c>
      <c r="J109" s="33">
        <f t="shared" si="9"/>
        <v>0</v>
      </c>
      <c r="K109" s="41">
        <f>'Annual Election'!E112</f>
        <v>0</v>
      </c>
      <c r="L109" s="41">
        <f>'Annual Election'!H112</f>
        <v>0</v>
      </c>
      <c r="M109" s="45">
        <f t="shared" si="10"/>
        <v>1</v>
      </c>
      <c r="N109" s="33">
        <f t="shared" si="11"/>
        <v>0</v>
      </c>
    </row>
    <row r="110" spans="1:14" x14ac:dyDescent="0.45">
      <c r="A110" s="27">
        <f>Master!A$6</f>
        <v>0</v>
      </c>
      <c r="B110" s="27">
        <f>Master!B$6</f>
        <v>0</v>
      </c>
      <c r="C110" s="27" t="str">
        <f>'Activity List'!A110</f>
        <v>T3-010</v>
      </c>
      <c r="D110" s="27" t="str">
        <f>'Activity List'!D110</f>
        <v>Security Assessments</v>
      </c>
      <c r="E110" s="27" t="str">
        <f>'Activity List'!B110</f>
        <v>Tier 3 — Interventions</v>
      </c>
      <c r="F110" s="27" t="str">
        <f>'Activity List'!E110</f>
        <v>assignment</v>
      </c>
      <c r="G110" s="42" t="str">
        <f>'Annual Election'!I113</f>
        <v>N</v>
      </c>
      <c r="H110" s="37"/>
      <c r="I110" s="34">
        <f>IFERROR(INDEX('Labor Rate Card'!$G$2:$G$135,MATCH(C110,'Labor Rate Card'!$A$2:$A$135,0)),0)</f>
        <v>0</v>
      </c>
      <c r="J110" s="33">
        <f t="shared" si="9"/>
        <v>0</v>
      </c>
      <c r="K110" s="41">
        <f>'Annual Election'!E113</f>
        <v>0</v>
      </c>
      <c r="L110" s="41">
        <f>'Annual Election'!H113</f>
        <v>0</v>
      </c>
      <c r="M110" s="45">
        <f t="shared" si="10"/>
        <v>1</v>
      </c>
      <c r="N110" s="33">
        <f t="shared" si="11"/>
        <v>0</v>
      </c>
    </row>
    <row r="111" spans="1:14" x14ac:dyDescent="0.45">
      <c r="A111" s="27">
        <f>Master!A$6</f>
        <v>0</v>
      </c>
      <c r="B111" s="27">
        <f>Master!B$6</f>
        <v>0</v>
      </c>
      <c r="C111" s="27" t="str">
        <f>'Activity List'!A111</f>
        <v>T3-011</v>
      </c>
      <c r="D111" s="27" t="str">
        <f>'Activity List'!D111</f>
        <v>Special Investigations</v>
      </c>
      <c r="E111" s="27" t="str">
        <f>'Activity List'!B111</f>
        <v>Tier 3 — Interventions</v>
      </c>
      <c r="F111" s="27" t="str">
        <f>'Activity List'!E111</f>
        <v>assignment</v>
      </c>
      <c r="G111" s="42" t="str">
        <f>'Annual Election'!I114</f>
        <v>N</v>
      </c>
      <c r="H111" s="37"/>
      <c r="I111" s="34">
        <f>IFERROR(INDEX('Labor Rate Card'!$G$2:$G$135,MATCH(C111,'Labor Rate Card'!$A$2:$A$135,0)),0)</f>
        <v>0</v>
      </c>
      <c r="J111" s="33">
        <f t="shared" si="9"/>
        <v>0</v>
      </c>
      <c r="K111" s="41">
        <f>'Annual Election'!E114</f>
        <v>0</v>
      </c>
      <c r="L111" s="41">
        <f>'Annual Election'!H114</f>
        <v>0</v>
      </c>
      <c r="M111" s="45">
        <f t="shared" si="10"/>
        <v>1</v>
      </c>
      <c r="N111" s="33">
        <f t="shared" si="11"/>
        <v>0</v>
      </c>
    </row>
    <row r="112" spans="1:14" x14ac:dyDescent="0.45">
      <c r="A112" s="27">
        <f>Master!A$6</f>
        <v>0</v>
      </c>
      <c r="B112" s="27">
        <f>Master!B$6</f>
        <v>0</v>
      </c>
      <c r="C112" s="27" t="str">
        <f>'Activity List'!A112</f>
        <v>T3-012</v>
      </c>
      <c r="D112" s="27" t="str">
        <f>'Activity List'!D112</f>
        <v>Board Reporting</v>
      </c>
      <c r="E112" s="27" t="str">
        <f>'Activity List'!B112</f>
        <v>Tier 3 — Interventions</v>
      </c>
      <c r="F112" s="27" t="str">
        <f>'Activity List'!E112</f>
        <v>assignment</v>
      </c>
      <c r="G112" s="42" t="str">
        <f>'Annual Election'!I115</f>
        <v>N</v>
      </c>
      <c r="H112" s="37"/>
      <c r="I112" s="34">
        <f>IFERROR(INDEX('Labor Rate Card'!$G$2:$G$135,MATCH(C112,'Labor Rate Card'!$A$2:$A$135,0)),0)</f>
        <v>0</v>
      </c>
      <c r="J112" s="33">
        <f t="shared" si="9"/>
        <v>0</v>
      </c>
      <c r="K112" s="41">
        <f>'Annual Election'!E115</f>
        <v>0</v>
      </c>
      <c r="L112" s="41">
        <f>'Annual Election'!H115</f>
        <v>0</v>
      </c>
      <c r="M112" s="45">
        <f t="shared" si="10"/>
        <v>1</v>
      </c>
      <c r="N112" s="33">
        <f t="shared" si="11"/>
        <v>0</v>
      </c>
    </row>
    <row r="113" spans="1:14" x14ac:dyDescent="0.45">
      <c r="A113" s="27">
        <f>Master!A$6</f>
        <v>0</v>
      </c>
      <c r="B113" s="27">
        <f>Master!B$6</f>
        <v>0</v>
      </c>
      <c r="C113" s="27" t="str">
        <f>'Activity List'!A113</f>
        <v>T3-013</v>
      </c>
      <c r="D113" s="27" t="str">
        <f>'Activity List'!D113</f>
        <v>Investor Reporting</v>
      </c>
      <c r="E113" s="27" t="str">
        <f>'Activity List'!B113</f>
        <v>Tier 3 — Interventions</v>
      </c>
      <c r="F113" s="27" t="str">
        <f>'Activity List'!E113</f>
        <v>assignment</v>
      </c>
      <c r="G113" s="42" t="str">
        <f>'Annual Election'!I116</f>
        <v>N</v>
      </c>
      <c r="H113" s="37"/>
      <c r="I113" s="34">
        <f>IFERROR(INDEX('Labor Rate Card'!$G$2:$G$135,MATCH(C113,'Labor Rate Card'!$A$2:$A$135,0)),0)</f>
        <v>0</v>
      </c>
      <c r="J113" s="33">
        <f t="shared" si="9"/>
        <v>0</v>
      </c>
      <c r="K113" s="41">
        <f>'Annual Election'!E116</f>
        <v>0</v>
      </c>
      <c r="L113" s="41">
        <f>'Annual Election'!H116</f>
        <v>0</v>
      </c>
      <c r="M113" s="45">
        <f t="shared" si="10"/>
        <v>1</v>
      </c>
      <c r="N113" s="33">
        <f t="shared" si="11"/>
        <v>0</v>
      </c>
    </row>
    <row r="114" spans="1:14" x14ac:dyDescent="0.45">
      <c r="A114" s="27">
        <f>Master!A$6</f>
        <v>0</v>
      </c>
      <c r="B114" s="27">
        <f>Master!B$6</f>
        <v>0</v>
      </c>
      <c r="C114" s="27" t="str">
        <f>'Activity List'!A114</f>
        <v>T3-014</v>
      </c>
      <c r="D114" s="27" t="str">
        <f>'Activity List'!D114</f>
        <v>Staff Capability Development</v>
      </c>
      <c r="E114" s="27" t="str">
        <f>'Activity List'!B114</f>
        <v>Tier 3 — Interventions</v>
      </c>
      <c r="F114" s="27" t="str">
        <f>'Activity List'!E114</f>
        <v>assignment</v>
      </c>
      <c r="G114" s="42" t="str">
        <f>'Annual Election'!I117</f>
        <v>N</v>
      </c>
      <c r="H114" s="37"/>
      <c r="I114" s="34">
        <f>IFERROR(INDEX('Labor Rate Card'!$G$2:$G$135,MATCH(C114,'Labor Rate Card'!$A$2:$A$135,0)),0)</f>
        <v>0</v>
      </c>
      <c r="J114" s="33">
        <f t="shared" si="9"/>
        <v>0</v>
      </c>
      <c r="K114" s="41">
        <f>'Annual Election'!E117</f>
        <v>0</v>
      </c>
      <c r="L114" s="41">
        <f>'Annual Election'!H117</f>
        <v>0</v>
      </c>
      <c r="M114" s="45">
        <f t="shared" si="10"/>
        <v>1</v>
      </c>
      <c r="N114" s="33">
        <f t="shared" si="11"/>
        <v>0</v>
      </c>
    </row>
    <row r="115" spans="1:14" x14ac:dyDescent="0.45">
      <c r="A115" s="27">
        <f>Master!A$6</f>
        <v>0</v>
      </c>
      <c r="B115" s="27">
        <f>Master!B$6</f>
        <v>0</v>
      </c>
      <c r="C115" s="27" t="str">
        <f>'Activity List'!A115</f>
        <v>T3-015</v>
      </c>
      <c r="D115" s="27" t="str">
        <f>'Activity List'!D115</f>
        <v>Operational Benchmarking</v>
      </c>
      <c r="E115" s="27" t="str">
        <f>'Activity List'!B115</f>
        <v>Tier 3 — Interventions</v>
      </c>
      <c r="F115" s="27" t="str">
        <f>'Activity List'!E115</f>
        <v>assignment</v>
      </c>
      <c r="G115" s="42" t="str">
        <f>'Annual Election'!I118</f>
        <v>N</v>
      </c>
      <c r="H115" s="37"/>
      <c r="I115" s="34">
        <f>IFERROR(INDEX('Labor Rate Card'!$G$2:$G$135,MATCH(C115,'Labor Rate Card'!$A$2:$A$135,0)),0)</f>
        <v>0</v>
      </c>
      <c r="J115" s="33">
        <f t="shared" si="9"/>
        <v>0</v>
      </c>
      <c r="K115" s="41">
        <f>'Annual Election'!E118</f>
        <v>0</v>
      </c>
      <c r="L115" s="41">
        <f>'Annual Election'!H118</f>
        <v>0</v>
      </c>
      <c r="M115" s="45">
        <f t="shared" si="10"/>
        <v>1</v>
      </c>
      <c r="N115" s="33">
        <f t="shared" si="11"/>
        <v>0</v>
      </c>
    </row>
    <row r="116" spans="1:14" x14ac:dyDescent="0.45">
      <c r="A116" s="27">
        <f>Master!A$6</f>
        <v>0</v>
      </c>
      <c r="B116" s="27">
        <f>Master!B$6</f>
        <v>0</v>
      </c>
      <c r="C116" s="27" t="str">
        <f>'Activity List'!A116</f>
        <v>T3-016</v>
      </c>
      <c r="D116" s="27" t="str">
        <f>'Activity List'!D116</f>
        <v>Feasibility Studies</v>
      </c>
      <c r="E116" s="27" t="str">
        <f>'Activity List'!B116</f>
        <v>Tier 3 — Interventions</v>
      </c>
      <c r="F116" s="27" t="str">
        <f>'Activity List'!E116</f>
        <v>assignment</v>
      </c>
      <c r="G116" s="42" t="str">
        <f>'Annual Election'!I119</f>
        <v>N</v>
      </c>
      <c r="H116" s="37"/>
      <c r="I116" s="34">
        <f>IFERROR(INDEX('Labor Rate Card'!$G$2:$G$135,MATCH(C116,'Labor Rate Card'!$A$2:$A$135,0)),0)</f>
        <v>0</v>
      </c>
      <c r="J116" s="33">
        <f t="shared" si="9"/>
        <v>0</v>
      </c>
      <c r="K116" s="41">
        <f>'Annual Election'!E119</f>
        <v>0</v>
      </c>
      <c r="L116" s="41">
        <f>'Annual Election'!H119</f>
        <v>0</v>
      </c>
      <c r="M116" s="45">
        <f t="shared" si="10"/>
        <v>1</v>
      </c>
      <c r="N116" s="33">
        <f t="shared" si="11"/>
        <v>0</v>
      </c>
    </row>
    <row r="117" spans="1:14" x14ac:dyDescent="0.45">
      <c r="A117" s="27">
        <f>Master!A$6</f>
        <v>0</v>
      </c>
      <c r="B117" s="27">
        <f>Master!B$6</f>
        <v>0</v>
      </c>
      <c r="C117" s="27" t="str">
        <f>'Activity List'!A117</f>
        <v>T3-017</v>
      </c>
      <c r="D117" s="27" t="str">
        <f>'Activity List'!D117</f>
        <v>Owner Representation</v>
      </c>
      <c r="E117" s="27" t="str">
        <f>'Activity List'!B117</f>
        <v>Tier 3 — Interventions</v>
      </c>
      <c r="F117" s="27" t="str">
        <f>'Activity List'!E117</f>
        <v>assignment</v>
      </c>
      <c r="G117" s="42" t="str">
        <f>'Annual Election'!I120</f>
        <v>N</v>
      </c>
      <c r="H117" s="37"/>
      <c r="I117" s="34">
        <f>IFERROR(INDEX('Labor Rate Card'!$G$2:$G$135,MATCH(C117,'Labor Rate Card'!$A$2:$A$135,0)),0)</f>
        <v>0</v>
      </c>
      <c r="J117" s="33">
        <f t="shared" si="9"/>
        <v>0</v>
      </c>
      <c r="K117" s="41">
        <f>'Annual Election'!E120</f>
        <v>0</v>
      </c>
      <c r="L117" s="41">
        <f>'Annual Election'!H120</f>
        <v>0</v>
      </c>
      <c r="M117" s="45">
        <f t="shared" si="10"/>
        <v>1</v>
      </c>
      <c r="N117" s="33">
        <f t="shared" si="11"/>
        <v>0</v>
      </c>
    </row>
    <row r="118" spans="1:14" x14ac:dyDescent="0.45">
      <c r="A118" s="27">
        <f>Master!A$6</f>
        <v>0</v>
      </c>
      <c r="B118" s="27">
        <f>Master!B$6</f>
        <v>0</v>
      </c>
      <c r="C118" s="27" t="str">
        <f>'Activity List'!A118</f>
        <v>T3-018</v>
      </c>
      <c r="D118" s="27" t="str">
        <f>'Activity List'!D118</f>
        <v>Coordination of Legal Advisers</v>
      </c>
      <c r="E118" s="27" t="str">
        <f>'Activity List'!B118</f>
        <v>Tier 3 — Interventions</v>
      </c>
      <c r="F118" s="27" t="str">
        <f>'Activity List'!E118</f>
        <v>assignment</v>
      </c>
      <c r="G118" s="42" t="str">
        <f>'Annual Election'!I121</f>
        <v>N</v>
      </c>
      <c r="H118" s="37"/>
      <c r="I118" s="34">
        <f>IFERROR(INDEX('Labor Rate Card'!$G$2:$G$135,MATCH(C118,'Labor Rate Card'!$A$2:$A$135,0)),0)</f>
        <v>0</v>
      </c>
      <c r="J118" s="33">
        <f t="shared" si="9"/>
        <v>0</v>
      </c>
      <c r="K118" s="41">
        <f>'Annual Election'!E121</f>
        <v>0</v>
      </c>
      <c r="L118" s="41">
        <f>'Annual Election'!H121</f>
        <v>0</v>
      </c>
      <c r="M118" s="45">
        <f t="shared" si="10"/>
        <v>1</v>
      </c>
      <c r="N118" s="33">
        <f t="shared" si="11"/>
        <v>0</v>
      </c>
    </row>
    <row r="119" spans="1:14" x14ac:dyDescent="0.45">
      <c r="A119" s="27">
        <f>Master!A$6</f>
        <v>0</v>
      </c>
      <c r="B119" s="27">
        <f>Master!B$6</f>
        <v>0</v>
      </c>
      <c r="C119" s="27" t="str">
        <f>'Activity List'!A119</f>
        <v>T3-019</v>
      </c>
      <c r="D119" s="27" t="str">
        <f>'Activity List'!D119</f>
        <v>Coordination of Tax Advisers</v>
      </c>
      <c r="E119" s="27" t="str">
        <f>'Activity List'!B119</f>
        <v>Tier 3 — Interventions</v>
      </c>
      <c r="F119" s="27" t="str">
        <f>'Activity List'!E119</f>
        <v>assignment</v>
      </c>
      <c r="G119" s="42" t="str">
        <f>'Annual Election'!I122</f>
        <v>N</v>
      </c>
      <c r="H119" s="37"/>
      <c r="I119" s="34">
        <f>IFERROR(INDEX('Labor Rate Card'!$G$2:$G$135,MATCH(C119,'Labor Rate Card'!$A$2:$A$135,0)),0)</f>
        <v>0</v>
      </c>
      <c r="J119" s="33">
        <f t="shared" si="9"/>
        <v>0</v>
      </c>
      <c r="K119" s="41">
        <f>'Annual Election'!E122</f>
        <v>0</v>
      </c>
      <c r="L119" s="41">
        <f>'Annual Election'!H122</f>
        <v>0</v>
      </c>
      <c r="M119" s="45">
        <f t="shared" si="10"/>
        <v>1</v>
      </c>
      <c r="N119" s="33">
        <f t="shared" si="11"/>
        <v>0</v>
      </c>
    </row>
    <row r="120" spans="1:14" x14ac:dyDescent="0.45">
      <c r="A120" s="27">
        <f>Master!A$6</f>
        <v>0</v>
      </c>
      <c r="B120" s="27">
        <f>Master!B$6</f>
        <v>0</v>
      </c>
      <c r="C120" s="27" t="str">
        <f>'Activity List'!A120</f>
        <v>T3-020</v>
      </c>
      <c r="D120" s="27" t="str">
        <f>'Activity List'!D120</f>
        <v>Governance Oversight</v>
      </c>
      <c r="E120" s="27" t="str">
        <f>'Activity List'!B120</f>
        <v>Tier 3 — Interventions</v>
      </c>
      <c r="F120" s="27" t="str">
        <f>'Activity List'!E120</f>
        <v>assignment</v>
      </c>
      <c r="G120" s="42" t="str">
        <f>'Annual Election'!I123</f>
        <v>N</v>
      </c>
      <c r="H120" s="37"/>
      <c r="I120" s="34">
        <f>IFERROR(INDEX('Labor Rate Card'!$G$2:$G$135,MATCH(C120,'Labor Rate Card'!$A$2:$A$135,0)),0)</f>
        <v>0</v>
      </c>
      <c r="J120" s="33">
        <f t="shared" si="9"/>
        <v>0</v>
      </c>
      <c r="K120" s="41">
        <f>'Annual Election'!E123</f>
        <v>0</v>
      </c>
      <c r="L120" s="41">
        <f>'Annual Election'!H123</f>
        <v>0</v>
      </c>
      <c r="M120" s="45">
        <f t="shared" si="10"/>
        <v>1</v>
      </c>
      <c r="N120" s="33">
        <f t="shared" si="11"/>
        <v>0</v>
      </c>
    </row>
    <row r="121" spans="1:14" x14ac:dyDescent="0.45">
      <c r="A121" s="27">
        <f>Master!A$6</f>
        <v>0</v>
      </c>
      <c r="B121" s="27">
        <f>Master!B$6</f>
        <v>0</v>
      </c>
      <c r="C121" s="27" t="str">
        <f>'Activity List'!A121</f>
        <v>T3-021</v>
      </c>
      <c r="D121" s="27" t="str">
        <f>'Activity List'!D121</f>
        <v>Debt Raising Support</v>
      </c>
      <c r="E121" s="27" t="str">
        <f>'Activity List'!B121</f>
        <v>Tier 3 — Interventions</v>
      </c>
      <c r="F121" s="27" t="str">
        <f>'Activity List'!E121</f>
        <v>assignment</v>
      </c>
      <c r="G121" s="42" t="str">
        <f>'Annual Election'!I124</f>
        <v>N</v>
      </c>
      <c r="H121" s="37"/>
      <c r="I121" s="34">
        <f>IFERROR(INDEX('Labor Rate Card'!$G$2:$G$135,MATCH(C121,'Labor Rate Card'!$A$2:$A$135,0)),0)</f>
        <v>0</v>
      </c>
      <c r="J121" s="33">
        <f t="shared" si="9"/>
        <v>0</v>
      </c>
      <c r="K121" s="41">
        <f>'Annual Election'!E124</f>
        <v>0</v>
      </c>
      <c r="L121" s="41">
        <f>'Annual Election'!H124</f>
        <v>0</v>
      </c>
      <c r="M121" s="45">
        <f t="shared" si="10"/>
        <v>1</v>
      </c>
      <c r="N121" s="33">
        <f t="shared" si="11"/>
        <v>0</v>
      </c>
    </row>
    <row r="122" spans="1:14" x14ac:dyDescent="0.45">
      <c r="A122" s="27">
        <f>Master!A$6</f>
        <v>0</v>
      </c>
      <c r="B122" s="27">
        <f>Master!B$6</f>
        <v>0</v>
      </c>
      <c r="C122" s="27" t="str">
        <f>'Activity List'!A122</f>
        <v>T3-022</v>
      </c>
      <c r="D122" s="27" t="str">
        <f>'Activity List'!D122</f>
        <v>Lender Coordination</v>
      </c>
      <c r="E122" s="27" t="str">
        <f>'Activity List'!B122</f>
        <v>Tier 3 — Interventions</v>
      </c>
      <c r="F122" s="27" t="str">
        <f>'Activity List'!E122</f>
        <v>assignment</v>
      </c>
      <c r="G122" s="42" t="str">
        <f>'Annual Election'!I125</f>
        <v>N</v>
      </c>
      <c r="H122" s="37"/>
      <c r="I122" s="34">
        <f>IFERROR(INDEX('Labor Rate Card'!$G$2:$G$135,MATCH(C122,'Labor Rate Card'!$A$2:$A$135,0)),0)</f>
        <v>0</v>
      </c>
      <c r="J122" s="33">
        <f t="shared" si="9"/>
        <v>0</v>
      </c>
      <c r="K122" s="41">
        <f>'Annual Election'!E125</f>
        <v>0</v>
      </c>
      <c r="L122" s="41">
        <f>'Annual Election'!H125</f>
        <v>0</v>
      </c>
      <c r="M122" s="45">
        <f t="shared" si="10"/>
        <v>1</v>
      </c>
      <c r="N122" s="33">
        <f t="shared" si="11"/>
        <v>0</v>
      </c>
    </row>
    <row r="123" spans="1:14" x14ac:dyDescent="0.45">
      <c r="A123" s="27">
        <f>Master!A$6</f>
        <v>0</v>
      </c>
      <c r="B123" s="27">
        <f>Master!B$6</f>
        <v>0</v>
      </c>
      <c r="C123" s="27" t="str">
        <f>'Activity List'!A123</f>
        <v>T3-023</v>
      </c>
      <c r="D123" s="27" t="str">
        <f>'Activity List'!D123</f>
        <v>Strategic Stakeholder Engagement</v>
      </c>
      <c r="E123" s="27" t="str">
        <f>'Activity List'!B123</f>
        <v>Tier 3 — Interventions</v>
      </c>
      <c r="F123" s="27" t="str">
        <f>'Activity List'!E123</f>
        <v>assignment</v>
      </c>
      <c r="G123" s="42" t="str">
        <f>'Annual Election'!I126</f>
        <v>N</v>
      </c>
      <c r="H123" s="37"/>
      <c r="I123" s="34">
        <f>IFERROR(INDEX('Labor Rate Card'!$G$2:$G$135,MATCH(C123,'Labor Rate Card'!$A$2:$A$135,0)),0)</f>
        <v>0</v>
      </c>
      <c r="J123" s="33">
        <f t="shared" si="9"/>
        <v>0</v>
      </c>
      <c r="K123" s="41">
        <f>'Annual Election'!E126</f>
        <v>0</v>
      </c>
      <c r="L123" s="41">
        <f>'Annual Election'!H126</f>
        <v>0</v>
      </c>
      <c r="M123" s="45">
        <f t="shared" si="10"/>
        <v>1</v>
      </c>
      <c r="N123" s="33">
        <f t="shared" si="11"/>
        <v>0</v>
      </c>
    </row>
    <row r="124" spans="1:14" x14ac:dyDescent="0.45">
      <c r="A124" s="27">
        <f>Master!A$6</f>
        <v>0</v>
      </c>
      <c r="B124" s="27">
        <f>Master!B$6</f>
        <v>0</v>
      </c>
      <c r="C124" s="27" t="str">
        <f>'Activity List'!A124</f>
        <v>T3-024</v>
      </c>
      <c r="D124" s="27" t="str">
        <f>'Activity List'!D124</f>
        <v>Reputation Management</v>
      </c>
      <c r="E124" s="27" t="str">
        <f>'Activity List'!B124</f>
        <v>Tier 3 — Interventions</v>
      </c>
      <c r="F124" s="27" t="str">
        <f>'Activity List'!E124</f>
        <v>assignment</v>
      </c>
      <c r="G124" s="42" t="str">
        <f>'Annual Election'!I127</f>
        <v>N</v>
      </c>
      <c r="H124" s="37"/>
      <c r="I124" s="34">
        <f>IFERROR(INDEX('Labor Rate Card'!$G$2:$G$135,MATCH(C124,'Labor Rate Card'!$A$2:$A$135,0)),0)</f>
        <v>0</v>
      </c>
      <c r="J124" s="33">
        <f t="shared" si="9"/>
        <v>0</v>
      </c>
      <c r="K124" s="41">
        <f>'Annual Election'!E127</f>
        <v>0</v>
      </c>
      <c r="L124" s="41">
        <f>'Annual Election'!H127</f>
        <v>0</v>
      </c>
      <c r="M124" s="45">
        <f t="shared" si="10"/>
        <v>1</v>
      </c>
      <c r="N124" s="33">
        <f t="shared" si="11"/>
        <v>0</v>
      </c>
    </row>
    <row r="125" spans="1:14" x14ac:dyDescent="0.45">
      <c r="A125" s="27">
        <f>Master!A$6</f>
        <v>0</v>
      </c>
      <c r="B125" s="27">
        <f>Master!B$6</f>
        <v>0</v>
      </c>
      <c r="C125" s="27" t="str">
        <f>'Activity List'!A125</f>
        <v>T3-025</v>
      </c>
      <c r="D125" s="27" t="str">
        <f>'Activity List'!D125</f>
        <v>Strategic Reporting</v>
      </c>
      <c r="E125" s="27" t="str">
        <f>'Activity List'!B125</f>
        <v>Tier 3 — Interventions</v>
      </c>
      <c r="F125" s="27" t="str">
        <f>'Activity List'!E125</f>
        <v>assignment</v>
      </c>
      <c r="G125" s="42" t="str">
        <f>'Annual Election'!I128</f>
        <v>N</v>
      </c>
      <c r="H125" s="37"/>
      <c r="I125" s="34">
        <f>IFERROR(INDEX('Labor Rate Card'!$G$2:$G$135,MATCH(C125,'Labor Rate Card'!$A$2:$A$135,0)),0)</f>
        <v>0</v>
      </c>
      <c r="J125" s="33">
        <f t="shared" si="9"/>
        <v>0</v>
      </c>
      <c r="K125" s="41">
        <f>'Annual Election'!E128</f>
        <v>0</v>
      </c>
      <c r="L125" s="41">
        <f>'Annual Election'!H128</f>
        <v>0</v>
      </c>
      <c r="M125" s="45">
        <f t="shared" si="10"/>
        <v>1</v>
      </c>
      <c r="N125" s="33">
        <f t="shared" si="11"/>
        <v>0</v>
      </c>
    </row>
    <row r="126" spans="1:14" x14ac:dyDescent="0.45">
      <c r="A126" s="27">
        <f>Master!A$6</f>
        <v>0</v>
      </c>
      <c r="B126" s="27">
        <f>Master!B$6</f>
        <v>0</v>
      </c>
      <c r="C126" s="27" t="str">
        <f>'Activity List'!A126</f>
        <v>T3-026</v>
      </c>
      <c r="D126" s="27" t="str">
        <f>'Activity List'!D126</f>
        <v>Coordination of Specialist Advisers</v>
      </c>
      <c r="E126" s="27" t="str">
        <f>'Activity List'!B126</f>
        <v>Tier 3 — Interventions</v>
      </c>
      <c r="F126" s="27" t="str">
        <f>'Activity List'!E126</f>
        <v>assignment</v>
      </c>
      <c r="G126" s="42" t="str">
        <f>'Annual Election'!I129</f>
        <v>N</v>
      </c>
      <c r="H126" s="37"/>
      <c r="I126" s="34">
        <f>IFERROR(INDEX('Labor Rate Card'!$G$2:$G$135,MATCH(C126,'Labor Rate Card'!$A$2:$A$135,0)),0)</f>
        <v>0</v>
      </c>
      <c r="J126" s="33">
        <f t="shared" si="9"/>
        <v>0</v>
      </c>
      <c r="K126" s="41">
        <f>'Annual Election'!E129</f>
        <v>0</v>
      </c>
      <c r="L126" s="41">
        <f>'Annual Election'!H129</f>
        <v>0</v>
      </c>
      <c r="M126" s="45">
        <f t="shared" si="10"/>
        <v>1</v>
      </c>
      <c r="N126" s="33">
        <f t="shared" si="11"/>
        <v>0</v>
      </c>
    </row>
    <row r="127" spans="1:14" x14ac:dyDescent="0.45">
      <c r="A127" s="27">
        <f>Master!A$6</f>
        <v>0</v>
      </c>
      <c r="B127" s="27">
        <f>Master!B$6</f>
        <v>0</v>
      </c>
      <c r="C127" s="27" t="str">
        <f>'Activity List'!A127</f>
        <v>T3-027</v>
      </c>
      <c r="D127" s="27" t="str">
        <f>'Activity List'!D127</f>
        <v>Soil Sampling and Analysis</v>
      </c>
      <c r="E127" s="27" t="str">
        <f>'Activity List'!B127</f>
        <v>Tier 3 — Interventions</v>
      </c>
      <c r="F127" s="27" t="str">
        <f>'Activity List'!E127</f>
        <v>sample</v>
      </c>
      <c r="G127" s="42" t="str">
        <f>'Annual Election'!I130</f>
        <v>N</v>
      </c>
      <c r="H127" s="37"/>
      <c r="I127" s="34">
        <f>IFERROR(INDEX('Labor Rate Card'!$G$2:$G$135,MATCH(C127,'Labor Rate Card'!$A$2:$A$135,0)),0)</f>
        <v>0</v>
      </c>
      <c r="J127" s="33">
        <f t="shared" si="9"/>
        <v>0</v>
      </c>
      <c r="K127" s="41" t="str">
        <f>'Annual Election'!E130</f>
        <v/>
      </c>
      <c r="L127" s="41" t="str">
        <f>'Annual Election'!H130</f>
        <v/>
      </c>
      <c r="M127" s="45" t="str">
        <f t="shared" si="10"/>
        <v/>
      </c>
      <c r="N127" s="33">
        <f t="shared" si="11"/>
        <v>0</v>
      </c>
    </row>
    <row r="128" spans="1:14" x14ac:dyDescent="0.45">
      <c r="A128" s="27">
        <f>Master!A$6</f>
        <v>0</v>
      </c>
      <c r="B128" s="27">
        <f>Master!B$6</f>
        <v>0</v>
      </c>
      <c r="C128" s="27" t="str">
        <f>'Activity List'!A128</f>
        <v>T3-028</v>
      </c>
      <c r="D128" s="27" t="str">
        <f>'Activity List'!D128</f>
        <v>Soil Fertility and Nutrient Status Reporting</v>
      </c>
      <c r="E128" s="27" t="str">
        <f>'Activity List'!B128</f>
        <v>Tier 3 — Interventions</v>
      </c>
      <c r="F128" s="27" t="str">
        <f>'Activity List'!E128</f>
        <v>farm</v>
      </c>
      <c r="G128" s="42" t="str">
        <f>'Annual Election'!I131</f>
        <v>N</v>
      </c>
      <c r="H128" s="37"/>
      <c r="I128" s="34">
        <f>IFERROR(INDEX('Labor Rate Card'!$G$2:$G$135,MATCH(C128,'Labor Rate Card'!$A$2:$A$135,0)),0)</f>
        <v>0</v>
      </c>
      <c r="J128" s="33">
        <f t="shared" si="9"/>
        <v>0</v>
      </c>
      <c r="K128" s="41" t="str">
        <f>'Annual Election'!E131</f>
        <v/>
      </c>
      <c r="L128" s="41" t="str">
        <f>'Annual Election'!H131</f>
        <v/>
      </c>
      <c r="M128" s="45" t="str">
        <f t="shared" si="10"/>
        <v/>
      </c>
      <c r="N128" s="33">
        <f t="shared" si="11"/>
        <v>0</v>
      </c>
    </row>
    <row r="129" spans="1:14" x14ac:dyDescent="0.45">
      <c r="A129" s="27">
        <f>Master!A$6</f>
        <v>0</v>
      </c>
      <c r="B129" s="27">
        <f>Master!B$6</f>
        <v>0</v>
      </c>
      <c r="C129" s="27" t="str">
        <f>'Activity List'!A129</f>
        <v>T3-029</v>
      </c>
      <c r="D129" s="27" t="str">
        <f>'Activity List'!D129</f>
        <v>Liming and Soil Amendment Recommendations</v>
      </c>
      <c r="E129" s="27" t="str">
        <f>'Activity List'!B129</f>
        <v>Tier 3 — Interventions</v>
      </c>
      <c r="F129" s="27" t="str">
        <f>'Activity List'!E129</f>
        <v>farm</v>
      </c>
      <c r="G129" s="42" t="str">
        <f>'Annual Election'!I132</f>
        <v>N</v>
      </c>
      <c r="H129" s="37"/>
      <c r="I129" s="34">
        <f>IFERROR(INDEX('Labor Rate Card'!$G$2:$G$135,MATCH(C129,'Labor Rate Card'!$A$2:$A$135,0)),0)</f>
        <v>0</v>
      </c>
      <c r="J129" s="33">
        <f t="shared" si="9"/>
        <v>0</v>
      </c>
      <c r="K129" s="41" t="str">
        <f>'Annual Election'!E132</f>
        <v/>
      </c>
      <c r="L129" s="41" t="str">
        <f>'Annual Election'!H132</f>
        <v/>
      </c>
      <c r="M129" s="45" t="str">
        <f t="shared" si="10"/>
        <v/>
      </c>
      <c r="N129" s="33">
        <f t="shared" si="11"/>
        <v>0</v>
      </c>
    </row>
    <row r="130" spans="1:14" x14ac:dyDescent="0.45">
      <c r="A130" s="27">
        <f>Master!A$6</f>
        <v>0</v>
      </c>
      <c r="B130" s="27">
        <f>Master!B$6</f>
        <v>0</v>
      </c>
      <c r="C130" s="27" t="str">
        <f>'Activity List'!A130</f>
        <v>T3-030</v>
      </c>
      <c r="D130" s="27" t="str">
        <f>'Activity List'!D130</f>
        <v>GPS Farm Boundary and Block Mapping</v>
      </c>
      <c r="E130" s="27" t="str">
        <f>'Activity List'!B130</f>
        <v>Tier 3 — Interventions</v>
      </c>
      <c r="F130" s="27" t="str">
        <f>'Activity List'!E130</f>
        <v>farm</v>
      </c>
      <c r="G130" s="42" t="str">
        <f>'Annual Election'!I133</f>
        <v>N</v>
      </c>
      <c r="H130" s="37"/>
      <c r="I130" s="34">
        <f>IFERROR(INDEX('Labor Rate Card'!$G$2:$G$135,MATCH(C130,'Labor Rate Card'!$A$2:$A$135,0)),0)</f>
        <v>0</v>
      </c>
      <c r="J130" s="33">
        <f t="shared" ref="J130:J161" si="12">IF(G130="Y",H130*I130,0)</f>
        <v>0</v>
      </c>
      <c r="K130" s="41" t="str">
        <f>'Annual Election'!E133</f>
        <v/>
      </c>
      <c r="L130" s="41" t="str">
        <f>'Annual Election'!H133</f>
        <v/>
      </c>
      <c r="M130" s="45" t="str">
        <f t="shared" ref="M130:M161" si="13">IF(OR(K130="",L130=""),"",ROUNDUP((L130-K130+1)/7,0))</f>
        <v/>
      </c>
      <c r="N130" s="33">
        <f t="shared" ref="N130:N161" si="14">IF(OR(J130="",M130="",M130=0),0,J130/M130)</f>
        <v>0</v>
      </c>
    </row>
    <row r="131" spans="1:14" x14ac:dyDescent="0.45">
      <c r="A131" s="27">
        <f>Master!A$6</f>
        <v>0</v>
      </c>
      <c r="B131" s="27">
        <f>Master!B$6</f>
        <v>0</v>
      </c>
      <c r="C131" s="27" t="str">
        <f>'Activity List'!A131</f>
        <v>T3-031</v>
      </c>
      <c r="D131" s="27" t="str">
        <f>'Activity List'!D131</f>
        <v>GIS Layering (Soil, Slope, Drainage, Shade, Productivity)</v>
      </c>
      <c r="E131" s="27" t="str">
        <f>'Activity List'!B131</f>
        <v>Tier 3 — Interventions</v>
      </c>
      <c r="F131" s="27" t="str">
        <f>'Activity List'!E131</f>
        <v>farm</v>
      </c>
      <c r="G131" s="42" t="str">
        <f>'Annual Election'!I134</f>
        <v>N</v>
      </c>
      <c r="H131" s="37"/>
      <c r="I131" s="34">
        <f>IFERROR(INDEX('Labor Rate Card'!$G$2:$G$135,MATCH(C131,'Labor Rate Card'!$A$2:$A$135,0)),0)</f>
        <v>0</v>
      </c>
      <c r="J131" s="33">
        <f t="shared" si="12"/>
        <v>0</v>
      </c>
      <c r="K131" s="41" t="str">
        <f>'Annual Election'!E134</f>
        <v/>
      </c>
      <c r="L131" s="41" t="str">
        <f>'Annual Election'!H134</f>
        <v/>
      </c>
      <c r="M131" s="45" t="str">
        <f t="shared" si="13"/>
        <v/>
      </c>
      <c r="N131" s="33">
        <f t="shared" si="14"/>
        <v>0</v>
      </c>
    </row>
    <row r="132" spans="1:14" x14ac:dyDescent="0.45">
      <c r="A132" s="27">
        <f>Master!A$6</f>
        <v>0</v>
      </c>
      <c r="B132" s="27">
        <f>Master!B$6</f>
        <v>0</v>
      </c>
      <c r="C132" s="27" t="str">
        <f>'Activity List'!A132</f>
        <v>T3-032</v>
      </c>
      <c r="D132" s="27" t="str">
        <f>'Activity List'!D132</f>
        <v>Weather Station Installation and Management</v>
      </c>
      <c r="E132" s="27" t="str">
        <f>'Activity List'!B132</f>
        <v>Tier 3 — Interventions</v>
      </c>
      <c r="F132" s="27" t="str">
        <f>'Activity List'!E132</f>
        <v>farm</v>
      </c>
      <c r="G132" s="42" t="str">
        <f>'Annual Election'!I135</f>
        <v>N</v>
      </c>
      <c r="H132" s="37"/>
      <c r="I132" s="34">
        <f>IFERROR(INDEX('Labor Rate Card'!$G$2:$G$135,MATCH(C132,'Labor Rate Card'!$A$2:$A$135,0)),0)</f>
        <v>0</v>
      </c>
      <c r="J132" s="33">
        <f t="shared" si="12"/>
        <v>0</v>
      </c>
      <c r="K132" s="41" t="str">
        <f>'Annual Election'!E135</f>
        <v/>
      </c>
      <c r="L132" s="41" t="str">
        <f>'Annual Election'!H135</f>
        <v/>
      </c>
      <c r="M132" s="45" t="str">
        <f t="shared" si="13"/>
        <v/>
      </c>
      <c r="N132" s="33">
        <f t="shared" si="14"/>
        <v>0</v>
      </c>
    </row>
    <row r="133" spans="1:14" x14ac:dyDescent="0.45">
      <c r="A133" s="27">
        <f>Master!A$6</f>
        <v>0</v>
      </c>
      <c r="B133" s="27">
        <f>Master!B$6</f>
        <v>0</v>
      </c>
      <c r="C133" s="27" t="str">
        <f>'Activity List'!A133</f>
        <v>T3-033</v>
      </c>
      <c r="D133" s="27" t="str">
        <f>'Activity List'!D133</f>
        <v>Farm Operating Manuals and SOPs</v>
      </c>
      <c r="E133" s="27" t="str">
        <f>'Activity List'!B133</f>
        <v>Tier 3 — Interventions</v>
      </c>
      <c r="F133" s="27" t="str">
        <f>'Activity List'!E133</f>
        <v>farm</v>
      </c>
      <c r="G133" s="42" t="str">
        <f>'Annual Election'!I136</f>
        <v>N</v>
      </c>
      <c r="H133" s="37"/>
      <c r="I133" s="34">
        <f>IFERROR(INDEX('Labor Rate Card'!$G$2:$G$135,MATCH(C133,'Labor Rate Card'!$A$2:$A$135,0)),0)</f>
        <v>0</v>
      </c>
      <c r="J133" s="33">
        <f t="shared" si="12"/>
        <v>0</v>
      </c>
      <c r="K133" s="41" t="str">
        <f>'Annual Election'!E136</f>
        <v/>
      </c>
      <c r="L133" s="41" t="str">
        <f>'Annual Election'!H136</f>
        <v/>
      </c>
      <c r="M133" s="45" t="str">
        <f t="shared" si="13"/>
        <v/>
      </c>
      <c r="N133" s="33">
        <f t="shared" si="14"/>
        <v>0</v>
      </c>
    </row>
    <row r="134" spans="1:14" x14ac:dyDescent="0.45">
      <c r="A134" s="27">
        <f>Master!A$6</f>
        <v>0</v>
      </c>
      <c r="B134" s="27">
        <f>Master!B$6</f>
        <v>0</v>
      </c>
      <c r="C134" s="27" t="str">
        <f>'Activity List'!A134</f>
        <v>T3-034</v>
      </c>
      <c r="D134" s="27" t="str">
        <f>'Activity List'!D134</f>
        <v>SpiralLabs Cupping, Grading and Quality Control</v>
      </c>
      <c r="E134" s="27" t="str">
        <f>'Activity List'!B134</f>
        <v>Tier 3 — Interventions</v>
      </c>
      <c r="F134" s="27" t="str">
        <f>'Activity List'!E134</f>
        <v>farm</v>
      </c>
      <c r="G134" s="42" t="str">
        <f>'Annual Election'!I137</f>
        <v>N</v>
      </c>
      <c r="H134" s="37"/>
      <c r="I134" s="34">
        <f>IFERROR(INDEX('Labor Rate Card'!$G$2:$G$135,MATCH(C134,'Labor Rate Card'!$A$2:$A$135,0)),0)</f>
        <v>0</v>
      </c>
      <c r="J134" s="33">
        <f t="shared" si="12"/>
        <v>0</v>
      </c>
      <c r="K134" s="41" t="str">
        <f>'Annual Election'!E137</f>
        <v/>
      </c>
      <c r="L134" s="41" t="str">
        <f>'Annual Election'!H137</f>
        <v/>
      </c>
      <c r="M134" s="45" t="str">
        <f t="shared" si="13"/>
        <v/>
      </c>
      <c r="N134" s="33">
        <f t="shared" si="14"/>
        <v>0</v>
      </c>
    </row>
    <row r="135" spans="1:14" x14ac:dyDescent="0.45">
      <c r="A135" s="27">
        <f>Master!A$6</f>
        <v>0</v>
      </c>
      <c r="B135" s="27">
        <f>Master!B$6</f>
        <v>0</v>
      </c>
      <c r="C135" s="27" t="str">
        <f>'Activity List'!A135</f>
        <v>T3-035</v>
      </c>
      <c r="D135" s="27" t="str">
        <f>'Activity List'!D135</f>
        <v>Buyer Hosting at SpiralLabs</v>
      </c>
      <c r="E135" s="27" t="str">
        <f>'Activity List'!B135</f>
        <v>Tier 3 — Interventions</v>
      </c>
      <c r="F135" s="27" t="str">
        <f>'Activity List'!E135</f>
        <v>event</v>
      </c>
      <c r="G135" s="42" t="str">
        <f>'Annual Election'!I138</f>
        <v>N</v>
      </c>
      <c r="H135" s="37"/>
      <c r="I135" s="34">
        <f>IFERROR(INDEX('Labor Rate Card'!$G$2:$G$135,MATCH(C135,'Labor Rate Card'!$A$2:$A$135,0)),0)</f>
        <v>0</v>
      </c>
      <c r="J135" s="33">
        <f t="shared" si="12"/>
        <v>0</v>
      </c>
      <c r="K135" s="41">
        <f>'Annual Election'!E138</f>
        <v>0</v>
      </c>
      <c r="L135" s="41">
        <f>'Annual Election'!H138</f>
        <v>0</v>
      </c>
      <c r="M135" s="45">
        <f t="shared" si="13"/>
        <v>1</v>
      </c>
      <c r="N135" s="33">
        <f t="shared" si="14"/>
        <v>0</v>
      </c>
    </row>
    <row r="137" spans="1:14" ht="22.35" customHeight="1" x14ac:dyDescent="0.45">
      <c r="A137" s="5" t="s">
        <v>444</v>
      </c>
      <c r="B137" s="5"/>
      <c r="C137" s="5"/>
      <c r="D137" s="5"/>
      <c r="E137" s="5"/>
      <c r="F137" s="5"/>
      <c r="G137" s="5"/>
      <c r="H137" s="5"/>
      <c r="I137" s="5"/>
      <c r="J137" s="5"/>
      <c r="K137" s="5"/>
      <c r="L137" s="5"/>
      <c r="M137" s="5"/>
      <c r="N137" s="5"/>
    </row>
  </sheetData>
  <mergeCells count="1">
    <mergeCell ref="A137:N13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37"/>
  <sheetViews>
    <sheetView zoomScaleNormal="100" workbookViewId="0">
      <pane ySplit="1" topLeftCell="A2" activePane="bottomLeft" state="frozen"/>
      <selection pane="bottomLeft"/>
    </sheetView>
  </sheetViews>
  <sheetFormatPr defaultColWidth="8.6640625" defaultRowHeight="14.25" x14ac:dyDescent="0.45"/>
  <cols>
    <col min="1" max="2" width="10" customWidth="1"/>
    <col min="3" max="3" width="34" customWidth="1"/>
    <col min="4" max="4" width="12" customWidth="1"/>
    <col min="5" max="6" width="14" customWidth="1"/>
    <col min="7" max="8" width="12" customWidth="1"/>
    <col min="9" max="9" width="16" customWidth="1"/>
    <col min="10" max="10" width="14" customWidth="1"/>
    <col min="11" max="11" width="18" customWidth="1"/>
    <col min="12" max="13" width="12" customWidth="1"/>
    <col min="14" max="14" width="14" customWidth="1"/>
    <col min="15" max="15" width="26" customWidth="1"/>
    <col min="16" max="16" width="30" customWidth="1"/>
  </cols>
  <sheetData>
    <row r="1" spans="1:16" ht="30" customHeight="1" x14ac:dyDescent="0.45">
      <c r="A1" s="15" t="s">
        <v>360</v>
      </c>
      <c r="B1" s="15" t="s">
        <v>46</v>
      </c>
      <c r="C1" s="15" t="s">
        <v>49</v>
      </c>
      <c r="D1" s="15" t="s">
        <v>437</v>
      </c>
      <c r="E1" s="15" t="s">
        <v>445</v>
      </c>
      <c r="F1" s="15" t="s">
        <v>446</v>
      </c>
      <c r="G1" s="15" t="s">
        <v>447</v>
      </c>
      <c r="H1" s="15" t="s">
        <v>448</v>
      </c>
      <c r="I1" s="15" t="s">
        <v>449</v>
      </c>
      <c r="J1" s="15" t="s">
        <v>450</v>
      </c>
      <c r="K1" s="15" t="s">
        <v>451</v>
      </c>
      <c r="L1" s="15" t="s">
        <v>452</v>
      </c>
      <c r="M1" s="15" t="s">
        <v>453</v>
      </c>
      <c r="N1" s="15" t="s">
        <v>454</v>
      </c>
      <c r="O1" s="15" t="s">
        <v>455</v>
      </c>
      <c r="P1" s="15" t="s">
        <v>456</v>
      </c>
    </row>
    <row r="2" spans="1:16" x14ac:dyDescent="0.45">
      <c r="A2" s="27">
        <f>'Activity Plan'!A2</f>
        <v>0</v>
      </c>
      <c r="B2" s="27" t="str">
        <f>'Activity Plan'!C2</f>
        <v>T1-001</v>
      </c>
      <c r="C2" s="27" t="str">
        <f>'Activity Plan'!D2</f>
        <v>Land Clearing</v>
      </c>
      <c r="D2" s="27">
        <f>'Activity Plan'!H2</f>
        <v>0</v>
      </c>
      <c r="E2" s="41" t="str">
        <f>'Annual Election'!E5</f>
        <v/>
      </c>
      <c r="F2" s="41" t="str">
        <f>'Annual Election'!H5</f>
        <v/>
      </c>
      <c r="G2" s="37"/>
      <c r="H2" s="46" t="str">
        <f t="shared" ref="H2:H33" si="0">IF(OR(D2="",G2=""),"",D2*G2/100)</f>
        <v/>
      </c>
      <c r="I2" s="33" t="str">
        <f>IF(H2="","",H2*'Activity Plan'!I2)</f>
        <v/>
      </c>
      <c r="J2" s="46" t="str">
        <f t="shared" ref="J2:J33" si="1">IF(H2="","",D2-H2)</f>
        <v/>
      </c>
      <c r="K2" s="23"/>
      <c r="L2" s="47" t="str">
        <f t="shared" ref="L2:L33" ca="1" si="2">IF(K2="","",(TODAY()-K2)/7)</f>
        <v/>
      </c>
      <c r="M2" s="16" t="str">
        <f t="shared" ref="M2:M33" ca="1" si="3">IF(AND(L2&lt;&gt;"",L2&gt;=2,G2&lt;100),"AT RISK — no progress in 2+ weeks","")</f>
        <v/>
      </c>
      <c r="N2" s="46">
        <f t="shared" ref="N2:N33" ca="1" si="4">IF(AND(F2&lt;&gt;"",TODAY()&gt;F2,OR(G2="",G2&lt;100)),D2-IF(H2="",0,H2),0)</f>
        <v>0</v>
      </c>
      <c r="O2" s="16" t="str">
        <f t="shared" ref="O2:O33" ca="1" si="5">IF(N2&gt;0,"ROLL OVER — create a new Election/Activity Plan entry for the shortfall","")</f>
        <v/>
      </c>
      <c r="P2" s="16" t="str">
        <f t="shared" ref="P2:P33" ca="1" si="6">IF(M2&lt;&gt;"",C2,"")</f>
        <v/>
      </c>
    </row>
    <row r="3" spans="1:16" x14ac:dyDescent="0.45">
      <c r="A3" s="27">
        <f>'Activity Plan'!A3</f>
        <v>0</v>
      </c>
      <c r="B3" s="27" t="str">
        <f>'Activity Plan'!C3</f>
        <v>T1-002</v>
      </c>
      <c r="C3" s="27" t="str">
        <f>'Activity Plan'!D3</f>
        <v>Tree Felling</v>
      </c>
      <c r="D3" s="27">
        <f>'Activity Plan'!H3</f>
        <v>0</v>
      </c>
      <c r="E3" s="41" t="str">
        <f>'Annual Election'!E6</f>
        <v/>
      </c>
      <c r="F3" s="41" t="str">
        <f>'Annual Election'!H6</f>
        <v/>
      </c>
      <c r="G3" s="37"/>
      <c r="H3" s="46" t="str">
        <f t="shared" si="0"/>
        <v/>
      </c>
      <c r="I3" s="33" t="str">
        <f>IF(H3="","",H3*'Activity Plan'!I3)</f>
        <v/>
      </c>
      <c r="J3" s="46" t="str">
        <f t="shared" si="1"/>
        <v/>
      </c>
      <c r="K3" s="23"/>
      <c r="L3" s="47" t="str">
        <f t="shared" ca="1" si="2"/>
        <v/>
      </c>
      <c r="M3" s="16" t="str">
        <f t="shared" ca="1" si="3"/>
        <v/>
      </c>
      <c r="N3" s="46">
        <f t="shared" ca="1" si="4"/>
        <v>0</v>
      </c>
      <c r="O3" s="16" t="str">
        <f t="shared" ca="1" si="5"/>
        <v/>
      </c>
      <c r="P3" s="16" t="str">
        <f t="shared" ca="1" si="6"/>
        <v/>
      </c>
    </row>
    <row r="4" spans="1:16" x14ac:dyDescent="0.45">
      <c r="A4" s="27">
        <f>'Activity Plan'!A4</f>
        <v>0</v>
      </c>
      <c r="B4" s="27" t="str">
        <f>'Activity Plan'!C4</f>
        <v>T1-003</v>
      </c>
      <c r="C4" s="27" t="str">
        <f>'Activity Plan'!D4</f>
        <v>Soil Heaping</v>
      </c>
      <c r="D4" s="27">
        <f>'Activity Plan'!H4</f>
        <v>0</v>
      </c>
      <c r="E4" s="41" t="str">
        <f>'Annual Election'!E7</f>
        <v/>
      </c>
      <c r="F4" s="41" t="str">
        <f>'Annual Election'!H7</f>
        <v/>
      </c>
      <c r="G4" s="37"/>
      <c r="H4" s="46" t="str">
        <f t="shared" si="0"/>
        <v/>
      </c>
      <c r="I4" s="33" t="str">
        <f>IF(H4="","",H4*'Activity Plan'!I4)</f>
        <v/>
      </c>
      <c r="J4" s="46" t="str">
        <f t="shared" si="1"/>
        <v/>
      </c>
      <c r="K4" s="23"/>
      <c r="L4" s="47" t="str">
        <f t="shared" ca="1" si="2"/>
        <v/>
      </c>
      <c r="M4" s="16" t="str">
        <f t="shared" ca="1" si="3"/>
        <v/>
      </c>
      <c r="N4" s="46">
        <f t="shared" ca="1" si="4"/>
        <v>0</v>
      </c>
      <c r="O4" s="16" t="str">
        <f t="shared" ca="1" si="5"/>
        <v/>
      </c>
      <c r="P4" s="16" t="str">
        <f t="shared" ca="1" si="6"/>
        <v/>
      </c>
    </row>
    <row r="5" spans="1:16" x14ac:dyDescent="0.45">
      <c r="A5" s="27">
        <f>'Activity Plan'!A5</f>
        <v>0</v>
      </c>
      <c r="B5" s="27" t="str">
        <f>'Activity Plan'!C5</f>
        <v>T1-004</v>
      </c>
      <c r="C5" s="27" t="str">
        <f>'Activity Plan'!D5</f>
        <v>Polytube Cutting</v>
      </c>
      <c r="D5" s="27">
        <f>'Activity Plan'!H5</f>
        <v>0</v>
      </c>
      <c r="E5" s="41" t="str">
        <f>'Annual Election'!E8</f>
        <v/>
      </c>
      <c r="F5" s="41" t="str">
        <f>'Annual Election'!H8</f>
        <v/>
      </c>
      <c r="G5" s="37"/>
      <c r="H5" s="46" t="str">
        <f t="shared" si="0"/>
        <v/>
      </c>
      <c r="I5" s="33" t="str">
        <f>IF(H5="","",H5*'Activity Plan'!I5)</f>
        <v/>
      </c>
      <c r="J5" s="46" t="str">
        <f t="shared" si="1"/>
        <v/>
      </c>
      <c r="K5" s="23"/>
      <c r="L5" s="47" t="str">
        <f t="shared" ca="1" si="2"/>
        <v/>
      </c>
      <c r="M5" s="16" t="str">
        <f t="shared" ca="1" si="3"/>
        <v/>
      </c>
      <c r="N5" s="46">
        <f t="shared" ca="1" si="4"/>
        <v>0</v>
      </c>
      <c r="O5" s="16" t="str">
        <f t="shared" ca="1" si="5"/>
        <v/>
      </c>
      <c r="P5" s="16" t="str">
        <f t="shared" ca="1" si="6"/>
        <v/>
      </c>
    </row>
    <row r="6" spans="1:16" x14ac:dyDescent="0.45">
      <c r="A6" s="27">
        <f>'Activity Plan'!A6</f>
        <v>0</v>
      </c>
      <c r="B6" s="27" t="str">
        <f>'Activity Plan'!C6</f>
        <v>T1-005</v>
      </c>
      <c r="C6" s="27" t="str">
        <f>'Activity Plan'!D6</f>
        <v>Polytube Filling</v>
      </c>
      <c r="D6" s="27">
        <f>'Activity Plan'!H6</f>
        <v>0</v>
      </c>
      <c r="E6" s="41" t="str">
        <f>'Annual Election'!E9</f>
        <v/>
      </c>
      <c r="F6" s="41" t="str">
        <f>'Annual Election'!H9</f>
        <v/>
      </c>
      <c r="G6" s="37"/>
      <c r="H6" s="46" t="str">
        <f t="shared" si="0"/>
        <v/>
      </c>
      <c r="I6" s="33" t="str">
        <f>IF(H6="","",H6*'Activity Plan'!I6)</f>
        <v/>
      </c>
      <c r="J6" s="46" t="str">
        <f t="shared" si="1"/>
        <v/>
      </c>
      <c r="K6" s="23"/>
      <c r="L6" s="47" t="str">
        <f t="shared" ca="1" si="2"/>
        <v/>
      </c>
      <c r="M6" s="16" t="str">
        <f t="shared" ca="1" si="3"/>
        <v/>
      </c>
      <c r="N6" s="46">
        <f t="shared" ca="1" si="4"/>
        <v>0</v>
      </c>
      <c r="O6" s="16" t="str">
        <f t="shared" ca="1" si="5"/>
        <v/>
      </c>
      <c r="P6" s="16" t="str">
        <f t="shared" ca="1" si="6"/>
        <v/>
      </c>
    </row>
    <row r="7" spans="1:16" x14ac:dyDescent="0.45">
      <c r="A7" s="27">
        <f>'Activity Plan'!A7</f>
        <v>0</v>
      </c>
      <c r="B7" s="27" t="str">
        <f>'Activity Plan'!C7</f>
        <v>T1-006</v>
      </c>
      <c r="C7" s="27" t="str">
        <f>'Activity Plan'!D7</f>
        <v>Seedbed Preparation</v>
      </c>
      <c r="D7" s="27">
        <f>'Activity Plan'!H7</f>
        <v>0</v>
      </c>
      <c r="E7" s="41" t="str">
        <f>'Annual Election'!E10</f>
        <v/>
      </c>
      <c r="F7" s="41" t="str">
        <f>'Annual Election'!H10</f>
        <v/>
      </c>
      <c r="G7" s="37"/>
      <c r="H7" s="46" t="str">
        <f t="shared" si="0"/>
        <v/>
      </c>
      <c r="I7" s="33" t="str">
        <f>IF(H7="","",H7*'Activity Plan'!I7)</f>
        <v/>
      </c>
      <c r="J7" s="46" t="str">
        <f t="shared" si="1"/>
        <v/>
      </c>
      <c r="K7" s="23"/>
      <c r="L7" s="47" t="str">
        <f t="shared" ca="1" si="2"/>
        <v/>
      </c>
      <c r="M7" s="16" t="str">
        <f t="shared" ca="1" si="3"/>
        <v/>
      </c>
      <c r="N7" s="46">
        <f t="shared" ca="1" si="4"/>
        <v>0</v>
      </c>
      <c r="O7" s="16" t="str">
        <f t="shared" ca="1" si="5"/>
        <v/>
      </c>
      <c r="P7" s="16" t="str">
        <f t="shared" ca="1" si="6"/>
        <v/>
      </c>
    </row>
    <row r="8" spans="1:16" x14ac:dyDescent="0.45">
      <c r="A8" s="27">
        <f>'Activity Plan'!A8</f>
        <v>0</v>
      </c>
      <c r="B8" s="27" t="str">
        <f>'Activity Plan'!C8</f>
        <v>T1-007</v>
      </c>
      <c r="C8" s="27" t="str">
        <f>'Activity Plan'!D8</f>
        <v>Polytube Arranging</v>
      </c>
      <c r="D8" s="27">
        <f>'Activity Plan'!H8</f>
        <v>0</v>
      </c>
      <c r="E8" s="41" t="str">
        <f>'Annual Election'!E11</f>
        <v/>
      </c>
      <c r="F8" s="41" t="str">
        <f>'Annual Election'!H11</f>
        <v/>
      </c>
      <c r="G8" s="37"/>
      <c r="H8" s="46" t="str">
        <f t="shared" si="0"/>
        <v/>
      </c>
      <c r="I8" s="33" t="str">
        <f>IF(H8="","",H8*'Activity Plan'!I8)</f>
        <v/>
      </c>
      <c r="J8" s="46" t="str">
        <f t="shared" si="1"/>
        <v/>
      </c>
      <c r="K8" s="23"/>
      <c r="L8" s="47" t="str">
        <f t="shared" ca="1" si="2"/>
        <v/>
      </c>
      <c r="M8" s="16" t="str">
        <f t="shared" ca="1" si="3"/>
        <v/>
      </c>
      <c r="N8" s="46">
        <f t="shared" ca="1" si="4"/>
        <v>0</v>
      </c>
      <c r="O8" s="16" t="str">
        <f t="shared" ca="1" si="5"/>
        <v/>
      </c>
      <c r="P8" s="16" t="str">
        <f t="shared" ca="1" si="6"/>
        <v/>
      </c>
    </row>
    <row r="9" spans="1:16" x14ac:dyDescent="0.45">
      <c r="A9" s="27">
        <f>'Activity Plan'!A9</f>
        <v>0</v>
      </c>
      <c r="B9" s="27" t="str">
        <f>'Activity Plan'!C9</f>
        <v>T1-008</v>
      </c>
      <c r="C9" s="27" t="str">
        <f>'Activity Plan'!D9</f>
        <v>Seed Sowing</v>
      </c>
      <c r="D9" s="27">
        <f>'Activity Plan'!H9</f>
        <v>0</v>
      </c>
      <c r="E9" s="41" t="str">
        <f>'Annual Election'!E12</f>
        <v/>
      </c>
      <c r="F9" s="41" t="str">
        <f>'Annual Election'!H12</f>
        <v/>
      </c>
      <c r="G9" s="37"/>
      <c r="H9" s="46" t="str">
        <f t="shared" si="0"/>
        <v/>
      </c>
      <c r="I9" s="33" t="str">
        <f>IF(H9="","",H9*'Activity Plan'!I9)</f>
        <v/>
      </c>
      <c r="J9" s="46" t="str">
        <f t="shared" si="1"/>
        <v/>
      </c>
      <c r="K9" s="23"/>
      <c r="L9" s="47" t="str">
        <f t="shared" ca="1" si="2"/>
        <v/>
      </c>
      <c r="M9" s="16" t="str">
        <f t="shared" ca="1" si="3"/>
        <v/>
      </c>
      <c r="N9" s="46">
        <f t="shared" ca="1" si="4"/>
        <v>0</v>
      </c>
      <c r="O9" s="16" t="str">
        <f t="shared" ca="1" si="5"/>
        <v/>
      </c>
      <c r="P9" s="16" t="str">
        <f t="shared" ca="1" si="6"/>
        <v/>
      </c>
    </row>
    <row r="10" spans="1:16" x14ac:dyDescent="0.45">
      <c r="A10" s="27">
        <f>'Activity Plan'!A10</f>
        <v>0</v>
      </c>
      <c r="B10" s="27" t="str">
        <f>'Activity Plan'!C10</f>
        <v>T1-009</v>
      </c>
      <c r="C10" s="27" t="str">
        <f>'Activity Plan'!D10</f>
        <v>Mulch Material Preparation</v>
      </c>
      <c r="D10" s="27">
        <f>'Activity Plan'!H10</f>
        <v>0</v>
      </c>
      <c r="E10" s="41" t="str">
        <f>'Annual Election'!E13</f>
        <v/>
      </c>
      <c r="F10" s="41" t="str">
        <f>'Annual Election'!H13</f>
        <v/>
      </c>
      <c r="G10" s="37"/>
      <c r="H10" s="46" t="str">
        <f t="shared" si="0"/>
        <v/>
      </c>
      <c r="I10" s="33" t="str">
        <f>IF(H10="","",H10*'Activity Plan'!I10)</f>
        <v/>
      </c>
      <c r="J10" s="46" t="str">
        <f t="shared" si="1"/>
        <v/>
      </c>
      <c r="K10" s="23"/>
      <c r="L10" s="47" t="str">
        <f t="shared" ca="1" si="2"/>
        <v/>
      </c>
      <c r="M10" s="16" t="str">
        <f t="shared" ca="1" si="3"/>
        <v/>
      </c>
      <c r="N10" s="46">
        <f t="shared" ca="1" si="4"/>
        <v>0</v>
      </c>
      <c r="O10" s="16" t="str">
        <f t="shared" ca="1" si="5"/>
        <v/>
      </c>
      <c r="P10" s="16" t="str">
        <f t="shared" ca="1" si="6"/>
        <v/>
      </c>
    </row>
    <row r="11" spans="1:16" x14ac:dyDescent="0.45">
      <c r="A11" s="27">
        <f>'Activity Plan'!A11</f>
        <v>0</v>
      </c>
      <c r="B11" s="27" t="str">
        <f>'Activity Plan'!C11</f>
        <v>T1-010</v>
      </c>
      <c r="C11" s="27" t="str">
        <f>'Activity Plan'!D11</f>
        <v>Mulch Application</v>
      </c>
      <c r="D11" s="27">
        <f>'Activity Plan'!H11</f>
        <v>0</v>
      </c>
      <c r="E11" s="41" t="str">
        <f>'Annual Election'!E14</f>
        <v/>
      </c>
      <c r="F11" s="41" t="str">
        <f>'Annual Election'!H14</f>
        <v/>
      </c>
      <c r="G11" s="37"/>
      <c r="H11" s="46" t="str">
        <f t="shared" si="0"/>
        <v/>
      </c>
      <c r="I11" s="33" t="str">
        <f>IF(H11="","",H11*'Activity Plan'!I11)</f>
        <v/>
      </c>
      <c r="J11" s="46" t="str">
        <f t="shared" si="1"/>
        <v/>
      </c>
      <c r="K11" s="23"/>
      <c r="L11" s="47" t="str">
        <f t="shared" ca="1" si="2"/>
        <v/>
      </c>
      <c r="M11" s="16" t="str">
        <f t="shared" ca="1" si="3"/>
        <v/>
      </c>
      <c r="N11" s="46">
        <f t="shared" ca="1" si="4"/>
        <v>0</v>
      </c>
      <c r="O11" s="16" t="str">
        <f t="shared" ca="1" si="5"/>
        <v/>
      </c>
      <c r="P11" s="16" t="str">
        <f t="shared" ca="1" si="6"/>
        <v/>
      </c>
    </row>
    <row r="12" spans="1:16" x14ac:dyDescent="0.45">
      <c r="A12" s="27">
        <f>'Activity Plan'!A12</f>
        <v>0</v>
      </c>
      <c r="B12" s="27" t="str">
        <f>'Activity Plan'!C12</f>
        <v>T1-011</v>
      </c>
      <c r="C12" s="27" t="str">
        <f>'Activity Plan'!D12</f>
        <v>Shade Material Preparation</v>
      </c>
      <c r="D12" s="27">
        <f>'Activity Plan'!H12</f>
        <v>0</v>
      </c>
      <c r="E12" s="41" t="str">
        <f>'Annual Election'!E15</f>
        <v/>
      </c>
      <c r="F12" s="41" t="str">
        <f>'Annual Election'!H15</f>
        <v/>
      </c>
      <c r="G12" s="37"/>
      <c r="H12" s="46" t="str">
        <f t="shared" si="0"/>
        <v/>
      </c>
      <c r="I12" s="33" t="str">
        <f>IF(H12="","",H12*'Activity Plan'!I12)</f>
        <v/>
      </c>
      <c r="J12" s="46" t="str">
        <f t="shared" si="1"/>
        <v/>
      </c>
      <c r="K12" s="23"/>
      <c r="L12" s="47" t="str">
        <f t="shared" ca="1" si="2"/>
        <v/>
      </c>
      <c r="M12" s="16" t="str">
        <f t="shared" ca="1" si="3"/>
        <v/>
      </c>
      <c r="N12" s="46">
        <f t="shared" ca="1" si="4"/>
        <v>0</v>
      </c>
      <c r="O12" s="16" t="str">
        <f t="shared" ca="1" si="5"/>
        <v/>
      </c>
      <c r="P12" s="16" t="str">
        <f t="shared" ca="1" si="6"/>
        <v/>
      </c>
    </row>
    <row r="13" spans="1:16" x14ac:dyDescent="0.45">
      <c r="A13" s="27">
        <f>'Activity Plan'!A13</f>
        <v>0</v>
      </c>
      <c r="B13" s="27" t="str">
        <f>'Activity Plan'!C13</f>
        <v>T1-012</v>
      </c>
      <c r="C13" s="27" t="str">
        <f>'Activity Plan'!D13</f>
        <v>Shade Construction</v>
      </c>
      <c r="D13" s="27">
        <f>'Activity Plan'!H13</f>
        <v>0</v>
      </c>
      <c r="E13" s="41" t="str">
        <f>'Annual Election'!E16</f>
        <v/>
      </c>
      <c r="F13" s="41" t="str">
        <f>'Annual Election'!H16</f>
        <v/>
      </c>
      <c r="G13" s="37"/>
      <c r="H13" s="46" t="str">
        <f t="shared" si="0"/>
        <v/>
      </c>
      <c r="I13" s="33" t="str">
        <f>IF(H13="","",H13*'Activity Plan'!I13)</f>
        <v/>
      </c>
      <c r="J13" s="46" t="str">
        <f t="shared" si="1"/>
        <v/>
      </c>
      <c r="K13" s="23"/>
      <c r="L13" s="47" t="str">
        <f t="shared" ca="1" si="2"/>
        <v/>
      </c>
      <c r="M13" s="16" t="str">
        <f t="shared" ca="1" si="3"/>
        <v/>
      </c>
      <c r="N13" s="46">
        <f t="shared" ca="1" si="4"/>
        <v>0</v>
      </c>
      <c r="O13" s="16" t="str">
        <f t="shared" ca="1" si="5"/>
        <v/>
      </c>
      <c r="P13" s="16" t="str">
        <f t="shared" ca="1" si="6"/>
        <v/>
      </c>
    </row>
    <row r="14" spans="1:16" x14ac:dyDescent="0.45">
      <c r="A14" s="27">
        <f>'Activity Plan'!A14</f>
        <v>0</v>
      </c>
      <c r="B14" s="27" t="str">
        <f>'Activity Plan'!C14</f>
        <v>T1-013</v>
      </c>
      <c r="C14" s="27" t="str">
        <f>'Activity Plan'!D14</f>
        <v>Mulch Removal</v>
      </c>
      <c r="D14" s="27">
        <f>'Activity Plan'!H14</f>
        <v>0</v>
      </c>
      <c r="E14" s="41" t="str">
        <f>'Annual Election'!E17</f>
        <v/>
      </c>
      <c r="F14" s="41" t="str">
        <f>'Annual Election'!H17</f>
        <v/>
      </c>
      <c r="G14" s="37"/>
      <c r="H14" s="46" t="str">
        <f t="shared" si="0"/>
        <v/>
      </c>
      <c r="I14" s="33" t="str">
        <f>IF(H14="","",H14*'Activity Plan'!I14)</f>
        <v/>
      </c>
      <c r="J14" s="46" t="str">
        <f t="shared" si="1"/>
        <v/>
      </c>
      <c r="K14" s="23"/>
      <c r="L14" s="47" t="str">
        <f t="shared" ca="1" si="2"/>
        <v/>
      </c>
      <c r="M14" s="16" t="str">
        <f t="shared" ca="1" si="3"/>
        <v/>
      </c>
      <c r="N14" s="46">
        <f t="shared" ca="1" si="4"/>
        <v>0</v>
      </c>
      <c r="O14" s="16" t="str">
        <f t="shared" ca="1" si="5"/>
        <v/>
      </c>
      <c r="P14" s="16" t="str">
        <f t="shared" ca="1" si="6"/>
        <v/>
      </c>
    </row>
    <row r="15" spans="1:16" x14ac:dyDescent="0.45">
      <c r="A15" s="27">
        <f>'Activity Plan'!A15</f>
        <v>0</v>
      </c>
      <c r="B15" s="27" t="str">
        <f>'Activity Plan'!C15</f>
        <v>T1-014</v>
      </c>
      <c r="C15" s="27" t="str">
        <f>'Activity Plan'!D15</f>
        <v>Nursery Weeding</v>
      </c>
      <c r="D15" s="27">
        <f>'Activity Plan'!H15</f>
        <v>0</v>
      </c>
      <c r="E15" s="41" t="str">
        <f>'Annual Election'!E18</f>
        <v/>
      </c>
      <c r="F15" s="41" t="str">
        <f>'Annual Election'!H18</f>
        <v/>
      </c>
      <c r="G15" s="37"/>
      <c r="H15" s="46" t="str">
        <f t="shared" si="0"/>
        <v/>
      </c>
      <c r="I15" s="33" t="str">
        <f>IF(H15="","",H15*'Activity Plan'!I15)</f>
        <v/>
      </c>
      <c r="J15" s="46" t="str">
        <f t="shared" si="1"/>
        <v/>
      </c>
      <c r="K15" s="23"/>
      <c r="L15" s="47" t="str">
        <f t="shared" ca="1" si="2"/>
        <v/>
      </c>
      <c r="M15" s="16" t="str">
        <f t="shared" ca="1" si="3"/>
        <v/>
      </c>
      <c r="N15" s="46">
        <f t="shared" ca="1" si="4"/>
        <v>0</v>
      </c>
      <c r="O15" s="16" t="str">
        <f t="shared" ca="1" si="5"/>
        <v/>
      </c>
      <c r="P15" s="16" t="str">
        <f t="shared" ca="1" si="6"/>
        <v/>
      </c>
    </row>
    <row r="16" spans="1:16" x14ac:dyDescent="0.45">
      <c r="A16" s="27">
        <f>'Activity Plan'!A16</f>
        <v>0</v>
      </c>
      <c r="B16" s="27" t="str">
        <f>'Activity Plan'!C16</f>
        <v>T1-015</v>
      </c>
      <c r="C16" s="27" t="str">
        <f>'Activity Plan'!D16</f>
        <v>Shade Thinning</v>
      </c>
      <c r="D16" s="27">
        <f>'Activity Plan'!H16</f>
        <v>0</v>
      </c>
      <c r="E16" s="41" t="str">
        <f>'Annual Election'!E19</f>
        <v/>
      </c>
      <c r="F16" s="41" t="str">
        <f>'Annual Election'!H19</f>
        <v/>
      </c>
      <c r="G16" s="37"/>
      <c r="H16" s="46" t="str">
        <f t="shared" si="0"/>
        <v/>
      </c>
      <c r="I16" s="33" t="str">
        <f>IF(H16="","",H16*'Activity Plan'!I16)</f>
        <v/>
      </c>
      <c r="J16" s="46" t="str">
        <f t="shared" si="1"/>
        <v/>
      </c>
      <c r="K16" s="23"/>
      <c r="L16" s="47" t="str">
        <f t="shared" ca="1" si="2"/>
        <v/>
      </c>
      <c r="M16" s="16" t="str">
        <f t="shared" ca="1" si="3"/>
        <v/>
      </c>
      <c r="N16" s="46">
        <f t="shared" ca="1" si="4"/>
        <v>0</v>
      </c>
      <c r="O16" s="16" t="str">
        <f t="shared" ca="1" si="5"/>
        <v/>
      </c>
      <c r="P16" s="16" t="str">
        <f t="shared" ca="1" si="6"/>
        <v/>
      </c>
    </row>
    <row r="17" spans="1:16" x14ac:dyDescent="0.45">
      <c r="A17" s="27">
        <f>'Activity Plan'!A17</f>
        <v>0</v>
      </c>
      <c r="B17" s="27" t="str">
        <f>'Activity Plan'!C17</f>
        <v>T1-016</v>
      </c>
      <c r="C17" s="27" t="str">
        <f>'Activity Plan'!D17</f>
        <v>Shade Removal</v>
      </c>
      <c r="D17" s="27">
        <f>'Activity Plan'!H17</f>
        <v>0</v>
      </c>
      <c r="E17" s="41" t="str">
        <f>'Annual Election'!E20</f>
        <v/>
      </c>
      <c r="F17" s="41" t="str">
        <f>'Annual Election'!H20</f>
        <v/>
      </c>
      <c r="G17" s="37"/>
      <c r="H17" s="46" t="str">
        <f t="shared" si="0"/>
        <v/>
      </c>
      <c r="I17" s="33" t="str">
        <f>IF(H17="","",H17*'Activity Plan'!I17)</f>
        <v/>
      </c>
      <c r="J17" s="46" t="str">
        <f t="shared" si="1"/>
        <v/>
      </c>
      <c r="K17" s="23"/>
      <c r="L17" s="47" t="str">
        <f t="shared" ca="1" si="2"/>
        <v/>
      </c>
      <c r="M17" s="16" t="str">
        <f t="shared" ca="1" si="3"/>
        <v/>
      </c>
      <c r="N17" s="46">
        <f t="shared" ca="1" si="4"/>
        <v>0</v>
      </c>
      <c r="O17" s="16" t="str">
        <f t="shared" ca="1" si="5"/>
        <v/>
      </c>
      <c r="P17" s="16" t="str">
        <f t="shared" ca="1" si="6"/>
        <v/>
      </c>
    </row>
    <row r="18" spans="1:16" x14ac:dyDescent="0.45">
      <c r="A18" s="27">
        <f>'Activity Plan'!A18</f>
        <v>0</v>
      </c>
      <c r="B18" s="27" t="str">
        <f>'Activity Plan'!C18</f>
        <v>T1-017</v>
      </c>
      <c r="C18" s="27" t="str">
        <f>'Activity Plan'!D18</f>
        <v>Hoeing (Young Coffee)</v>
      </c>
      <c r="D18" s="27">
        <f>'Activity Plan'!H18</f>
        <v>0</v>
      </c>
      <c r="E18" s="41" t="str">
        <f>'Annual Election'!E21</f>
        <v/>
      </c>
      <c r="F18" s="41" t="str">
        <f>'Annual Election'!H21</f>
        <v/>
      </c>
      <c r="G18" s="37"/>
      <c r="H18" s="46" t="str">
        <f t="shared" si="0"/>
        <v/>
      </c>
      <c r="I18" s="33" t="str">
        <f>IF(H18="","",H18*'Activity Plan'!I18)</f>
        <v/>
      </c>
      <c r="J18" s="46" t="str">
        <f t="shared" si="1"/>
        <v/>
      </c>
      <c r="K18" s="23"/>
      <c r="L18" s="47" t="str">
        <f t="shared" ca="1" si="2"/>
        <v/>
      </c>
      <c r="M18" s="16" t="str">
        <f t="shared" ca="1" si="3"/>
        <v/>
      </c>
      <c r="N18" s="46">
        <f t="shared" ca="1" si="4"/>
        <v>0</v>
      </c>
      <c r="O18" s="16" t="str">
        <f t="shared" ca="1" si="5"/>
        <v/>
      </c>
      <c r="P18" s="16" t="str">
        <f t="shared" ca="1" si="6"/>
        <v/>
      </c>
    </row>
    <row r="19" spans="1:16" x14ac:dyDescent="0.45">
      <c r="A19" s="27">
        <f>'Activity Plan'!A19</f>
        <v>0</v>
      </c>
      <c r="B19" s="27" t="str">
        <f>'Activity Plan'!C19</f>
        <v>T1-018</v>
      </c>
      <c r="C19" s="27" t="str">
        <f>'Activity Plan'!D19</f>
        <v>Fertilizing (Young Coffee)</v>
      </c>
      <c r="D19" s="27">
        <f>'Activity Plan'!H19</f>
        <v>0</v>
      </c>
      <c r="E19" s="41" t="str">
        <f>'Annual Election'!E22</f>
        <v/>
      </c>
      <c r="F19" s="41" t="str">
        <f>'Annual Election'!H22</f>
        <v/>
      </c>
      <c r="G19" s="37"/>
      <c r="H19" s="46" t="str">
        <f t="shared" si="0"/>
        <v/>
      </c>
      <c r="I19" s="33" t="str">
        <f>IF(H19="","",H19*'Activity Plan'!I19)</f>
        <v/>
      </c>
      <c r="J19" s="46" t="str">
        <f t="shared" si="1"/>
        <v/>
      </c>
      <c r="K19" s="23"/>
      <c r="L19" s="47" t="str">
        <f t="shared" ca="1" si="2"/>
        <v/>
      </c>
      <c r="M19" s="16" t="str">
        <f t="shared" ca="1" si="3"/>
        <v/>
      </c>
      <c r="N19" s="46">
        <f t="shared" ca="1" si="4"/>
        <v>0</v>
      </c>
      <c r="O19" s="16" t="str">
        <f t="shared" ca="1" si="5"/>
        <v/>
      </c>
      <c r="P19" s="16" t="str">
        <f t="shared" ca="1" si="6"/>
        <v/>
      </c>
    </row>
    <row r="20" spans="1:16" x14ac:dyDescent="0.45">
      <c r="A20" s="27">
        <f>'Activity Plan'!A20</f>
        <v>0</v>
      </c>
      <c r="B20" s="27" t="str">
        <f>'Activity Plan'!C20</f>
        <v>T1-019</v>
      </c>
      <c r="C20" s="27" t="str">
        <f>'Activity Plan'!D20</f>
        <v>Ring Weeding of Seedlings</v>
      </c>
      <c r="D20" s="27">
        <f>'Activity Plan'!H20</f>
        <v>0</v>
      </c>
      <c r="E20" s="41" t="str">
        <f>'Annual Election'!E23</f>
        <v/>
      </c>
      <c r="F20" s="41" t="str">
        <f>'Annual Election'!H23</f>
        <v/>
      </c>
      <c r="G20" s="37"/>
      <c r="H20" s="46" t="str">
        <f t="shared" si="0"/>
        <v/>
      </c>
      <c r="I20" s="33" t="str">
        <f>IF(H20="","",H20*'Activity Plan'!I20)</f>
        <v/>
      </c>
      <c r="J20" s="46" t="str">
        <f t="shared" si="1"/>
        <v/>
      </c>
      <c r="K20" s="23"/>
      <c r="L20" s="47" t="str">
        <f t="shared" ca="1" si="2"/>
        <v/>
      </c>
      <c r="M20" s="16" t="str">
        <f t="shared" ca="1" si="3"/>
        <v/>
      </c>
      <c r="N20" s="46">
        <f t="shared" ca="1" si="4"/>
        <v>0</v>
      </c>
      <c r="O20" s="16" t="str">
        <f t="shared" ca="1" si="5"/>
        <v/>
      </c>
      <c r="P20" s="16" t="str">
        <f t="shared" ca="1" si="6"/>
        <v/>
      </c>
    </row>
    <row r="21" spans="1:16" x14ac:dyDescent="0.45">
      <c r="A21" s="27">
        <f>'Activity Plan'!A21</f>
        <v>0</v>
      </c>
      <c r="B21" s="27" t="str">
        <f>'Activity Plan'!C21</f>
        <v>T1-020</v>
      </c>
      <c r="C21" s="27" t="str">
        <f>'Activity Plan'!D21</f>
        <v>Shade Tree Regulation</v>
      </c>
      <c r="D21" s="27">
        <f>'Activity Plan'!H21</f>
        <v>0</v>
      </c>
      <c r="E21" s="41" t="str">
        <f>'Annual Election'!E24</f>
        <v/>
      </c>
      <c r="F21" s="41" t="str">
        <f>'Annual Election'!H24</f>
        <v/>
      </c>
      <c r="G21" s="37"/>
      <c r="H21" s="46" t="str">
        <f t="shared" si="0"/>
        <v/>
      </c>
      <c r="I21" s="33" t="str">
        <f>IF(H21="","",H21*'Activity Plan'!I21)</f>
        <v/>
      </c>
      <c r="J21" s="46" t="str">
        <f t="shared" si="1"/>
        <v/>
      </c>
      <c r="K21" s="23"/>
      <c r="L21" s="47" t="str">
        <f t="shared" ca="1" si="2"/>
        <v/>
      </c>
      <c r="M21" s="16" t="str">
        <f t="shared" ca="1" si="3"/>
        <v/>
      </c>
      <c r="N21" s="46">
        <f t="shared" ca="1" si="4"/>
        <v>0</v>
      </c>
      <c r="O21" s="16" t="str">
        <f t="shared" ca="1" si="5"/>
        <v/>
      </c>
      <c r="P21" s="16" t="str">
        <f t="shared" ca="1" si="6"/>
        <v/>
      </c>
    </row>
    <row r="22" spans="1:16" x14ac:dyDescent="0.45">
      <c r="A22" s="27">
        <f>'Activity Plan'!A22</f>
        <v>0</v>
      </c>
      <c r="B22" s="27" t="str">
        <f>'Activity Plan'!C22</f>
        <v>T1-021</v>
      </c>
      <c r="C22" s="27" t="str">
        <f>'Activity Plan'!D22</f>
        <v>Compost Preparation</v>
      </c>
      <c r="D22" s="27">
        <f>'Activity Plan'!H22</f>
        <v>0</v>
      </c>
      <c r="E22" s="41" t="str">
        <f>'Annual Election'!E25</f>
        <v/>
      </c>
      <c r="F22" s="41" t="str">
        <f>'Annual Election'!H25</f>
        <v/>
      </c>
      <c r="G22" s="37"/>
      <c r="H22" s="46" t="str">
        <f t="shared" si="0"/>
        <v/>
      </c>
      <c r="I22" s="33" t="str">
        <f>IF(H22="","",H22*'Activity Plan'!I22)</f>
        <v/>
      </c>
      <c r="J22" s="46" t="str">
        <f t="shared" si="1"/>
        <v/>
      </c>
      <c r="K22" s="23"/>
      <c r="L22" s="47" t="str">
        <f t="shared" ca="1" si="2"/>
        <v/>
      </c>
      <c r="M22" s="16" t="str">
        <f t="shared" ca="1" si="3"/>
        <v/>
      </c>
      <c r="N22" s="46">
        <f t="shared" ca="1" si="4"/>
        <v>0</v>
      </c>
      <c r="O22" s="16" t="str">
        <f t="shared" ca="1" si="5"/>
        <v/>
      </c>
      <c r="P22" s="16" t="str">
        <f t="shared" ca="1" si="6"/>
        <v/>
      </c>
    </row>
    <row r="23" spans="1:16" x14ac:dyDescent="0.45">
      <c r="A23" s="27">
        <f>'Activity Plan'!A23</f>
        <v>0</v>
      </c>
      <c r="B23" s="27" t="str">
        <f>'Activity Plan'!C23</f>
        <v>T1-022</v>
      </c>
      <c r="C23" s="27" t="str">
        <f>'Activity Plan'!D23</f>
        <v>Ridge Construction</v>
      </c>
      <c r="D23" s="27">
        <f>'Activity Plan'!H23</f>
        <v>0</v>
      </c>
      <c r="E23" s="41" t="str">
        <f>'Annual Election'!E26</f>
        <v/>
      </c>
      <c r="F23" s="41" t="str">
        <f>'Annual Election'!H26</f>
        <v/>
      </c>
      <c r="G23" s="37"/>
      <c r="H23" s="46" t="str">
        <f t="shared" si="0"/>
        <v/>
      </c>
      <c r="I23" s="33" t="str">
        <f>IF(H23="","",H23*'Activity Plan'!I23)</f>
        <v/>
      </c>
      <c r="J23" s="46" t="str">
        <f t="shared" si="1"/>
        <v/>
      </c>
      <c r="K23" s="23"/>
      <c r="L23" s="47" t="str">
        <f t="shared" ca="1" si="2"/>
        <v/>
      </c>
      <c r="M23" s="16" t="str">
        <f t="shared" ca="1" si="3"/>
        <v/>
      </c>
      <c r="N23" s="46">
        <f t="shared" ca="1" si="4"/>
        <v>0</v>
      </c>
      <c r="O23" s="16" t="str">
        <f t="shared" ca="1" si="5"/>
        <v/>
      </c>
      <c r="P23" s="16" t="str">
        <f t="shared" ca="1" si="6"/>
        <v/>
      </c>
    </row>
    <row r="24" spans="1:16" x14ac:dyDescent="0.45">
      <c r="A24" s="27">
        <f>'Activity Plan'!A24</f>
        <v>0</v>
      </c>
      <c r="B24" s="27" t="str">
        <f>'Activity Plan'!C24</f>
        <v>T1-023</v>
      </c>
      <c r="C24" s="27" t="str">
        <f>'Activity Plan'!D24</f>
        <v>Manual Weeding</v>
      </c>
      <c r="D24" s="27">
        <f>'Activity Plan'!H24</f>
        <v>0</v>
      </c>
      <c r="E24" s="41" t="str">
        <f>'Annual Election'!E27</f>
        <v/>
      </c>
      <c r="F24" s="41" t="str">
        <f>'Annual Election'!H27</f>
        <v/>
      </c>
      <c r="G24" s="37"/>
      <c r="H24" s="46" t="str">
        <f t="shared" si="0"/>
        <v/>
      </c>
      <c r="I24" s="33" t="str">
        <f>IF(H24="","",H24*'Activity Plan'!I24)</f>
        <v/>
      </c>
      <c r="J24" s="46" t="str">
        <f t="shared" si="1"/>
        <v/>
      </c>
      <c r="K24" s="23"/>
      <c r="L24" s="47" t="str">
        <f t="shared" ca="1" si="2"/>
        <v/>
      </c>
      <c r="M24" s="16" t="str">
        <f t="shared" ca="1" si="3"/>
        <v/>
      </c>
      <c r="N24" s="46">
        <f t="shared" ca="1" si="4"/>
        <v>0</v>
      </c>
      <c r="O24" s="16" t="str">
        <f t="shared" ca="1" si="5"/>
        <v/>
      </c>
      <c r="P24" s="16" t="str">
        <f t="shared" ca="1" si="6"/>
        <v/>
      </c>
    </row>
    <row r="25" spans="1:16" x14ac:dyDescent="0.45">
      <c r="A25" s="27">
        <f>'Activity Plan'!A25</f>
        <v>0</v>
      </c>
      <c r="B25" s="27" t="str">
        <f>'Activity Plan'!C25</f>
        <v>T1-024</v>
      </c>
      <c r="C25" s="27" t="str">
        <f>'Activity Plan'!D25</f>
        <v>Chemical Weeding</v>
      </c>
      <c r="D25" s="27">
        <f>'Activity Plan'!H25</f>
        <v>0</v>
      </c>
      <c r="E25" s="41" t="str">
        <f>'Annual Election'!E28</f>
        <v/>
      </c>
      <c r="F25" s="41" t="str">
        <f>'Annual Election'!H28</f>
        <v/>
      </c>
      <c r="G25" s="37"/>
      <c r="H25" s="46" t="str">
        <f t="shared" si="0"/>
        <v/>
      </c>
      <c r="I25" s="33" t="str">
        <f>IF(H25="","",H25*'Activity Plan'!I25)</f>
        <v/>
      </c>
      <c r="J25" s="46" t="str">
        <f t="shared" si="1"/>
        <v/>
      </c>
      <c r="K25" s="23"/>
      <c r="L25" s="47" t="str">
        <f t="shared" ca="1" si="2"/>
        <v/>
      </c>
      <c r="M25" s="16" t="str">
        <f t="shared" ca="1" si="3"/>
        <v/>
      </c>
      <c r="N25" s="46">
        <f t="shared" ca="1" si="4"/>
        <v>0</v>
      </c>
      <c r="O25" s="16" t="str">
        <f t="shared" ca="1" si="5"/>
        <v/>
      </c>
      <c r="P25" s="16" t="str">
        <f t="shared" ca="1" si="6"/>
        <v/>
      </c>
    </row>
    <row r="26" spans="1:16" x14ac:dyDescent="0.45">
      <c r="A26" s="27">
        <f>'Activity Plan'!A26</f>
        <v>0</v>
      </c>
      <c r="B26" s="27" t="str">
        <f>'Activity Plan'!C26</f>
        <v>T1-025</v>
      </c>
      <c r="C26" s="27" t="str">
        <f>'Activity Plan'!D26</f>
        <v>Pruning (Matured Coffee)</v>
      </c>
      <c r="D26" s="27">
        <f>'Activity Plan'!H26</f>
        <v>0</v>
      </c>
      <c r="E26" s="41" t="str">
        <f>'Annual Election'!E29</f>
        <v/>
      </c>
      <c r="F26" s="41" t="str">
        <f>'Annual Election'!H29</f>
        <v/>
      </c>
      <c r="G26" s="37"/>
      <c r="H26" s="46" t="str">
        <f t="shared" si="0"/>
        <v/>
      </c>
      <c r="I26" s="33" t="str">
        <f>IF(H26="","",H26*'Activity Plan'!I26)</f>
        <v/>
      </c>
      <c r="J26" s="46" t="str">
        <f t="shared" si="1"/>
        <v/>
      </c>
      <c r="K26" s="23"/>
      <c r="L26" s="47" t="str">
        <f t="shared" ca="1" si="2"/>
        <v/>
      </c>
      <c r="M26" s="16" t="str">
        <f t="shared" ca="1" si="3"/>
        <v/>
      </c>
      <c r="N26" s="46">
        <f t="shared" ca="1" si="4"/>
        <v>0</v>
      </c>
      <c r="O26" s="16" t="str">
        <f t="shared" ca="1" si="5"/>
        <v/>
      </c>
      <c r="P26" s="16" t="str">
        <f t="shared" ca="1" si="6"/>
        <v/>
      </c>
    </row>
    <row r="27" spans="1:16" x14ac:dyDescent="0.45">
      <c r="A27" s="27">
        <f>'Activity Plan'!A27</f>
        <v>0</v>
      </c>
      <c r="B27" s="27" t="str">
        <f>'Activity Plan'!C27</f>
        <v>T1-026</v>
      </c>
      <c r="C27" s="27" t="str">
        <f>'Activity Plan'!D27</f>
        <v>Topping (Matured Coffee)</v>
      </c>
      <c r="D27" s="27">
        <f>'Activity Plan'!H27</f>
        <v>0</v>
      </c>
      <c r="E27" s="41" t="str">
        <f>'Annual Election'!E30</f>
        <v/>
      </c>
      <c r="F27" s="41" t="str">
        <f>'Annual Election'!H30</f>
        <v/>
      </c>
      <c r="G27" s="37"/>
      <c r="H27" s="46" t="str">
        <f t="shared" si="0"/>
        <v/>
      </c>
      <c r="I27" s="33" t="str">
        <f>IF(H27="","",H27*'Activity Plan'!I27)</f>
        <v/>
      </c>
      <c r="J27" s="46" t="str">
        <f t="shared" si="1"/>
        <v/>
      </c>
      <c r="K27" s="23"/>
      <c r="L27" s="47" t="str">
        <f t="shared" ca="1" si="2"/>
        <v/>
      </c>
      <c r="M27" s="16" t="str">
        <f t="shared" ca="1" si="3"/>
        <v/>
      </c>
      <c r="N27" s="46">
        <f t="shared" ca="1" si="4"/>
        <v>0</v>
      </c>
      <c r="O27" s="16" t="str">
        <f t="shared" ca="1" si="5"/>
        <v/>
      </c>
      <c r="P27" s="16" t="str">
        <f t="shared" ca="1" si="6"/>
        <v/>
      </c>
    </row>
    <row r="28" spans="1:16" x14ac:dyDescent="0.45">
      <c r="A28" s="27">
        <f>'Activity Plan'!A28</f>
        <v>0</v>
      </c>
      <c r="B28" s="27" t="str">
        <f>'Activity Plan'!C28</f>
        <v>T1-027</v>
      </c>
      <c r="C28" s="27" t="str">
        <f>'Activity Plan'!D28</f>
        <v>Handling and Desuckering</v>
      </c>
      <c r="D28" s="27">
        <f>'Activity Plan'!H28</f>
        <v>0</v>
      </c>
      <c r="E28" s="41" t="str">
        <f>'Annual Election'!E31</f>
        <v/>
      </c>
      <c r="F28" s="41" t="str">
        <f>'Annual Election'!H31</f>
        <v/>
      </c>
      <c r="G28" s="37"/>
      <c r="H28" s="46" t="str">
        <f t="shared" si="0"/>
        <v/>
      </c>
      <c r="I28" s="33" t="str">
        <f>IF(H28="","",H28*'Activity Plan'!I28)</f>
        <v/>
      </c>
      <c r="J28" s="46" t="str">
        <f t="shared" si="1"/>
        <v/>
      </c>
      <c r="K28" s="23"/>
      <c r="L28" s="47" t="str">
        <f t="shared" ca="1" si="2"/>
        <v/>
      </c>
      <c r="M28" s="16" t="str">
        <f t="shared" ca="1" si="3"/>
        <v/>
      </c>
      <c r="N28" s="46">
        <f t="shared" ca="1" si="4"/>
        <v>0</v>
      </c>
      <c r="O28" s="16" t="str">
        <f t="shared" ca="1" si="5"/>
        <v/>
      </c>
      <c r="P28" s="16" t="str">
        <f t="shared" ca="1" si="6"/>
        <v/>
      </c>
    </row>
    <row r="29" spans="1:16" x14ac:dyDescent="0.45">
      <c r="A29" s="27">
        <f>'Activity Plan'!A29</f>
        <v>0</v>
      </c>
      <c r="B29" s="27" t="str">
        <f>'Activity Plan'!C29</f>
        <v>T1-028</v>
      </c>
      <c r="C29" s="27" t="str">
        <f>'Activity Plan'!D29</f>
        <v>Coffee Tree Support/Staking</v>
      </c>
      <c r="D29" s="27">
        <f>'Activity Plan'!H29</f>
        <v>0</v>
      </c>
      <c r="E29" s="41" t="str">
        <f>'Annual Election'!E32</f>
        <v/>
      </c>
      <c r="F29" s="41" t="str">
        <f>'Annual Election'!H32</f>
        <v/>
      </c>
      <c r="G29" s="37"/>
      <c r="H29" s="46" t="str">
        <f t="shared" si="0"/>
        <v/>
      </c>
      <c r="I29" s="33" t="str">
        <f>IF(H29="","",H29*'Activity Plan'!I29)</f>
        <v/>
      </c>
      <c r="J29" s="46" t="str">
        <f t="shared" si="1"/>
        <v/>
      </c>
      <c r="K29" s="23"/>
      <c r="L29" s="47" t="str">
        <f t="shared" ca="1" si="2"/>
        <v/>
      </c>
      <c r="M29" s="16" t="str">
        <f t="shared" ca="1" si="3"/>
        <v/>
      </c>
      <c r="N29" s="46">
        <f t="shared" ca="1" si="4"/>
        <v>0</v>
      </c>
      <c r="O29" s="16" t="str">
        <f t="shared" ca="1" si="5"/>
        <v/>
      </c>
      <c r="P29" s="16" t="str">
        <f t="shared" ca="1" si="6"/>
        <v/>
      </c>
    </row>
    <row r="30" spans="1:16" x14ac:dyDescent="0.45">
      <c r="A30" s="27">
        <f>'Activity Plan'!A30</f>
        <v>0</v>
      </c>
      <c r="B30" s="27" t="str">
        <f>'Activity Plan'!C30</f>
        <v>T1-029</v>
      </c>
      <c r="C30" s="27" t="str">
        <f>'Activity Plan'!D30</f>
        <v>Watchman Tower (Matured Block)</v>
      </c>
      <c r="D30" s="27">
        <f>'Activity Plan'!H30</f>
        <v>0</v>
      </c>
      <c r="E30" s="41" t="str">
        <f>'Annual Election'!E33</f>
        <v/>
      </c>
      <c r="F30" s="41" t="str">
        <f>'Annual Election'!H33</f>
        <v/>
      </c>
      <c r="G30" s="37"/>
      <c r="H30" s="46" t="str">
        <f t="shared" si="0"/>
        <v/>
      </c>
      <c r="I30" s="33" t="str">
        <f>IF(H30="","",H30*'Activity Plan'!I30)</f>
        <v/>
      </c>
      <c r="J30" s="46" t="str">
        <f t="shared" si="1"/>
        <v/>
      </c>
      <c r="K30" s="23"/>
      <c r="L30" s="47" t="str">
        <f t="shared" ca="1" si="2"/>
        <v/>
      </c>
      <c r="M30" s="16" t="str">
        <f t="shared" ca="1" si="3"/>
        <v/>
      </c>
      <c r="N30" s="46">
        <f t="shared" ca="1" si="4"/>
        <v>0</v>
      </c>
      <c r="O30" s="16" t="str">
        <f t="shared" ca="1" si="5"/>
        <v/>
      </c>
      <c r="P30" s="16" t="str">
        <f t="shared" ca="1" si="6"/>
        <v/>
      </c>
    </row>
    <row r="31" spans="1:16" x14ac:dyDescent="0.45">
      <c r="A31" s="27">
        <f>'Activity Plan'!A31</f>
        <v>0</v>
      </c>
      <c r="B31" s="27" t="str">
        <f>'Activity Plan'!C31</f>
        <v>T1-030</v>
      </c>
      <c r="C31" s="27" t="str">
        <f>'Activity Plan'!D31</f>
        <v>Infill Peg Preparation</v>
      </c>
      <c r="D31" s="27">
        <f>'Activity Plan'!H31</f>
        <v>0</v>
      </c>
      <c r="E31" s="41" t="str">
        <f>'Annual Election'!E34</f>
        <v/>
      </c>
      <c r="F31" s="41" t="str">
        <f>'Annual Election'!H34</f>
        <v/>
      </c>
      <c r="G31" s="37"/>
      <c r="H31" s="46" t="str">
        <f t="shared" si="0"/>
        <v/>
      </c>
      <c r="I31" s="33" t="str">
        <f>IF(H31="","",H31*'Activity Plan'!I31)</f>
        <v/>
      </c>
      <c r="J31" s="46" t="str">
        <f t="shared" si="1"/>
        <v/>
      </c>
      <c r="K31" s="23"/>
      <c r="L31" s="47" t="str">
        <f t="shared" ca="1" si="2"/>
        <v/>
      </c>
      <c r="M31" s="16" t="str">
        <f t="shared" ca="1" si="3"/>
        <v/>
      </c>
      <c r="N31" s="46">
        <f t="shared" ca="1" si="4"/>
        <v>0</v>
      </c>
      <c r="O31" s="16" t="str">
        <f t="shared" ca="1" si="5"/>
        <v/>
      </c>
      <c r="P31" s="16" t="str">
        <f t="shared" ca="1" si="6"/>
        <v/>
      </c>
    </row>
    <row r="32" spans="1:16" x14ac:dyDescent="0.45">
      <c r="A32" s="27">
        <f>'Activity Plan'!A32</f>
        <v>0</v>
      </c>
      <c r="B32" s="27" t="str">
        <f>'Activity Plan'!C32</f>
        <v>T1-031</v>
      </c>
      <c r="C32" s="27" t="str">
        <f>'Activity Plan'!D32</f>
        <v>Infill Layout and Pegging</v>
      </c>
      <c r="D32" s="27">
        <f>'Activity Plan'!H32</f>
        <v>0</v>
      </c>
      <c r="E32" s="41" t="str">
        <f>'Annual Election'!E35</f>
        <v/>
      </c>
      <c r="F32" s="41" t="str">
        <f>'Annual Election'!H35</f>
        <v/>
      </c>
      <c r="G32" s="37"/>
      <c r="H32" s="46" t="str">
        <f t="shared" si="0"/>
        <v/>
      </c>
      <c r="I32" s="33" t="str">
        <f>IF(H32="","",H32*'Activity Plan'!I32)</f>
        <v/>
      </c>
      <c r="J32" s="46" t="str">
        <f t="shared" si="1"/>
        <v/>
      </c>
      <c r="K32" s="23"/>
      <c r="L32" s="47" t="str">
        <f t="shared" ca="1" si="2"/>
        <v/>
      </c>
      <c r="M32" s="16" t="str">
        <f t="shared" ca="1" si="3"/>
        <v/>
      </c>
      <c r="N32" s="46">
        <f t="shared" ca="1" si="4"/>
        <v>0</v>
      </c>
      <c r="O32" s="16" t="str">
        <f t="shared" ca="1" si="5"/>
        <v/>
      </c>
      <c r="P32" s="16" t="str">
        <f t="shared" ca="1" si="6"/>
        <v/>
      </c>
    </row>
    <row r="33" spans="1:16" x14ac:dyDescent="0.45">
      <c r="A33" s="27">
        <f>'Activity Plan'!A33</f>
        <v>0</v>
      </c>
      <c r="B33" s="27" t="str">
        <f>'Activity Plan'!C33</f>
        <v>T1-032</v>
      </c>
      <c r="C33" s="27" t="str">
        <f>'Activity Plan'!D33</f>
        <v>Infill Hole Digging</v>
      </c>
      <c r="D33" s="27">
        <f>'Activity Plan'!H33</f>
        <v>0</v>
      </c>
      <c r="E33" s="41" t="str">
        <f>'Annual Election'!E36</f>
        <v/>
      </c>
      <c r="F33" s="41" t="str">
        <f>'Annual Election'!H36</f>
        <v/>
      </c>
      <c r="G33" s="37"/>
      <c r="H33" s="46" t="str">
        <f t="shared" si="0"/>
        <v/>
      </c>
      <c r="I33" s="33" t="str">
        <f>IF(H33="","",H33*'Activity Plan'!I33)</f>
        <v/>
      </c>
      <c r="J33" s="46" t="str">
        <f t="shared" si="1"/>
        <v/>
      </c>
      <c r="K33" s="23"/>
      <c r="L33" s="47" t="str">
        <f t="shared" ca="1" si="2"/>
        <v/>
      </c>
      <c r="M33" s="16" t="str">
        <f t="shared" ca="1" si="3"/>
        <v/>
      </c>
      <c r="N33" s="46">
        <f t="shared" ca="1" si="4"/>
        <v>0</v>
      </c>
      <c r="O33" s="16" t="str">
        <f t="shared" ca="1" si="5"/>
        <v/>
      </c>
      <c r="P33" s="16" t="str">
        <f t="shared" ca="1" si="6"/>
        <v/>
      </c>
    </row>
    <row r="34" spans="1:16" x14ac:dyDescent="0.45">
      <c r="A34" s="27">
        <f>'Activity Plan'!A34</f>
        <v>0</v>
      </c>
      <c r="B34" s="27" t="str">
        <f>'Activity Plan'!C34</f>
        <v>T1-033</v>
      </c>
      <c r="C34" s="27" t="str">
        <f>'Activity Plan'!D34</f>
        <v>Infill Hole Refilling</v>
      </c>
      <c r="D34" s="27">
        <f>'Activity Plan'!H34</f>
        <v>0</v>
      </c>
      <c r="E34" s="41" t="str">
        <f>'Annual Election'!E37</f>
        <v/>
      </c>
      <c r="F34" s="41" t="str">
        <f>'Annual Election'!H37</f>
        <v/>
      </c>
      <c r="G34" s="37"/>
      <c r="H34" s="46" t="str">
        <f t="shared" ref="H34:H65" si="7">IF(OR(D34="",G34=""),"",D34*G34/100)</f>
        <v/>
      </c>
      <c r="I34" s="33" t="str">
        <f>IF(H34="","",H34*'Activity Plan'!I34)</f>
        <v/>
      </c>
      <c r="J34" s="46" t="str">
        <f t="shared" ref="J34:J65" si="8">IF(H34="","",D34-H34)</f>
        <v/>
      </c>
      <c r="K34" s="23"/>
      <c r="L34" s="47" t="str">
        <f t="shared" ref="L34:L65" ca="1" si="9">IF(K34="","",(TODAY()-K34)/7)</f>
        <v/>
      </c>
      <c r="M34" s="16" t="str">
        <f t="shared" ref="M34:M65" ca="1" si="10">IF(AND(L34&lt;&gt;"",L34&gt;=2,G34&lt;100),"AT RISK — no progress in 2+ weeks","")</f>
        <v/>
      </c>
      <c r="N34" s="46">
        <f t="shared" ref="N34:N65" ca="1" si="11">IF(AND(F34&lt;&gt;"",TODAY()&gt;F34,OR(G34="",G34&lt;100)),D34-IF(H34="",0,H34),0)</f>
        <v>0</v>
      </c>
      <c r="O34" s="16" t="str">
        <f t="shared" ref="O34:O65" ca="1" si="12">IF(N34&gt;0,"ROLL OVER — create a new Election/Activity Plan entry for the shortfall","")</f>
        <v/>
      </c>
      <c r="P34" s="16" t="str">
        <f t="shared" ref="P34:P65" ca="1" si="13">IF(M34&lt;&gt;"",C34,"")</f>
        <v/>
      </c>
    </row>
    <row r="35" spans="1:16" x14ac:dyDescent="0.45">
      <c r="A35" s="27">
        <f>'Activity Plan'!A35</f>
        <v>0</v>
      </c>
      <c r="B35" s="27" t="str">
        <f>'Activity Plan'!C35</f>
        <v>T1-034</v>
      </c>
      <c r="C35" s="27" t="str">
        <f>'Activity Plan'!D35</f>
        <v>Infill Watchman Tower Prep</v>
      </c>
      <c r="D35" s="27">
        <f>'Activity Plan'!H35</f>
        <v>0</v>
      </c>
      <c r="E35" s="41" t="str">
        <f>'Annual Election'!E38</f>
        <v/>
      </c>
      <c r="F35" s="41" t="str">
        <f>'Annual Election'!H38</f>
        <v/>
      </c>
      <c r="G35" s="37"/>
      <c r="H35" s="46" t="str">
        <f t="shared" si="7"/>
        <v/>
      </c>
      <c r="I35" s="33" t="str">
        <f>IF(H35="","",H35*'Activity Plan'!I35)</f>
        <v/>
      </c>
      <c r="J35" s="46" t="str">
        <f t="shared" si="8"/>
        <v/>
      </c>
      <c r="K35" s="23"/>
      <c r="L35" s="47" t="str">
        <f t="shared" ca="1" si="9"/>
        <v/>
      </c>
      <c r="M35" s="16" t="str">
        <f t="shared" ca="1" si="10"/>
        <v/>
      </c>
      <c r="N35" s="46">
        <f t="shared" ca="1" si="11"/>
        <v>0</v>
      </c>
      <c r="O35" s="16" t="str">
        <f t="shared" ca="1" si="12"/>
        <v/>
      </c>
      <c r="P35" s="16" t="str">
        <f t="shared" ca="1" si="13"/>
        <v/>
      </c>
    </row>
    <row r="36" spans="1:16" x14ac:dyDescent="0.45">
      <c r="A36" s="27">
        <f>'Activity Plan'!A36</f>
        <v>0</v>
      </c>
      <c r="B36" s="27" t="str">
        <f>'Activity Plan'!C36</f>
        <v>T1-035</v>
      </c>
      <c r="C36" s="27" t="str">
        <f>'Activity Plan'!D36</f>
        <v>Infill Seedling Transport</v>
      </c>
      <c r="D36" s="27">
        <f>'Activity Plan'!H36</f>
        <v>0</v>
      </c>
      <c r="E36" s="41" t="str">
        <f>'Annual Election'!E39</f>
        <v/>
      </c>
      <c r="F36" s="41" t="str">
        <f>'Annual Election'!H39</f>
        <v/>
      </c>
      <c r="G36" s="37"/>
      <c r="H36" s="46" t="str">
        <f t="shared" si="7"/>
        <v/>
      </c>
      <c r="I36" s="33" t="str">
        <f>IF(H36="","",H36*'Activity Plan'!I36)</f>
        <v/>
      </c>
      <c r="J36" s="46" t="str">
        <f t="shared" si="8"/>
        <v/>
      </c>
      <c r="K36" s="23"/>
      <c r="L36" s="47" t="str">
        <f t="shared" ca="1" si="9"/>
        <v/>
      </c>
      <c r="M36" s="16" t="str">
        <f t="shared" ca="1" si="10"/>
        <v/>
      </c>
      <c r="N36" s="46">
        <f t="shared" ca="1" si="11"/>
        <v>0</v>
      </c>
      <c r="O36" s="16" t="str">
        <f t="shared" ca="1" si="12"/>
        <v/>
      </c>
      <c r="P36" s="16" t="str">
        <f t="shared" ca="1" si="13"/>
        <v/>
      </c>
    </row>
    <row r="37" spans="1:16" x14ac:dyDescent="0.45">
      <c r="A37" s="27">
        <f>'Activity Plan'!A37</f>
        <v>0</v>
      </c>
      <c r="B37" s="27" t="str">
        <f>'Activity Plan'!C37</f>
        <v>T1-036</v>
      </c>
      <c r="C37" s="27" t="str">
        <f>'Activity Plan'!D37</f>
        <v>Infill Planting</v>
      </c>
      <c r="D37" s="27">
        <f>'Activity Plan'!H37</f>
        <v>0</v>
      </c>
      <c r="E37" s="41" t="str">
        <f>'Annual Election'!E40</f>
        <v/>
      </c>
      <c r="F37" s="41" t="str">
        <f>'Annual Election'!H40</f>
        <v/>
      </c>
      <c r="G37" s="37"/>
      <c r="H37" s="46" t="str">
        <f t="shared" si="7"/>
        <v/>
      </c>
      <c r="I37" s="33" t="str">
        <f>IF(H37="","",H37*'Activity Plan'!I37)</f>
        <v/>
      </c>
      <c r="J37" s="46" t="str">
        <f t="shared" si="8"/>
        <v/>
      </c>
      <c r="K37" s="23"/>
      <c r="L37" s="47" t="str">
        <f t="shared" ca="1" si="9"/>
        <v/>
      </c>
      <c r="M37" s="16" t="str">
        <f t="shared" ca="1" si="10"/>
        <v/>
      </c>
      <c r="N37" s="46">
        <f t="shared" ca="1" si="11"/>
        <v>0</v>
      </c>
      <c r="O37" s="16" t="str">
        <f t="shared" ca="1" si="12"/>
        <v/>
      </c>
      <c r="P37" s="16" t="str">
        <f t="shared" ca="1" si="13"/>
        <v/>
      </c>
    </row>
    <row r="38" spans="1:16" x14ac:dyDescent="0.45">
      <c r="A38" s="27">
        <f>'Activity Plan'!A38</f>
        <v>0</v>
      </c>
      <c r="B38" s="27" t="str">
        <f>'Activity Plan'!C38</f>
        <v>T1-037</v>
      </c>
      <c r="C38" s="27" t="str">
        <f>'Activity Plan'!D38</f>
        <v>Harvest Watchman Tower Prep</v>
      </c>
      <c r="D38" s="27">
        <f>'Activity Plan'!H38</f>
        <v>0</v>
      </c>
      <c r="E38" s="41" t="str">
        <f>'Annual Election'!E41</f>
        <v/>
      </c>
      <c r="F38" s="41" t="str">
        <f>'Annual Election'!H41</f>
        <v/>
      </c>
      <c r="G38" s="37"/>
      <c r="H38" s="46" t="str">
        <f t="shared" si="7"/>
        <v/>
      </c>
      <c r="I38" s="33" t="str">
        <f>IF(H38="","",H38*'Activity Plan'!I38)</f>
        <v/>
      </c>
      <c r="J38" s="46" t="str">
        <f t="shared" si="8"/>
        <v/>
      </c>
      <c r="K38" s="23"/>
      <c r="L38" s="47" t="str">
        <f t="shared" ca="1" si="9"/>
        <v/>
      </c>
      <c r="M38" s="16" t="str">
        <f t="shared" ca="1" si="10"/>
        <v/>
      </c>
      <c r="N38" s="46">
        <f t="shared" ca="1" si="11"/>
        <v>0</v>
      </c>
      <c r="O38" s="16" t="str">
        <f t="shared" ca="1" si="12"/>
        <v/>
      </c>
      <c r="P38" s="16" t="str">
        <f t="shared" ca="1" si="13"/>
        <v/>
      </c>
    </row>
    <row r="39" spans="1:16" x14ac:dyDescent="0.45">
      <c r="A39" s="27">
        <f>'Activity Plan'!A39</f>
        <v>0</v>
      </c>
      <c r="B39" s="27" t="str">
        <f>'Activity Plan'!C39</f>
        <v>T1-038</v>
      </c>
      <c r="C39" s="27" t="str">
        <f>'Activity Plan'!D39</f>
        <v>Drying Bed Material Prep and Transport</v>
      </c>
      <c r="D39" s="27">
        <f>'Activity Plan'!H39</f>
        <v>0</v>
      </c>
      <c r="E39" s="41" t="str">
        <f>'Annual Election'!E42</f>
        <v/>
      </c>
      <c r="F39" s="41" t="str">
        <f>'Annual Election'!H42</f>
        <v/>
      </c>
      <c r="G39" s="37"/>
      <c r="H39" s="46" t="str">
        <f t="shared" si="7"/>
        <v/>
      </c>
      <c r="I39" s="33" t="str">
        <f>IF(H39="","",H39*'Activity Plan'!I39)</f>
        <v/>
      </c>
      <c r="J39" s="46" t="str">
        <f t="shared" si="8"/>
        <v/>
      </c>
      <c r="K39" s="23"/>
      <c r="L39" s="47" t="str">
        <f t="shared" ca="1" si="9"/>
        <v/>
      </c>
      <c r="M39" s="16" t="str">
        <f t="shared" ca="1" si="10"/>
        <v/>
      </c>
      <c r="N39" s="46">
        <f t="shared" ca="1" si="11"/>
        <v>0</v>
      </c>
      <c r="O39" s="16" t="str">
        <f t="shared" ca="1" si="12"/>
        <v/>
      </c>
      <c r="P39" s="16" t="str">
        <f t="shared" ca="1" si="13"/>
        <v/>
      </c>
    </row>
    <row r="40" spans="1:16" x14ac:dyDescent="0.45">
      <c r="A40" s="27">
        <f>'Activity Plan'!A40</f>
        <v>0</v>
      </c>
      <c r="B40" s="27" t="str">
        <f>'Activity Plan'!C40</f>
        <v>T1-039</v>
      </c>
      <c r="C40" s="27" t="str">
        <f>'Activity Plan'!D40</f>
        <v>Drying Bed Site Cleaning</v>
      </c>
      <c r="D40" s="27">
        <f>'Activity Plan'!H40</f>
        <v>0</v>
      </c>
      <c r="E40" s="41" t="str">
        <f>'Annual Election'!E43</f>
        <v/>
      </c>
      <c r="F40" s="41" t="str">
        <f>'Annual Election'!H43</f>
        <v/>
      </c>
      <c r="G40" s="37"/>
      <c r="H40" s="46" t="str">
        <f t="shared" si="7"/>
        <v/>
      </c>
      <c r="I40" s="33" t="str">
        <f>IF(H40="","",H40*'Activity Plan'!I40)</f>
        <v/>
      </c>
      <c r="J40" s="46" t="str">
        <f t="shared" si="8"/>
        <v/>
      </c>
      <c r="K40" s="23"/>
      <c r="L40" s="47" t="str">
        <f t="shared" ca="1" si="9"/>
        <v/>
      </c>
      <c r="M40" s="16" t="str">
        <f t="shared" ca="1" si="10"/>
        <v/>
      </c>
      <c r="N40" s="46">
        <f t="shared" ca="1" si="11"/>
        <v>0</v>
      </c>
      <c r="O40" s="16" t="str">
        <f t="shared" ca="1" si="12"/>
        <v/>
      </c>
      <c r="P40" s="16" t="str">
        <f t="shared" ca="1" si="13"/>
        <v/>
      </c>
    </row>
    <row r="41" spans="1:16" x14ac:dyDescent="0.45">
      <c r="A41" s="27">
        <f>'Activity Plan'!A41</f>
        <v>0</v>
      </c>
      <c r="B41" s="27" t="str">
        <f>'Activity Plan'!C41</f>
        <v>T1-040</v>
      </c>
      <c r="C41" s="27" t="str">
        <f>'Activity Plan'!D41</f>
        <v>Drying Bed Construction</v>
      </c>
      <c r="D41" s="27">
        <f>'Activity Plan'!H41</f>
        <v>0</v>
      </c>
      <c r="E41" s="41" t="str">
        <f>'Annual Election'!E44</f>
        <v/>
      </c>
      <c r="F41" s="41" t="str">
        <f>'Annual Election'!H44</f>
        <v/>
      </c>
      <c r="G41" s="37"/>
      <c r="H41" s="46" t="str">
        <f t="shared" si="7"/>
        <v/>
      </c>
      <c r="I41" s="33" t="str">
        <f>IF(H41="","",H41*'Activity Plan'!I41)</f>
        <v/>
      </c>
      <c r="J41" s="46" t="str">
        <f t="shared" si="8"/>
        <v/>
      </c>
      <c r="K41" s="23"/>
      <c r="L41" s="47" t="str">
        <f t="shared" ca="1" si="9"/>
        <v/>
      </c>
      <c r="M41" s="16" t="str">
        <f t="shared" ca="1" si="10"/>
        <v/>
      </c>
      <c r="N41" s="46">
        <f t="shared" ca="1" si="11"/>
        <v>0</v>
      </c>
      <c r="O41" s="16" t="str">
        <f t="shared" ca="1" si="12"/>
        <v/>
      </c>
      <c r="P41" s="16" t="str">
        <f t="shared" ca="1" si="13"/>
        <v/>
      </c>
    </row>
    <row r="42" spans="1:16" x14ac:dyDescent="0.45">
      <c r="A42" s="27">
        <f>'Activity Plan'!A42</f>
        <v>0</v>
      </c>
      <c r="B42" s="27" t="str">
        <f>'Activity Plan'!C42</f>
        <v>T1-041</v>
      </c>
      <c r="C42" s="27" t="str">
        <f>'Activity Plan'!D42</f>
        <v>Selective Picking, Red Cherry</v>
      </c>
      <c r="D42" s="27">
        <f>'Activity Plan'!H42</f>
        <v>0</v>
      </c>
      <c r="E42" s="41" t="str">
        <f>'Annual Election'!E45</f>
        <v/>
      </c>
      <c r="F42" s="41" t="str">
        <f>'Annual Election'!H45</f>
        <v/>
      </c>
      <c r="G42" s="37"/>
      <c r="H42" s="46" t="str">
        <f t="shared" si="7"/>
        <v/>
      </c>
      <c r="I42" s="33" t="str">
        <f>IF(H42="","",H42*'Activity Plan'!I42)</f>
        <v/>
      </c>
      <c r="J42" s="46" t="str">
        <f t="shared" si="8"/>
        <v/>
      </c>
      <c r="K42" s="23"/>
      <c r="L42" s="47" t="str">
        <f t="shared" ca="1" si="9"/>
        <v/>
      </c>
      <c r="M42" s="16" t="str">
        <f t="shared" ca="1" si="10"/>
        <v/>
      </c>
      <c r="N42" s="46">
        <f t="shared" ca="1" si="11"/>
        <v>0</v>
      </c>
      <c r="O42" s="16" t="str">
        <f t="shared" ca="1" si="12"/>
        <v/>
      </c>
      <c r="P42" s="16" t="str">
        <f t="shared" ca="1" si="13"/>
        <v/>
      </c>
    </row>
    <row r="43" spans="1:16" x14ac:dyDescent="0.45">
      <c r="A43" s="27">
        <f>'Activity Plan'!A43</f>
        <v>0</v>
      </c>
      <c r="B43" s="27" t="str">
        <f>'Activity Plan'!C43</f>
        <v>T1-042</v>
      </c>
      <c r="C43" s="27" t="str">
        <f>'Activity Plan'!D43</f>
        <v>Cherry Drying on Bed</v>
      </c>
      <c r="D43" s="27">
        <f>'Activity Plan'!H43</f>
        <v>0</v>
      </c>
      <c r="E43" s="41" t="str">
        <f>'Annual Election'!E46</f>
        <v/>
      </c>
      <c r="F43" s="41" t="str">
        <f>'Annual Election'!H46</f>
        <v/>
      </c>
      <c r="G43" s="37"/>
      <c r="H43" s="46" t="str">
        <f t="shared" si="7"/>
        <v/>
      </c>
      <c r="I43" s="33" t="str">
        <f>IF(H43="","",H43*'Activity Plan'!I43)</f>
        <v/>
      </c>
      <c r="J43" s="46" t="str">
        <f t="shared" si="8"/>
        <v/>
      </c>
      <c r="K43" s="23"/>
      <c r="L43" s="47" t="str">
        <f t="shared" ca="1" si="9"/>
        <v/>
      </c>
      <c r="M43" s="16" t="str">
        <f t="shared" ca="1" si="10"/>
        <v/>
      </c>
      <c r="N43" s="46">
        <f t="shared" ca="1" si="11"/>
        <v>0</v>
      </c>
      <c r="O43" s="16" t="str">
        <f t="shared" ca="1" si="12"/>
        <v/>
      </c>
      <c r="P43" s="16" t="str">
        <f t="shared" ca="1" si="13"/>
        <v/>
      </c>
    </row>
    <row r="44" spans="1:16" x14ac:dyDescent="0.45">
      <c r="A44" s="27">
        <f>'Activity Plan'!A44</f>
        <v>0</v>
      </c>
      <c r="B44" s="27" t="str">
        <f>'Activity Plan'!C44</f>
        <v>T1-043</v>
      </c>
      <c r="C44" s="27" t="str">
        <f>'Activity Plan'!D44</f>
        <v>Drying Bed Maintenance</v>
      </c>
      <c r="D44" s="27">
        <f>'Activity Plan'!H44</f>
        <v>0</v>
      </c>
      <c r="E44" s="41" t="str">
        <f>'Annual Election'!E47</f>
        <v/>
      </c>
      <c r="F44" s="41" t="str">
        <f>'Annual Election'!H47</f>
        <v/>
      </c>
      <c r="G44" s="37"/>
      <c r="H44" s="46" t="str">
        <f t="shared" si="7"/>
        <v/>
      </c>
      <c r="I44" s="33" t="str">
        <f>IF(H44="","",H44*'Activity Plan'!I44)</f>
        <v/>
      </c>
      <c r="J44" s="46" t="str">
        <f t="shared" si="8"/>
        <v/>
      </c>
      <c r="K44" s="23"/>
      <c r="L44" s="47" t="str">
        <f t="shared" ca="1" si="9"/>
        <v/>
      </c>
      <c r="M44" s="16" t="str">
        <f t="shared" ca="1" si="10"/>
        <v/>
      </c>
      <c r="N44" s="46">
        <f t="shared" ca="1" si="11"/>
        <v>0</v>
      </c>
      <c r="O44" s="16" t="str">
        <f t="shared" ca="1" si="12"/>
        <v/>
      </c>
      <c r="P44" s="16" t="str">
        <f t="shared" ca="1" si="13"/>
        <v/>
      </c>
    </row>
    <row r="45" spans="1:16" x14ac:dyDescent="0.45">
      <c r="A45" s="27">
        <f>'Activity Plan'!A45</f>
        <v>0</v>
      </c>
      <c r="B45" s="27" t="str">
        <f>'Activity Plan'!C45</f>
        <v>T1-044</v>
      </c>
      <c r="C45" s="27" t="str">
        <f>'Activity Plan'!D45</f>
        <v>Weighing and Arranging Dry Coffee</v>
      </c>
      <c r="D45" s="27">
        <f>'Activity Plan'!H45</f>
        <v>0</v>
      </c>
      <c r="E45" s="41" t="str">
        <f>'Annual Election'!E48</f>
        <v/>
      </c>
      <c r="F45" s="41" t="str">
        <f>'Annual Election'!H48</f>
        <v/>
      </c>
      <c r="G45" s="37"/>
      <c r="H45" s="46" t="str">
        <f t="shared" si="7"/>
        <v/>
      </c>
      <c r="I45" s="33" t="str">
        <f>IF(H45="","",H45*'Activity Plan'!I45)</f>
        <v/>
      </c>
      <c r="J45" s="46" t="str">
        <f t="shared" si="8"/>
        <v/>
      </c>
      <c r="K45" s="23"/>
      <c r="L45" s="47" t="str">
        <f t="shared" ca="1" si="9"/>
        <v/>
      </c>
      <c r="M45" s="16" t="str">
        <f t="shared" ca="1" si="10"/>
        <v/>
      </c>
      <c r="N45" s="46">
        <f t="shared" ca="1" si="11"/>
        <v>0</v>
      </c>
      <c r="O45" s="16" t="str">
        <f t="shared" ca="1" si="12"/>
        <v/>
      </c>
      <c r="P45" s="16" t="str">
        <f t="shared" ca="1" si="13"/>
        <v/>
      </c>
    </row>
    <row r="46" spans="1:16" x14ac:dyDescent="0.45">
      <c r="A46" s="27">
        <f>'Activity Plan'!A46</f>
        <v>0</v>
      </c>
      <c r="B46" s="27" t="str">
        <f>'Activity Plan'!C46</f>
        <v>T1-045</v>
      </c>
      <c r="C46" s="27" t="str">
        <f>'Activity Plan'!D46</f>
        <v>Loading Dry Coffee, Farm 1 to 2</v>
      </c>
      <c r="D46" s="27">
        <f>'Activity Plan'!H46</f>
        <v>0</v>
      </c>
      <c r="E46" s="41" t="str">
        <f>'Annual Election'!E49</f>
        <v/>
      </c>
      <c r="F46" s="41" t="str">
        <f>'Annual Election'!H49</f>
        <v/>
      </c>
      <c r="G46" s="37"/>
      <c r="H46" s="46" t="str">
        <f t="shared" si="7"/>
        <v/>
      </c>
      <c r="I46" s="33" t="str">
        <f>IF(H46="","",H46*'Activity Plan'!I46)</f>
        <v/>
      </c>
      <c r="J46" s="46" t="str">
        <f t="shared" si="8"/>
        <v/>
      </c>
      <c r="K46" s="23"/>
      <c r="L46" s="47" t="str">
        <f t="shared" ca="1" si="9"/>
        <v/>
      </c>
      <c r="M46" s="16" t="str">
        <f t="shared" ca="1" si="10"/>
        <v/>
      </c>
      <c r="N46" s="46">
        <f t="shared" ca="1" si="11"/>
        <v>0</v>
      </c>
      <c r="O46" s="16" t="str">
        <f t="shared" ca="1" si="12"/>
        <v/>
      </c>
      <c r="P46" s="16" t="str">
        <f t="shared" ca="1" si="13"/>
        <v/>
      </c>
    </row>
    <row r="47" spans="1:16" x14ac:dyDescent="0.45">
      <c r="A47" s="27">
        <f>'Activity Plan'!A47</f>
        <v>0</v>
      </c>
      <c r="B47" s="27" t="str">
        <f>'Activity Plan'!C47</f>
        <v>T1-046</v>
      </c>
      <c r="C47" s="27" t="str">
        <f>'Activity Plan'!D47</f>
        <v>Loading Dry Coffee, Farm to Hulling</v>
      </c>
      <c r="D47" s="27">
        <f>'Activity Plan'!H47</f>
        <v>0</v>
      </c>
      <c r="E47" s="41" t="str">
        <f>'Annual Election'!E50</f>
        <v/>
      </c>
      <c r="F47" s="41" t="str">
        <f>'Annual Election'!H50</f>
        <v/>
      </c>
      <c r="G47" s="37"/>
      <c r="H47" s="46" t="str">
        <f t="shared" si="7"/>
        <v/>
      </c>
      <c r="I47" s="33" t="str">
        <f>IF(H47="","",H47*'Activity Plan'!I47)</f>
        <v/>
      </c>
      <c r="J47" s="46" t="str">
        <f t="shared" si="8"/>
        <v/>
      </c>
      <c r="K47" s="23"/>
      <c r="L47" s="47" t="str">
        <f t="shared" ca="1" si="9"/>
        <v/>
      </c>
      <c r="M47" s="16" t="str">
        <f t="shared" ca="1" si="10"/>
        <v/>
      </c>
      <c r="N47" s="46">
        <f t="shared" ca="1" si="11"/>
        <v>0</v>
      </c>
      <c r="O47" s="16" t="str">
        <f t="shared" ca="1" si="12"/>
        <v/>
      </c>
      <c r="P47" s="16" t="str">
        <f t="shared" ca="1" si="13"/>
        <v/>
      </c>
    </row>
    <row r="48" spans="1:16" x14ac:dyDescent="0.45">
      <c r="A48" s="27">
        <f>'Activity Plan'!A48</f>
        <v>0</v>
      </c>
      <c r="B48" s="27" t="str">
        <f>'Activity Plan'!C48</f>
        <v>T1-047</v>
      </c>
      <c r="C48" s="27" t="str">
        <f>'Activity Plan'!D48</f>
        <v>Transport Vehicle Rental</v>
      </c>
      <c r="D48" s="27">
        <f>'Activity Plan'!H48</f>
        <v>0</v>
      </c>
      <c r="E48" s="41" t="str">
        <f>'Annual Election'!E51</f>
        <v/>
      </c>
      <c r="F48" s="41" t="str">
        <f>'Annual Election'!H51</f>
        <v/>
      </c>
      <c r="G48" s="37"/>
      <c r="H48" s="46" t="str">
        <f t="shared" si="7"/>
        <v/>
      </c>
      <c r="I48" s="33" t="str">
        <f>IF(H48="","",H48*'Activity Plan'!I48)</f>
        <v/>
      </c>
      <c r="J48" s="46" t="str">
        <f t="shared" si="8"/>
        <v/>
      </c>
      <c r="K48" s="23"/>
      <c r="L48" s="47" t="str">
        <f t="shared" ca="1" si="9"/>
        <v/>
      </c>
      <c r="M48" s="16" t="str">
        <f t="shared" ca="1" si="10"/>
        <v/>
      </c>
      <c r="N48" s="46">
        <f t="shared" ca="1" si="11"/>
        <v>0</v>
      </c>
      <c r="O48" s="16" t="str">
        <f t="shared" ca="1" si="12"/>
        <v/>
      </c>
      <c r="P48" s="16" t="str">
        <f t="shared" ca="1" si="13"/>
        <v/>
      </c>
    </row>
    <row r="49" spans="1:16" x14ac:dyDescent="0.45">
      <c r="A49" s="27">
        <f>'Activity Plan'!A49</f>
        <v>0</v>
      </c>
      <c r="B49" s="27" t="str">
        <f>'Activity Plan'!C49</f>
        <v>T1-048</v>
      </c>
      <c r="C49" s="27" t="str">
        <f>'Activity Plan'!D49</f>
        <v>Unloading Dry Coffee at Hulling</v>
      </c>
      <c r="D49" s="27">
        <f>'Activity Plan'!H49</f>
        <v>0</v>
      </c>
      <c r="E49" s="41" t="str">
        <f>'Annual Election'!E52</f>
        <v/>
      </c>
      <c r="F49" s="41" t="str">
        <f>'Annual Election'!H52</f>
        <v/>
      </c>
      <c r="G49" s="37"/>
      <c r="H49" s="46" t="str">
        <f t="shared" si="7"/>
        <v/>
      </c>
      <c r="I49" s="33" t="str">
        <f>IF(H49="","",H49*'Activity Plan'!I49)</f>
        <v/>
      </c>
      <c r="J49" s="46" t="str">
        <f t="shared" si="8"/>
        <v/>
      </c>
      <c r="K49" s="23"/>
      <c r="L49" s="47" t="str">
        <f t="shared" ca="1" si="9"/>
        <v/>
      </c>
      <c r="M49" s="16" t="str">
        <f t="shared" ca="1" si="10"/>
        <v/>
      </c>
      <c r="N49" s="46">
        <f t="shared" ca="1" si="11"/>
        <v>0</v>
      </c>
      <c r="O49" s="16" t="str">
        <f t="shared" ca="1" si="12"/>
        <v/>
      </c>
      <c r="P49" s="16" t="str">
        <f t="shared" ca="1" si="13"/>
        <v/>
      </c>
    </row>
    <row r="50" spans="1:16" x14ac:dyDescent="0.45">
      <c r="A50" s="27">
        <f>'Activity Plan'!A50</f>
        <v>0</v>
      </c>
      <c r="B50" s="27" t="str">
        <f>'Activity Plan'!C50</f>
        <v>T1-049</v>
      </c>
      <c r="C50" s="27" t="str">
        <f>'Activity Plan'!D50</f>
        <v>Hulling of Dry Coffee (incl. VAT)</v>
      </c>
      <c r="D50" s="27">
        <f>'Activity Plan'!H50</f>
        <v>0</v>
      </c>
      <c r="E50" s="41" t="str">
        <f>'Annual Election'!E53</f>
        <v/>
      </c>
      <c r="F50" s="41" t="str">
        <f>'Annual Election'!H53</f>
        <v/>
      </c>
      <c r="G50" s="37"/>
      <c r="H50" s="46" t="str">
        <f t="shared" si="7"/>
        <v/>
      </c>
      <c r="I50" s="33" t="str">
        <f>IF(H50="","",H50*'Activity Plan'!I50)</f>
        <v/>
      </c>
      <c r="J50" s="46" t="str">
        <f t="shared" si="8"/>
        <v/>
      </c>
      <c r="K50" s="23"/>
      <c r="L50" s="47" t="str">
        <f t="shared" ca="1" si="9"/>
        <v/>
      </c>
      <c r="M50" s="16" t="str">
        <f t="shared" ca="1" si="10"/>
        <v/>
      </c>
      <c r="N50" s="46">
        <f t="shared" ca="1" si="11"/>
        <v>0</v>
      </c>
      <c r="O50" s="16" t="str">
        <f t="shared" ca="1" si="12"/>
        <v/>
      </c>
      <c r="P50" s="16" t="str">
        <f t="shared" ca="1" si="13"/>
        <v/>
      </c>
    </row>
    <row r="51" spans="1:16" x14ac:dyDescent="0.45">
      <c r="A51" s="27">
        <f>'Activity Plan'!A51</f>
        <v>0</v>
      </c>
      <c r="B51" s="27" t="str">
        <f>'Activity Plan'!C51</f>
        <v>T1-050</v>
      </c>
      <c r="C51" s="27" t="str">
        <f>'Activity Plan'!D51</f>
        <v>Unloading at Warehouse</v>
      </c>
      <c r="D51" s="27">
        <f>'Activity Plan'!H51</f>
        <v>0</v>
      </c>
      <c r="E51" s="41" t="str">
        <f>'Annual Election'!E54</f>
        <v/>
      </c>
      <c r="F51" s="41" t="str">
        <f>'Annual Election'!H54</f>
        <v/>
      </c>
      <c r="G51" s="37"/>
      <c r="H51" s="46" t="str">
        <f t="shared" si="7"/>
        <v/>
      </c>
      <c r="I51" s="33" t="str">
        <f>IF(H51="","",H51*'Activity Plan'!I51)</f>
        <v/>
      </c>
      <c r="J51" s="46" t="str">
        <f t="shared" si="8"/>
        <v/>
      </c>
      <c r="K51" s="23"/>
      <c r="L51" s="47" t="str">
        <f t="shared" ca="1" si="9"/>
        <v/>
      </c>
      <c r="M51" s="16" t="str">
        <f t="shared" ca="1" si="10"/>
        <v/>
      </c>
      <c r="N51" s="46">
        <f t="shared" ca="1" si="11"/>
        <v>0</v>
      </c>
      <c r="O51" s="16" t="str">
        <f t="shared" ca="1" si="12"/>
        <v/>
      </c>
      <c r="P51" s="16" t="str">
        <f t="shared" ca="1" si="13"/>
        <v/>
      </c>
    </row>
    <row r="52" spans="1:16" x14ac:dyDescent="0.45">
      <c r="A52" s="27">
        <f>'Activity Plan'!A52</f>
        <v>0</v>
      </c>
      <c r="B52" s="27" t="str">
        <f>'Activity Plan'!C52</f>
        <v>T1-051</v>
      </c>
      <c r="C52" s="27" t="str">
        <f>'Activity Plan'!D52</f>
        <v>Transport Clean Coffee to Addis Ababa</v>
      </c>
      <c r="D52" s="27">
        <f>'Activity Plan'!H52</f>
        <v>0</v>
      </c>
      <c r="E52" s="41" t="str">
        <f>'Annual Election'!E55</f>
        <v/>
      </c>
      <c r="F52" s="41" t="str">
        <f>'Annual Election'!H55</f>
        <v/>
      </c>
      <c r="G52" s="37"/>
      <c r="H52" s="46" t="str">
        <f t="shared" si="7"/>
        <v/>
      </c>
      <c r="I52" s="33" t="str">
        <f>IF(H52="","",H52*'Activity Plan'!I52)</f>
        <v/>
      </c>
      <c r="J52" s="46" t="str">
        <f t="shared" si="8"/>
        <v/>
      </c>
      <c r="K52" s="23"/>
      <c r="L52" s="47" t="str">
        <f t="shared" ca="1" si="9"/>
        <v/>
      </c>
      <c r="M52" s="16" t="str">
        <f t="shared" ca="1" si="10"/>
        <v/>
      </c>
      <c r="N52" s="46">
        <f t="shared" ca="1" si="11"/>
        <v>0</v>
      </c>
      <c r="O52" s="16" t="str">
        <f t="shared" ca="1" si="12"/>
        <v/>
      </c>
      <c r="P52" s="16" t="str">
        <f t="shared" ca="1" si="13"/>
        <v/>
      </c>
    </row>
    <row r="53" spans="1:16" x14ac:dyDescent="0.45">
      <c r="A53" s="27">
        <f>'Activity Plan'!A53</f>
        <v>0</v>
      </c>
      <c r="B53" s="27" t="str">
        <f>'Activity Plan'!C53</f>
        <v>T1-052</v>
      </c>
      <c r="C53" s="27" t="str">
        <f>'Activity Plan'!D53</f>
        <v>Drying Bed Removal</v>
      </c>
      <c r="D53" s="27">
        <f>'Activity Plan'!H53</f>
        <v>0</v>
      </c>
      <c r="E53" s="41" t="str">
        <f>'Annual Election'!E56</f>
        <v/>
      </c>
      <c r="F53" s="41" t="str">
        <f>'Annual Election'!H56</f>
        <v/>
      </c>
      <c r="G53" s="37"/>
      <c r="H53" s="46" t="str">
        <f t="shared" si="7"/>
        <v/>
      </c>
      <c r="I53" s="33" t="str">
        <f>IF(H53="","",H53*'Activity Plan'!I53)</f>
        <v/>
      </c>
      <c r="J53" s="46" t="str">
        <f t="shared" si="8"/>
        <v/>
      </c>
      <c r="K53" s="23"/>
      <c r="L53" s="47" t="str">
        <f t="shared" ca="1" si="9"/>
        <v/>
      </c>
      <c r="M53" s="16" t="str">
        <f t="shared" ca="1" si="10"/>
        <v/>
      </c>
      <c r="N53" s="46">
        <f t="shared" ca="1" si="11"/>
        <v>0</v>
      </c>
      <c r="O53" s="16" t="str">
        <f t="shared" ca="1" si="12"/>
        <v/>
      </c>
      <c r="P53" s="16" t="str">
        <f t="shared" ca="1" si="13"/>
        <v/>
      </c>
    </row>
    <row r="54" spans="1:16" x14ac:dyDescent="0.45">
      <c r="A54" s="27">
        <f>'Activity Plan'!A54</f>
        <v>0</v>
      </c>
      <c r="B54" s="27" t="str">
        <f>'Activity Plan'!C54</f>
        <v>T2-001</v>
      </c>
      <c r="C54" s="27" t="str">
        <f>'Activity Plan'!D54</f>
        <v>Harvest Planning</v>
      </c>
      <c r="D54" s="27">
        <f>'Activity Plan'!H54</f>
        <v>0</v>
      </c>
      <c r="E54" s="41" t="str">
        <f>'Annual Election'!E57</f>
        <v/>
      </c>
      <c r="F54" s="41" t="str">
        <f>'Annual Election'!H57</f>
        <v/>
      </c>
      <c r="G54" s="37"/>
      <c r="H54" s="46" t="str">
        <f t="shared" si="7"/>
        <v/>
      </c>
      <c r="I54" s="33" t="str">
        <f>IF(H54="","",H54*'Activity Plan'!I54)</f>
        <v/>
      </c>
      <c r="J54" s="46" t="str">
        <f t="shared" si="8"/>
        <v/>
      </c>
      <c r="K54" s="23"/>
      <c r="L54" s="47" t="str">
        <f t="shared" ca="1" si="9"/>
        <v/>
      </c>
      <c r="M54" s="16" t="str">
        <f t="shared" ca="1" si="10"/>
        <v/>
      </c>
      <c r="N54" s="46">
        <f t="shared" ca="1" si="11"/>
        <v>0</v>
      </c>
      <c r="O54" s="16" t="str">
        <f t="shared" ca="1" si="12"/>
        <v/>
      </c>
      <c r="P54" s="16" t="str">
        <f t="shared" ca="1" si="13"/>
        <v/>
      </c>
    </row>
    <row r="55" spans="1:16" x14ac:dyDescent="0.45">
      <c r="A55" s="27">
        <f>'Activity Plan'!A55</f>
        <v>0</v>
      </c>
      <c r="B55" s="27" t="str">
        <f>'Activity Plan'!C55</f>
        <v>T2-002</v>
      </c>
      <c r="C55" s="27" t="str">
        <f>'Activity Plan'!D55</f>
        <v>Labour Mobilisation</v>
      </c>
      <c r="D55" s="27">
        <f>'Activity Plan'!H55</f>
        <v>0</v>
      </c>
      <c r="E55" s="41" t="str">
        <f>'Annual Election'!E58</f>
        <v/>
      </c>
      <c r="F55" s="41" t="str">
        <f>'Annual Election'!H58</f>
        <v/>
      </c>
      <c r="G55" s="37"/>
      <c r="H55" s="46" t="str">
        <f t="shared" si="7"/>
        <v/>
      </c>
      <c r="I55" s="33" t="str">
        <f>IF(H55="","",H55*'Activity Plan'!I55)</f>
        <v/>
      </c>
      <c r="J55" s="46" t="str">
        <f t="shared" si="8"/>
        <v/>
      </c>
      <c r="K55" s="23"/>
      <c r="L55" s="47" t="str">
        <f t="shared" ca="1" si="9"/>
        <v/>
      </c>
      <c r="M55" s="16" t="str">
        <f t="shared" ca="1" si="10"/>
        <v/>
      </c>
      <c r="N55" s="46">
        <f t="shared" ca="1" si="11"/>
        <v>0</v>
      </c>
      <c r="O55" s="16" t="str">
        <f t="shared" ca="1" si="12"/>
        <v/>
      </c>
      <c r="P55" s="16" t="str">
        <f t="shared" ca="1" si="13"/>
        <v/>
      </c>
    </row>
    <row r="56" spans="1:16" x14ac:dyDescent="0.45">
      <c r="A56" s="27">
        <f>'Activity Plan'!A56</f>
        <v>0</v>
      </c>
      <c r="B56" s="27" t="str">
        <f>'Activity Plan'!C56</f>
        <v>T2-003</v>
      </c>
      <c r="C56" s="27" t="str">
        <f>'Activity Plan'!D56</f>
        <v>Harvest Supervision</v>
      </c>
      <c r="D56" s="27">
        <f>'Activity Plan'!H56</f>
        <v>0</v>
      </c>
      <c r="E56" s="41" t="str">
        <f>'Annual Election'!E59</f>
        <v/>
      </c>
      <c r="F56" s="41" t="str">
        <f>'Annual Election'!H59</f>
        <v/>
      </c>
      <c r="G56" s="37"/>
      <c r="H56" s="46" t="str">
        <f t="shared" si="7"/>
        <v/>
      </c>
      <c r="I56" s="33" t="str">
        <f>IF(H56="","",H56*'Activity Plan'!I56)</f>
        <v/>
      </c>
      <c r="J56" s="46" t="str">
        <f t="shared" si="8"/>
        <v/>
      </c>
      <c r="K56" s="23"/>
      <c r="L56" s="47" t="str">
        <f t="shared" ca="1" si="9"/>
        <v/>
      </c>
      <c r="M56" s="16" t="str">
        <f t="shared" ca="1" si="10"/>
        <v/>
      </c>
      <c r="N56" s="46">
        <f t="shared" ca="1" si="11"/>
        <v>0</v>
      </c>
      <c r="O56" s="16" t="str">
        <f t="shared" ca="1" si="12"/>
        <v/>
      </c>
      <c r="P56" s="16" t="str">
        <f t="shared" ca="1" si="13"/>
        <v/>
      </c>
    </row>
    <row r="57" spans="1:16" x14ac:dyDescent="0.45">
      <c r="A57" s="27">
        <f>'Activity Plan'!A57</f>
        <v>0</v>
      </c>
      <c r="B57" s="27" t="str">
        <f>'Activity Plan'!C57</f>
        <v>T2-004</v>
      </c>
      <c r="C57" s="27" t="str">
        <f>'Activity Plan'!D57</f>
        <v>Daily Production Monitoring</v>
      </c>
      <c r="D57" s="27">
        <f>'Activity Plan'!H57</f>
        <v>0</v>
      </c>
      <c r="E57" s="41" t="str">
        <f>'Annual Election'!E60</f>
        <v/>
      </c>
      <c r="F57" s="41" t="str">
        <f>'Annual Election'!H60</f>
        <v/>
      </c>
      <c r="G57" s="37"/>
      <c r="H57" s="46" t="str">
        <f t="shared" si="7"/>
        <v/>
      </c>
      <c r="I57" s="33" t="str">
        <f>IF(H57="","",H57*'Activity Plan'!I57)</f>
        <v/>
      </c>
      <c r="J57" s="46" t="str">
        <f t="shared" si="8"/>
        <v/>
      </c>
      <c r="K57" s="23"/>
      <c r="L57" s="47" t="str">
        <f t="shared" ca="1" si="9"/>
        <v/>
      </c>
      <c r="M57" s="16" t="str">
        <f t="shared" ca="1" si="10"/>
        <v/>
      </c>
      <c r="N57" s="46">
        <f t="shared" ca="1" si="11"/>
        <v>0</v>
      </c>
      <c r="O57" s="16" t="str">
        <f t="shared" ca="1" si="12"/>
        <v/>
      </c>
      <c r="P57" s="16" t="str">
        <f t="shared" ca="1" si="13"/>
        <v/>
      </c>
    </row>
    <row r="58" spans="1:16" x14ac:dyDescent="0.45">
      <c r="A58" s="27">
        <f>'Activity Plan'!A58</f>
        <v>0</v>
      </c>
      <c r="B58" s="27" t="str">
        <f>'Activity Plan'!C58</f>
        <v>T2-005</v>
      </c>
      <c r="C58" s="27" t="str">
        <f>'Activity Plan'!D58</f>
        <v>Quality Monitoring (Harvest)</v>
      </c>
      <c r="D58" s="27">
        <f>'Activity Plan'!H58</f>
        <v>0</v>
      </c>
      <c r="E58" s="41" t="str">
        <f>'Annual Election'!E61</f>
        <v/>
      </c>
      <c r="F58" s="41" t="str">
        <f>'Annual Election'!H61</f>
        <v/>
      </c>
      <c r="G58" s="37"/>
      <c r="H58" s="46" t="str">
        <f t="shared" si="7"/>
        <v/>
      </c>
      <c r="I58" s="33" t="str">
        <f>IF(H58="","",H58*'Activity Plan'!I58)</f>
        <v/>
      </c>
      <c r="J58" s="46" t="str">
        <f t="shared" si="8"/>
        <v/>
      </c>
      <c r="K58" s="23"/>
      <c r="L58" s="47" t="str">
        <f t="shared" ca="1" si="9"/>
        <v/>
      </c>
      <c r="M58" s="16" t="str">
        <f t="shared" ca="1" si="10"/>
        <v/>
      </c>
      <c r="N58" s="46">
        <f t="shared" ca="1" si="11"/>
        <v>0</v>
      </c>
      <c r="O58" s="16" t="str">
        <f t="shared" ca="1" si="12"/>
        <v/>
      </c>
      <c r="P58" s="16" t="str">
        <f t="shared" ca="1" si="13"/>
        <v/>
      </c>
    </row>
    <row r="59" spans="1:16" x14ac:dyDescent="0.45">
      <c r="A59" s="27">
        <f>'Activity Plan'!A59</f>
        <v>0</v>
      </c>
      <c r="B59" s="27" t="str">
        <f>'Activity Plan'!C59</f>
        <v>T2-006</v>
      </c>
      <c r="C59" s="27" t="str">
        <f>'Activity Plan'!D59</f>
        <v>Cherry Movement Coordination</v>
      </c>
      <c r="D59" s="27">
        <f>'Activity Plan'!H59</f>
        <v>0</v>
      </c>
      <c r="E59" s="41" t="str">
        <f>'Annual Election'!E62</f>
        <v/>
      </c>
      <c r="F59" s="41" t="str">
        <f>'Annual Election'!H62</f>
        <v/>
      </c>
      <c r="G59" s="37"/>
      <c r="H59" s="46" t="str">
        <f t="shared" si="7"/>
        <v/>
      </c>
      <c r="I59" s="33" t="str">
        <f>IF(H59="","",H59*'Activity Plan'!I59)</f>
        <v/>
      </c>
      <c r="J59" s="46" t="str">
        <f t="shared" si="8"/>
        <v/>
      </c>
      <c r="K59" s="23"/>
      <c r="L59" s="47" t="str">
        <f t="shared" ca="1" si="9"/>
        <v/>
      </c>
      <c r="M59" s="16" t="str">
        <f t="shared" ca="1" si="10"/>
        <v/>
      </c>
      <c r="N59" s="46">
        <f t="shared" ca="1" si="11"/>
        <v>0</v>
      </c>
      <c r="O59" s="16" t="str">
        <f t="shared" ca="1" si="12"/>
        <v/>
      </c>
      <c r="P59" s="16" t="str">
        <f t="shared" ca="1" si="13"/>
        <v/>
      </c>
    </row>
    <row r="60" spans="1:16" x14ac:dyDescent="0.45">
      <c r="A60" s="27">
        <f>'Activity Plan'!A60</f>
        <v>0</v>
      </c>
      <c r="B60" s="27" t="str">
        <f>'Activity Plan'!C60</f>
        <v>T2-007</v>
      </c>
      <c r="C60" s="27" t="str">
        <f>'Activity Plan'!D60</f>
        <v>Daily Harvest Reporting</v>
      </c>
      <c r="D60" s="27">
        <f>'Activity Plan'!H60</f>
        <v>0</v>
      </c>
      <c r="E60" s="41" t="str">
        <f>'Annual Election'!E63</f>
        <v/>
      </c>
      <c r="F60" s="41" t="str">
        <f>'Annual Election'!H63</f>
        <v/>
      </c>
      <c r="G60" s="37"/>
      <c r="H60" s="46" t="str">
        <f t="shared" si="7"/>
        <v/>
      </c>
      <c r="I60" s="33" t="str">
        <f>IF(H60="","",H60*'Activity Plan'!I60)</f>
        <v/>
      </c>
      <c r="J60" s="46" t="str">
        <f t="shared" si="8"/>
        <v/>
      </c>
      <c r="K60" s="23"/>
      <c r="L60" s="47" t="str">
        <f t="shared" ca="1" si="9"/>
        <v/>
      </c>
      <c r="M60" s="16" t="str">
        <f t="shared" ca="1" si="10"/>
        <v/>
      </c>
      <c r="N60" s="46">
        <f t="shared" ca="1" si="11"/>
        <v>0</v>
      </c>
      <c r="O60" s="16" t="str">
        <f t="shared" ca="1" si="12"/>
        <v/>
      </c>
      <c r="P60" s="16" t="str">
        <f t="shared" ca="1" si="13"/>
        <v/>
      </c>
    </row>
    <row r="61" spans="1:16" x14ac:dyDescent="0.45">
      <c r="A61" s="27">
        <f>'Activity Plan'!A61</f>
        <v>0</v>
      </c>
      <c r="B61" s="27" t="str">
        <f>'Activity Plan'!C61</f>
        <v>T2-008</v>
      </c>
      <c r="C61" s="27" t="str">
        <f>'Activity Plan'!D61</f>
        <v>Yield Reconciliation</v>
      </c>
      <c r="D61" s="27">
        <f>'Activity Plan'!H61</f>
        <v>0</v>
      </c>
      <c r="E61" s="41" t="str">
        <f>'Annual Election'!E64</f>
        <v/>
      </c>
      <c r="F61" s="41" t="str">
        <f>'Annual Election'!H64</f>
        <v/>
      </c>
      <c r="G61" s="37"/>
      <c r="H61" s="46" t="str">
        <f t="shared" si="7"/>
        <v/>
      </c>
      <c r="I61" s="33" t="str">
        <f>IF(H61="","",H61*'Activity Plan'!I61)</f>
        <v/>
      </c>
      <c r="J61" s="46" t="str">
        <f t="shared" si="8"/>
        <v/>
      </c>
      <c r="K61" s="23"/>
      <c r="L61" s="47" t="str">
        <f t="shared" ca="1" si="9"/>
        <v/>
      </c>
      <c r="M61" s="16" t="str">
        <f t="shared" ca="1" si="10"/>
        <v/>
      </c>
      <c r="N61" s="46">
        <f t="shared" ca="1" si="11"/>
        <v>0</v>
      </c>
      <c r="O61" s="16" t="str">
        <f t="shared" ca="1" si="12"/>
        <v/>
      </c>
      <c r="P61" s="16" t="str">
        <f t="shared" ca="1" si="13"/>
        <v/>
      </c>
    </row>
    <row r="62" spans="1:16" x14ac:dyDescent="0.45">
      <c r="A62" s="27">
        <f>'Activity Plan'!A62</f>
        <v>0</v>
      </c>
      <c r="B62" s="27" t="str">
        <f>'Activity Plan'!C62</f>
        <v>T2-009</v>
      </c>
      <c r="C62" s="27" t="str">
        <f>'Activity Plan'!D62</f>
        <v>Harvest Close-Out</v>
      </c>
      <c r="D62" s="27">
        <f>'Activity Plan'!H62</f>
        <v>0</v>
      </c>
      <c r="E62" s="41" t="str">
        <f>'Annual Election'!E65</f>
        <v/>
      </c>
      <c r="F62" s="41" t="str">
        <f>'Annual Election'!H65</f>
        <v/>
      </c>
      <c r="G62" s="37"/>
      <c r="H62" s="46" t="str">
        <f t="shared" si="7"/>
        <v/>
      </c>
      <c r="I62" s="33" t="str">
        <f>IF(H62="","",H62*'Activity Plan'!I62)</f>
        <v/>
      </c>
      <c r="J62" s="46" t="str">
        <f t="shared" si="8"/>
        <v/>
      </c>
      <c r="K62" s="23"/>
      <c r="L62" s="47" t="str">
        <f t="shared" ca="1" si="9"/>
        <v/>
      </c>
      <c r="M62" s="16" t="str">
        <f t="shared" ca="1" si="10"/>
        <v/>
      </c>
      <c r="N62" s="46">
        <f t="shared" ca="1" si="11"/>
        <v>0</v>
      </c>
      <c r="O62" s="16" t="str">
        <f t="shared" ca="1" si="12"/>
        <v/>
      </c>
      <c r="P62" s="16" t="str">
        <f t="shared" ca="1" si="13"/>
        <v/>
      </c>
    </row>
    <row r="63" spans="1:16" x14ac:dyDescent="0.45">
      <c r="A63" s="27">
        <f>'Activity Plan'!A63</f>
        <v>0</v>
      </c>
      <c r="B63" s="27" t="str">
        <f>'Activity Plan'!C63</f>
        <v>T2-010</v>
      </c>
      <c r="C63" s="27" t="str">
        <f>'Activity Plan'!D63</f>
        <v>Cherry Reception</v>
      </c>
      <c r="D63" s="27">
        <f>'Activity Plan'!H63</f>
        <v>0</v>
      </c>
      <c r="E63" s="41" t="str">
        <f>'Annual Election'!E66</f>
        <v/>
      </c>
      <c r="F63" s="41" t="str">
        <f>'Annual Election'!H66</f>
        <v/>
      </c>
      <c r="G63" s="37"/>
      <c r="H63" s="46" t="str">
        <f t="shared" si="7"/>
        <v/>
      </c>
      <c r="I63" s="33" t="str">
        <f>IF(H63="","",H63*'Activity Plan'!I63)</f>
        <v/>
      </c>
      <c r="J63" s="46" t="str">
        <f t="shared" si="8"/>
        <v/>
      </c>
      <c r="K63" s="23"/>
      <c r="L63" s="47" t="str">
        <f t="shared" ca="1" si="9"/>
        <v/>
      </c>
      <c r="M63" s="16" t="str">
        <f t="shared" ca="1" si="10"/>
        <v/>
      </c>
      <c r="N63" s="46">
        <f t="shared" ca="1" si="11"/>
        <v>0</v>
      </c>
      <c r="O63" s="16" t="str">
        <f t="shared" ca="1" si="12"/>
        <v/>
      </c>
      <c r="P63" s="16" t="str">
        <f t="shared" ca="1" si="13"/>
        <v/>
      </c>
    </row>
    <row r="64" spans="1:16" x14ac:dyDescent="0.45">
      <c r="A64" s="27">
        <f>'Activity Plan'!A64</f>
        <v>0</v>
      </c>
      <c r="B64" s="27" t="str">
        <f>'Activity Plan'!C64</f>
        <v>T2-011</v>
      </c>
      <c r="C64" s="27" t="str">
        <f>'Activity Plan'!D64</f>
        <v>Washing Supervision</v>
      </c>
      <c r="D64" s="27">
        <f>'Activity Plan'!H64</f>
        <v>0</v>
      </c>
      <c r="E64" s="41" t="str">
        <f>'Annual Election'!E67</f>
        <v/>
      </c>
      <c r="F64" s="41" t="str">
        <f>'Annual Election'!H67</f>
        <v/>
      </c>
      <c r="G64" s="37"/>
      <c r="H64" s="46" t="str">
        <f t="shared" si="7"/>
        <v/>
      </c>
      <c r="I64" s="33" t="str">
        <f>IF(H64="","",H64*'Activity Plan'!I64)</f>
        <v/>
      </c>
      <c r="J64" s="46" t="str">
        <f t="shared" si="8"/>
        <v/>
      </c>
      <c r="K64" s="23"/>
      <c r="L64" s="47" t="str">
        <f t="shared" ca="1" si="9"/>
        <v/>
      </c>
      <c r="M64" s="16" t="str">
        <f t="shared" ca="1" si="10"/>
        <v/>
      </c>
      <c r="N64" s="46">
        <f t="shared" ca="1" si="11"/>
        <v>0</v>
      </c>
      <c r="O64" s="16" t="str">
        <f t="shared" ca="1" si="12"/>
        <v/>
      </c>
      <c r="P64" s="16" t="str">
        <f t="shared" ca="1" si="13"/>
        <v/>
      </c>
    </row>
    <row r="65" spans="1:16" x14ac:dyDescent="0.45">
      <c r="A65" s="27">
        <f>'Activity Plan'!A65</f>
        <v>0</v>
      </c>
      <c r="B65" s="27" t="str">
        <f>'Activity Plan'!C65</f>
        <v>T2-012</v>
      </c>
      <c r="C65" s="27" t="str">
        <f>'Activity Plan'!D65</f>
        <v>Fermentation Supervision</v>
      </c>
      <c r="D65" s="27">
        <f>'Activity Plan'!H65</f>
        <v>0</v>
      </c>
      <c r="E65" s="41" t="str">
        <f>'Annual Election'!E68</f>
        <v/>
      </c>
      <c r="F65" s="41" t="str">
        <f>'Annual Election'!H68</f>
        <v/>
      </c>
      <c r="G65" s="37"/>
      <c r="H65" s="46" t="str">
        <f t="shared" si="7"/>
        <v/>
      </c>
      <c r="I65" s="33" t="str">
        <f>IF(H65="","",H65*'Activity Plan'!I65)</f>
        <v/>
      </c>
      <c r="J65" s="46" t="str">
        <f t="shared" si="8"/>
        <v/>
      </c>
      <c r="K65" s="23"/>
      <c r="L65" s="47" t="str">
        <f t="shared" ca="1" si="9"/>
        <v/>
      </c>
      <c r="M65" s="16" t="str">
        <f t="shared" ca="1" si="10"/>
        <v/>
      </c>
      <c r="N65" s="46">
        <f t="shared" ca="1" si="11"/>
        <v>0</v>
      </c>
      <c r="O65" s="16" t="str">
        <f t="shared" ca="1" si="12"/>
        <v/>
      </c>
      <c r="P65" s="16" t="str">
        <f t="shared" ca="1" si="13"/>
        <v/>
      </c>
    </row>
    <row r="66" spans="1:16" x14ac:dyDescent="0.45">
      <c r="A66" s="27">
        <f>'Activity Plan'!A66</f>
        <v>0</v>
      </c>
      <c r="B66" s="27" t="str">
        <f>'Activity Plan'!C66</f>
        <v>T2-013</v>
      </c>
      <c r="C66" s="27" t="str">
        <f>'Activity Plan'!D66</f>
        <v>Drying Supervision</v>
      </c>
      <c r="D66" s="27">
        <f>'Activity Plan'!H66</f>
        <v>0</v>
      </c>
      <c r="E66" s="41" t="str">
        <f>'Annual Election'!E69</f>
        <v/>
      </c>
      <c r="F66" s="41" t="str">
        <f>'Annual Election'!H69</f>
        <v/>
      </c>
      <c r="G66" s="37"/>
      <c r="H66" s="46" t="str">
        <f t="shared" ref="H66:H97" si="14">IF(OR(D66="",G66=""),"",D66*G66/100)</f>
        <v/>
      </c>
      <c r="I66" s="33" t="str">
        <f>IF(H66="","",H66*'Activity Plan'!I66)</f>
        <v/>
      </c>
      <c r="J66" s="46" t="str">
        <f t="shared" ref="J66:J97" si="15">IF(H66="","",D66-H66)</f>
        <v/>
      </c>
      <c r="K66" s="23"/>
      <c r="L66" s="47" t="str">
        <f t="shared" ref="L66:L97" ca="1" si="16">IF(K66="","",(TODAY()-K66)/7)</f>
        <v/>
      </c>
      <c r="M66" s="16" t="str">
        <f t="shared" ref="M66:M97" ca="1" si="17">IF(AND(L66&lt;&gt;"",L66&gt;=2,G66&lt;100),"AT RISK — no progress in 2+ weeks","")</f>
        <v/>
      </c>
      <c r="N66" s="46">
        <f t="shared" ref="N66:N97" ca="1" si="18">IF(AND(F66&lt;&gt;"",TODAY()&gt;F66,OR(G66="",G66&lt;100)),D66-IF(H66="",0,H66),0)</f>
        <v>0</v>
      </c>
      <c r="O66" s="16" t="str">
        <f t="shared" ref="O66:O97" ca="1" si="19">IF(N66&gt;0,"ROLL OVER — create a new Election/Activity Plan entry for the shortfall","")</f>
        <v/>
      </c>
      <c r="P66" s="16" t="str">
        <f t="shared" ref="P66:P97" ca="1" si="20">IF(M66&lt;&gt;"",C66,"")</f>
        <v/>
      </c>
    </row>
    <row r="67" spans="1:16" x14ac:dyDescent="0.45">
      <c r="A67" s="27">
        <f>'Activity Plan'!A67</f>
        <v>0</v>
      </c>
      <c r="B67" s="27" t="str">
        <f>'Activity Plan'!C67</f>
        <v>T2-014</v>
      </c>
      <c r="C67" s="27" t="str">
        <f>'Activity Plan'!D67</f>
        <v>Moisture Management</v>
      </c>
      <c r="D67" s="27">
        <f>'Activity Plan'!H67</f>
        <v>0</v>
      </c>
      <c r="E67" s="41" t="str">
        <f>'Annual Election'!E70</f>
        <v/>
      </c>
      <c r="F67" s="41" t="str">
        <f>'Annual Election'!H70</f>
        <v/>
      </c>
      <c r="G67" s="37"/>
      <c r="H67" s="46" t="str">
        <f t="shared" si="14"/>
        <v/>
      </c>
      <c r="I67" s="33" t="str">
        <f>IF(H67="","",H67*'Activity Plan'!I67)</f>
        <v/>
      </c>
      <c r="J67" s="46" t="str">
        <f t="shared" si="15"/>
        <v/>
      </c>
      <c r="K67" s="23"/>
      <c r="L67" s="47" t="str">
        <f t="shared" ca="1" si="16"/>
        <v/>
      </c>
      <c r="M67" s="16" t="str">
        <f t="shared" ca="1" si="17"/>
        <v/>
      </c>
      <c r="N67" s="46">
        <f t="shared" ca="1" si="18"/>
        <v>0</v>
      </c>
      <c r="O67" s="16" t="str">
        <f t="shared" ca="1" si="19"/>
        <v/>
      </c>
      <c r="P67" s="16" t="str">
        <f t="shared" ca="1" si="20"/>
        <v/>
      </c>
    </row>
    <row r="68" spans="1:16" x14ac:dyDescent="0.45">
      <c r="A68" s="27">
        <f>'Activity Plan'!A68</f>
        <v>0</v>
      </c>
      <c r="B68" s="27" t="str">
        <f>'Activity Plan'!C68</f>
        <v>T2-015</v>
      </c>
      <c r="C68" s="27" t="str">
        <f>'Activity Plan'!D68</f>
        <v>Parchment Storage</v>
      </c>
      <c r="D68" s="27">
        <f>'Activity Plan'!H68</f>
        <v>0</v>
      </c>
      <c r="E68" s="41" t="str">
        <f>'Annual Election'!E71</f>
        <v/>
      </c>
      <c r="F68" s="41" t="str">
        <f>'Annual Election'!H71</f>
        <v/>
      </c>
      <c r="G68" s="37"/>
      <c r="H68" s="46" t="str">
        <f t="shared" si="14"/>
        <v/>
      </c>
      <c r="I68" s="33" t="str">
        <f>IF(H68="","",H68*'Activity Plan'!I68)</f>
        <v/>
      </c>
      <c r="J68" s="46" t="str">
        <f t="shared" si="15"/>
        <v/>
      </c>
      <c r="K68" s="23"/>
      <c r="L68" s="47" t="str">
        <f t="shared" ca="1" si="16"/>
        <v/>
      </c>
      <c r="M68" s="16" t="str">
        <f t="shared" ca="1" si="17"/>
        <v/>
      </c>
      <c r="N68" s="46">
        <f t="shared" ca="1" si="18"/>
        <v>0</v>
      </c>
      <c r="O68" s="16" t="str">
        <f t="shared" ca="1" si="19"/>
        <v/>
      </c>
      <c r="P68" s="16" t="str">
        <f t="shared" ca="1" si="20"/>
        <v/>
      </c>
    </row>
    <row r="69" spans="1:16" x14ac:dyDescent="0.45">
      <c r="A69" s="27">
        <f>'Activity Plan'!A69</f>
        <v>0</v>
      </c>
      <c r="B69" s="27" t="str">
        <f>'Activity Plan'!C69</f>
        <v>T2-016</v>
      </c>
      <c r="C69" s="27" t="str">
        <f>'Activity Plan'!D69</f>
        <v>Warehouse Management</v>
      </c>
      <c r="D69" s="27">
        <f>'Activity Plan'!H69</f>
        <v>0</v>
      </c>
      <c r="E69" s="41" t="str">
        <f>'Annual Election'!E72</f>
        <v/>
      </c>
      <c r="F69" s="41" t="str">
        <f>'Annual Election'!H72</f>
        <v/>
      </c>
      <c r="G69" s="37"/>
      <c r="H69" s="46" t="str">
        <f t="shared" si="14"/>
        <v/>
      </c>
      <c r="I69" s="33" t="str">
        <f>IF(H69="","",H69*'Activity Plan'!I69)</f>
        <v/>
      </c>
      <c r="J69" s="46" t="str">
        <f t="shared" si="15"/>
        <v/>
      </c>
      <c r="K69" s="23"/>
      <c r="L69" s="47" t="str">
        <f t="shared" ca="1" si="16"/>
        <v/>
      </c>
      <c r="M69" s="16" t="str">
        <f t="shared" ca="1" si="17"/>
        <v/>
      </c>
      <c r="N69" s="46">
        <f t="shared" ca="1" si="18"/>
        <v>0</v>
      </c>
      <c r="O69" s="16" t="str">
        <f t="shared" ca="1" si="19"/>
        <v/>
      </c>
      <c r="P69" s="16" t="str">
        <f t="shared" ca="1" si="20"/>
        <v/>
      </c>
    </row>
    <row r="70" spans="1:16" x14ac:dyDescent="0.45">
      <c r="A70" s="27">
        <f>'Activity Plan'!A70</f>
        <v>0</v>
      </c>
      <c r="B70" s="27" t="str">
        <f>'Activity Plan'!C70</f>
        <v>T2-017</v>
      </c>
      <c r="C70" s="27" t="str">
        <f>'Activity Plan'!D70</f>
        <v>Inventory Reconciliation</v>
      </c>
      <c r="D70" s="27">
        <f>'Activity Plan'!H70</f>
        <v>0</v>
      </c>
      <c r="E70" s="41" t="str">
        <f>'Annual Election'!E73</f>
        <v/>
      </c>
      <c r="F70" s="41" t="str">
        <f>'Annual Election'!H73</f>
        <v/>
      </c>
      <c r="G70" s="37"/>
      <c r="H70" s="46" t="str">
        <f t="shared" si="14"/>
        <v/>
      </c>
      <c r="I70" s="33" t="str">
        <f>IF(H70="","",H70*'Activity Plan'!I70)</f>
        <v/>
      </c>
      <c r="J70" s="46" t="str">
        <f t="shared" si="15"/>
        <v/>
      </c>
      <c r="K70" s="23"/>
      <c r="L70" s="47" t="str">
        <f t="shared" ca="1" si="16"/>
        <v/>
      </c>
      <c r="M70" s="16" t="str">
        <f t="shared" ca="1" si="17"/>
        <v/>
      </c>
      <c r="N70" s="46">
        <f t="shared" ca="1" si="18"/>
        <v>0</v>
      </c>
      <c r="O70" s="16" t="str">
        <f t="shared" ca="1" si="19"/>
        <v/>
      </c>
      <c r="P70" s="16" t="str">
        <f t="shared" ca="1" si="20"/>
        <v/>
      </c>
    </row>
    <row r="71" spans="1:16" x14ac:dyDescent="0.45">
      <c r="A71" s="27">
        <f>'Activity Plan'!A71</f>
        <v>0</v>
      </c>
      <c r="B71" s="27" t="str">
        <f>'Activity Plan'!C71</f>
        <v>T2-018</v>
      </c>
      <c r="C71" s="27" t="str">
        <f>'Activity Plan'!D71</f>
        <v>Internal Transport Coordination</v>
      </c>
      <c r="D71" s="27">
        <f>'Activity Plan'!H71</f>
        <v>0</v>
      </c>
      <c r="E71" s="41" t="str">
        <f>'Annual Election'!E74</f>
        <v/>
      </c>
      <c r="F71" s="41" t="str">
        <f>'Annual Election'!H74</f>
        <v/>
      </c>
      <c r="G71" s="37"/>
      <c r="H71" s="46" t="str">
        <f t="shared" si="14"/>
        <v/>
      </c>
      <c r="I71" s="33" t="str">
        <f>IF(H71="","",H71*'Activity Plan'!I71)</f>
        <v/>
      </c>
      <c r="J71" s="46" t="str">
        <f t="shared" si="15"/>
        <v/>
      </c>
      <c r="K71" s="23"/>
      <c r="L71" s="47" t="str">
        <f t="shared" ca="1" si="16"/>
        <v/>
      </c>
      <c r="M71" s="16" t="str">
        <f t="shared" ca="1" si="17"/>
        <v/>
      </c>
      <c r="N71" s="46">
        <f t="shared" ca="1" si="18"/>
        <v>0</v>
      </c>
      <c r="O71" s="16" t="str">
        <f t="shared" ca="1" si="19"/>
        <v/>
      </c>
      <c r="P71" s="16" t="str">
        <f t="shared" ca="1" si="20"/>
        <v/>
      </c>
    </row>
    <row r="72" spans="1:16" x14ac:dyDescent="0.45">
      <c r="A72" s="27">
        <f>'Activity Plan'!A72</f>
        <v>0</v>
      </c>
      <c r="B72" s="27" t="str">
        <f>'Activity Plan'!C72</f>
        <v>T2-019</v>
      </c>
      <c r="C72" s="27" t="str">
        <f>'Activity Plan'!D72</f>
        <v>Hulling Supervision</v>
      </c>
      <c r="D72" s="27">
        <f>'Activity Plan'!H72</f>
        <v>0</v>
      </c>
      <c r="E72" s="41" t="str">
        <f>'Annual Election'!E75</f>
        <v/>
      </c>
      <c r="F72" s="41" t="str">
        <f>'Annual Election'!H75</f>
        <v/>
      </c>
      <c r="G72" s="37"/>
      <c r="H72" s="46" t="str">
        <f t="shared" si="14"/>
        <v/>
      </c>
      <c r="I72" s="33" t="str">
        <f>IF(H72="","",H72*'Activity Plan'!I72)</f>
        <v/>
      </c>
      <c r="J72" s="46" t="str">
        <f t="shared" si="15"/>
        <v/>
      </c>
      <c r="K72" s="23"/>
      <c r="L72" s="47" t="str">
        <f t="shared" ca="1" si="16"/>
        <v/>
      </c>
      <c r="M72" s="16" t="str">
        <f t="shared" ca="1" si="17"/>
        <v/>
      </c>
      <c r="N72" s="46">
        <f t="shared" ca="1" si="18"/>
        <v>0</v>
      </c>
      <c r="O72" s="16" t="str">
        <f t="shared" ca="1" si="19"/>
        <v/>
      </c>
      <c r="P72" s="16" t="str">
        <f t="shared" ca="1" si="20"/>
        <v/>
      </c>
    </row>
    <row r="73" spans="1:16" x14ac:dyDescent="0.45">
      <c r="A73" s="27">
        <f>'Activity Plan'!A73</f>
        <v>0</v>
      </c>
      <c r="B73" s="27" t="str">
        <f>'Activity Plan'!C73</f>
        <v>T2-020</v>
      </c>
      <c r="C73" s="27" t="str">
        <f>'Activity Plan'!D73</f>
        <v>Stock Management</v>
      </c>
      <c r="D73" s="27">
        <f>'Activity Plan'!H73</f>
        <v>0</v>
      </c>
      <c r="E73" s="41" t="str">
        <f>'Annual Election'!E76</f>
        <v/>
      </c>
      <c r="F73" s="41" t="str">
        <f>'Annual Election'!H76</f>
        <v/>
      </c>
      <c r="G73" s="37"/>
      <c r="H73" s="46" t="str">
        <f t="shared" si="14"/>
        <v/>
      </c>
      <c r="I73" s="33" t="str">
        <f>IF(H73="","",H73*'Activity Plan'!I73)</f>
        <v/>
      </c>
      <c r="J73" s="46" t="str">
        <f t="shared" si="15"/>
        <v/>
      </c>
      <c r="K73" s="23"/>
      <c r="L73" s="47" t="str">
        <f t="shared" ca="1" si="16"/>
        <v/>
      </c>
      <c r="M73" s="16" t="str">
        <f t="shared" ca="1" si="17"/>
        <v/>
      </c>
      <c r="N73" s="46">
        <f t="shared" ca="1" si="18"/>
        <v>0</v>
      </c>
      <c r="O73" s="16" t="str">
        <f t="shared" ca="1" si="19"/>
        <v/>
      </c>
      <c r="P73" s="16" t="str">
        <f t="shared" ca="1" si="20"/>
        <v/>
      </c>
    </row>
    <row r="74" spans="1:16" x14ac:dyDescent="0.45">
      <c r="A74" s="27">
        <f>'Activity Plan'!A74</f>
        <v>0</v>
      </c>
      <c r="B74" s="27" t="str">
        <f>'Activity Plan'!C74</f>
        <v>T2-021</v>
      </c>
      <c r="C74" s="27" t="str">
        <f>'Activity Plan'!D74</f>
        <v>Loss Control</v>
      </c>
      <c r="D74" s="27">
        <f>'Activity Plan'!H74</f>
        <v>0</v>
      </c>
      <c r="E74" s="41" t="str">
        <f>'Annual Election'!E77</f>
        <v/>
      </c>
      <c r="F74" s="41" t="str">
        <f>'Annual Election'!H77</f>
        <v/>
      </c>
      <c r="G74" s="37"/>
      <c r="H74" s="46" t="str">
        <f t="shared" si="14"/>
        <v/>
      </c>
      <c r="I74" s="33" t="str">
        <f>IF(H74="","",H74*'Activity Plan'!I74)</f>
        <v/>
      </c>
      <c r="J74" s="46" t="str">
        <f t="shared" si="15"/>
        <v/>
      </c>
      <c r="K74" s="23"/>
      <c r="L74" s="47" t="str">
        <f t="shared" ca="1" si="16"/>
        <v/>
      </c>
      <c r="M74" s="16" t="str">
        <f t="shared" ca="1" si="17"/>
        <v/>
      </c>
      <c r="N74" s="46">
        <f t="shared" ca="1" si="18"/>
        <v>0</v>
      </c>
      <c r="O74" s="16" t="str">
        <f t="shared" ca="1" si="19"/>
        <v/>
      </c>
      <c r="P74" s="16" t="str">
        <f t="shared" ca="1" si="20"/>
        <v/>
      </c>
    </row>
    <row r="75" spans="1:16" x14ac:dyDescent="0.45">
      <c r="A75" s="27">
        <f>'Activity Plan'!A75</f>
        <v>0</v>
      </c>
      <c r="B75" s="27" t="str">
        <f>'Activity Plan'!C75</f>
        <v>T2-022</v>
      </c>
      <c r="C75" s="27" t="str">
        <f>'Activity Plan'!D75</f>
        <v>Export Grading Coordination</v>
      </c>
      <c r="D75" s="27">
        <f>'Activity Plan'!H75</f>
        <v>0</v>
      </c>
      <c r="E75" s="41" t="str">
        <f>'Annual Election'!E78</f>
        <v/>
      </c>
      <c r="F75" s="41" t="str">
        <f>'Annual Election'!H78</f>
        <v/>
      </c>
      <c r="G75" s="37"/>
      <c r="H75" s="46" t="str">
        <f t="shared" si="14"/>
        <v/>
      </c>
      <c r="I75" s="33" t="str">
        <f>IF(H75="","",H75*'Activity Plan'!I75)</f>
        <v/>
      </c>
      <c r="J75" s="46" t="str">
        <f t="shared" si="15"/>
        <v/>
      </c>
      <c r="K75" s="23"/>
      <c r="L75" s="47" t="str">
        <f t="shared" ca="1" si="16"/>
        <v/>
      </c>
      <c r="M75" s="16" t="str">
        <f t="shared" ca="1" si="17"/>
        <v/>
      </c>
      <c r="N75" s="46">
        <f t="shared" ca="1" si="18"/>
        <v>0</v>
      </c>
      <c r="O75" s="16" t="str">
        <f t="shared" ca="1" si="19"/>
        <v/>
      </c>
      <c r="P75" s="16" t="str">
        <f t="shared" ca="1" si="20"/>
        <v/>
      </c>
    </row>
    <row r="76" spans="1:16" x14ac:dyDescent="0.45">
      <c r="A76" s="27">
        <f>'Activity Plan'!A76</f>
        <v>0</v>
      </c>
      <c r="B76" s="27" t="str">
        <f>'Activity Plan'!C76</f>
        <v>T2-023</v>
      </c>
      <c r="C76" s="27" t="str">
        <f>'Activity Plan'!D76</f>
        <v>Quality Inspection Coordination</v>
      </c>
      <c r="D76" s="27">
        <f>'Activity Plan'!H76</f>
        <v>0</v>
      </c>
      <c r="E76" s="41" t="str">
        <f>'Annual Election'!E79</f>
        <v/>
      </c>
      <c r="F76" s="41" t="str">
        <f>'Annual Election'!H79</f>
        <v/>
      </c>
      <c r="G76" s="37"/>
      <c r="H76" s="46" t="str">
        <f t="shared" si="14"/>
        <v/>
      </c>
      <c r="I76" s="33" t="str">
        <f>IF(H76="","",H76*'Activity Plan'!I76)</f>
        <v/>
      </c>
      <c r="J76" s="46" t="str">
        <f t="shared" si="15"/>
        <v/>
      </c>
      <c r="K76" s="23"/>
      <c r="L76" s="47" t="str">
        <f t="shared" ca="1" si="16"/>
        <v/>
      </c>
      <c r="M76" s="16" t="str">
        <f t="shared" ca="1" si="17"/>
        <v/>
      </c>
      <c r="N76" s="46">
        <f t="shared" ca="1" si="18"/>
        <v>0</v>
      </c>
      <c r="O76" s="16" t="str">
        <f t="shared" ca="1" si="19"/>
        <v/>
      </c>
      <c r="P76" s="16" t="str">
        <f t="shared" ca="1" si="20"/>
        <v/>
      </c>
    </row>
    <row r="77" spans="1:16" x14ac:dyDescent="0.45">
      <c r="A77" s="27">
        <f>'Activity Plan'!A77</f>
        <v>0</v>
      </c>
      <c r="B77" s="27" t="str">
        <f>'Activity Plan'!C77</f>
        <v>T2-024</v>
      </c>
      <c r="C77" s="27" t="str">
        <f>'Activity Plan'!D77</f>
        <v>Sample Preparation</v>
      </c>
      <c r="D77" s="27">
        <f>'Activity Plan'!H77</f>
        <v>0</v>
      </c>
      <c r="E77" s="41" t="str">
        <f>'Annual Election'!E80</f>
        <v/>
      </c>
      <c r="F77" s="41" t="str">
        <f>'Annual Election'!H80</f>
        <v/>
      </c>
      <c r="G77" s="37"/>
      <c r="H77" s="46" t="str">
        <f t="shared" si="14"/>
        <v/>
      </c>
      <c r="I77" s="33" t="str">
        <f>IF(H77="","",H77*'Activity Plan'!I77)</f>
        <v/>
      </c>
      <c r="J77" s="46" t="str">
        <f t="shared" si="15"/>
        <v/>
      </c>
      <c r="K77" s="23"/>
      <c r="L77" s="47" t="str">
        <f t="shared" ca="1" si="16"/>
        <v/>
      </c>
      <c r="M77" s="16" t="str">
        <f t="shared" ca="1" si="17"/>
        <v/>
      </c>
      <c r="N77" s="46">
        <f t="shared" ca="1" si="18"/>
        <v>0</v>
      </c>
      <c r="O77" s="16" t="str">
        <f t="shared" ca="1" si="19"/>
        <v/>
      </c>
      <c r="P77" s="16" t="str">
        <f t="shared" ca="1" si="20"/>
        <v/>
      </c>
    </row>
    <row r="78" spans="1:16" x14ac:dyDescent="0.45">
      <c r="A78" s="27">
        <f>'Activity Plan'!A78</f>
        <v>0</v>
      </c>
      <c r="B78" s="27" t="str">
        <f>'Activity Plan'!C78</f>
        <v>T2-025</v>
      </c>
      <c r="C78" s="27" t="str">
        <f>'Activity Plan'!D78</f>
        <v>Client Correspondence</v>
      </c>
      <c r="D78" s="27">
        <f>'Activity Plan'!H78</f>
        <v>0</v>
      </c>
      <c r="E78" s="41" t="str">
        <f>'Annual Election'!E81</f>
        <v/>
      </c>
      <c r="F78" s="41" t="str">
        <f>'Annual Election'!H81</f>
        <v/>
      </c>
      <c r="G78" s="37"/>
      <c r="H78" s="46" t="str">
        <f t="shared" si="14"/>
        <v/>
      </c>
      <c r="I78" s="33" t="str">
        <f>IF(H78="","",H78*'Activity Plan'!I78)</f>
        <v/>
      </c>
      <c r="J78" s="46" t="str">
        <f t="shared" si="15"/>
        <v/>
      </c>
      <c r="K78" s="23"/>
      <c r="L78" s="47" t="str">
        <f t="shared" ca="1" si="16"/>
        <v/>
      </c>
      <c r="M78" s="16" t="str">
        <f t="shared" ca="1" si="17"/>
        <v/>
      </c>
      <c r="N78" s="46">
        <f t="shared" ca="1" si="18"/>
        <v>0</v>
      </c>
      <c r="O78" s="16" t="str">
        <f t="shared" ca="1" si="19"/>
        <v/>
      </c>
      <c r="P78" s="16" t="str">
        <f t="shared" ca="1" si="20"/>
        <v/>
      </c>
    </row>
    <row r="79" spans="1:16" x14ac:dyDescent="0.45">
      <c r="A79" s="27">
        <f>'Activity Plan'!A79</f>
        <v>0</v>
      </c>
      <c r="B79" s="27" t="str">
        <f>'Activity Plan'!C79</f>
        <v>T2-026</v>
      </c>
      <c r="C79" s="27" t="str">
        <f>'Activity Plan'!D79</f>
        <v>Contract Administration</v>
      </c>
      <c r="D79" s="27">
        <f>'Activity Plan'!H79</f>
        <v>0</v>
      </c>
      <c r="E79" s="41" t="str">
        <f>'Annual Election'!E82</f>
        <v/>
      </c>
      <c r="F79" s="41" t="str">
        <f>'Annual Election'!H82</f>
        <v/>
      </c>
      <c r="G79" s="37"/>
      <c r="H79" s="46" t="str">
        <f t="shared" si="14"/>
        <v/>
      </c>
      <c r="I79" s="33" t="str">
        <f>IF(H79="","",H79*'Activity Plan'!I79)</f>
        <v/>
      </c>
      <c r="J79" s="46" t="str">
        <f t="shared" si="15"/>
        <v/>
      </c>
      <c r="K79" s="23"/>
      <c r="L79" s="47" t="str">
        <f t="shared" ca="1" si="16"/>
        <v/>
      </c>
      <c r="M79" s="16" t="str">
        <f t="shared" ca="1" si="17"/>
        <v/>
      </c>
      <c r="N79" s="46">
        <f t="shared" ca="1" si="18"/>
        <v>0</v>
      </c>
      <c r="O79" s="16" t="str">
        <f t="shared" ca="1" si="19"/>
        <v/>
      </c>
      <c r="P79" s="16" t="str">
        <f t="shared" ca="1" si="20"/>
        <v/>
      </c>
    </row>
    <row r="80" spans="1:16" x14ac:dyDescent="0.45">
      <c r="A80" s="27">
        <f>'Activity Plan'!A80</f>
        <v>0</v>
      </c>
      <c r="B80" s="27" t="str">
        <f>'Activity Plan'!C80</f>
        <v>T2-027</v>
      </c>
      <c r="C80" s="27" t="str">
        <f>'Activity Plan'!D80</f>
        <v>Buyer Coordination</v>
      </c>
      <c r="D80" s="27">
        <f>'Activity Plan'!H80</f>
        <v>0</v>
      </c>
      <c r="E80" s="41" t="str">
        <f>'Annual Election'!E83</f>
        <v/>
      </c>
      <c r="F80" s="41" t="str">
        <f>'Annual Election'!H83</f>
        <v/>
      </c>
      <c r="G80" s="37"/>
      <c r="H80" s="46" t="str">
        <f t="shared" si="14"/>
        <v/>
      </c>
      <c r="I80" s="33" t="str">
        <f>IF(H80="","",H80*'Activity Plan'!I80)</f>
        <v/>
      </c>
      <c r="J80" s="46" t="str">
        <f t="shared" si="15"/>
        <v/>
      </c>
      <c r="K80" s="23"/>
      <c r="L80" s="47" t="str">
        <f t="shared" ca="1" si="16"/>
        <v/>
      </c>
      <c r="M80" s="16" t="str">
        <f t="shared" ca="1" si="17"/>
        <v/>
      </c>
      <c r="N80" s="46">
        <f t="shared" ca="1" si="18"/>
        <v>0</v>
      </c>
      <c r="O80" s="16" t="str">
        <f t="shared" ca="1" si="19"/>
        <v/>
      </c>
      <c r="P80" s="16" t="str">
        <f t="shared" ca="1" si="20"/>
        <v/>
      </c>
    </row>
    <row r="81" spans="1:16" x14ac:dyDescent="0.45">
      <c r="A81" s="27">
        <f>'Activity Plan'!A81</f>
        <v>0</v>
      </c>
      <c r="B81" s="27" t="str">
        <f>'Activity Plan'!C81</f>
        <v>T2-028</v>
      </c>
      <c r="C81" s="27" t="str">
        <f>'Activity Plan'!D81</f>
        <v>Letters of Credit Coordination</v>
      </c>
      <c r="D81" s="27">
        <f>'Activity Plan'!H81</f>
        <v>0</v>
      </c>
      <c r="E81" s="41" t="str">
        <f>'Annual Election'!E84</f>
        <v/>
      </c>
      <c r="F81" s="41" t="str">
        <f>'Annual Election'!H84</f>
        <v/>
      </c>
      <c r="G81" s="37"/>
      <c r="H81" s="46" t="str">
        <f t="shared" si="14"/>
        <v/>
      </c>
      <c r="I81" s="33" t="str">
        <f>IF(H81="","",H81*'Activity Plan'!I81)</f>
        <v/>
      </c>
      <c r="J81" s="46" t="str">
        <f t="shared" si="15"/>
        <v/>
      </c>
      <c r="K81" s="23"/>
      <c r="L81" s="47" t="str">
        <f t="shared" ca="1" si="16"/>
        <v/>
      </c>
      <c r="M81" s="16" t="str">
        <f t="shared" ca="1" si="17"/>
        <v/>
      </c>
      <c r="N81" s="46">
        <f t="shared" ca="1" si="18"/>
        <v>0</v>
      </c>
      <c r="O81" s="16" t="str">
        <f t="shared" ca="1" si="19"/>
        <v/>
      </c>
      <c r="P81" s="16" t="str">
        <f t="shared" ca="1" si="20"/>
        <v/>
      </c>
    </row>
    <row r="82" spans="1:16" x14ac:dyDescent="0.45">
      <c r="A82" s="27">
        <f>'Activity Plan'!A82</f>
        <v>0</v>
      </c>
      <c r="B82" s="27" t="str">
        <f>'Activity Plan'!C82</f>
        <v>T2-029</v>
      </c>
      <c r="C82" s="27" t="str">
        <f>'Activity Plan'!D82</f>
        <v>Export Documentation</v>
      </c>
      <c r="D82" s="27">
        <f>'Activity Plan'!H82</f>
        <v>0</v>
      </c>
      <c r="E82" s="41" t="str">
        <f>'Annual Election'!E85</f>
        <v/>
      </c>
      <c r="F82" s="41" t="str">
        <f>'Annual Election'!H85</f>
        <v/>
      </c>
      <c r="G82" s="37"/>
      <c r="H82" s="46" t="str">
        <f t="shared" si="14"/>
        <v/>
      </c>
      <c r="I82" s="33" t="str">
        <f>IF(H82="","",H82*'Activity Plan'!I82)</f>
        <v/>
      </c>
      <c r="J82" s="46" t="str">
        <f t="shared" si="15"/>
        <v/>
      </c>
      <c r="K82" s="23"/>
      <c r="L82" s="47" t="str">
        <f t="shared" ca="1" si="16"/>
        <v/>
      </c>
      <c r="M82" s="16" t="str">
        <f t="shared" ca="1" si="17"/>
        <v/>
      </c>
      <c r="N82" s="46">
        <f t="shared" ca="1" si="18"/>
        <v>0</v>
      </c>
      <c r="O82" s="16" t="str">
        <f t="shared" ca="1" si="19"/>
        <v/>
      </c>
      <c r="P82" s="16" t="str">
        <f t="shared" ca="1" si="20"/>
        <v/>
      </c>
    </row>
    <row r="83" spans="1:16" x14ac:dyDescent="0.45">
      <c r="A83" s="27">
        <f>'Activity Plan'!A83</f>
        <v>0</v>
      </c>
      <c r="B83" s="27" t="str">
        <f>'Activity Plan'!C83</f>
        <v>T2-030</v>
      </c>
      <c r="C83" s="27" t="str">
        <f>'Activity Plan'!D83</f>
        <v>Shipping Coordination</v>
      </c>
      <c r="D83" s="27">
        <f>'Activity Plan'!H83</f>
        <v>0</v>
      </c>
      <c r="E83" s="41" t="str">
        <f>'Annual Election'!E86</f>
        <v/>
      </c>
      <c r="F83" s="41" t="str">
        <f>'Annual Election'!H86</f>
        <v/>
      </c>
      <c r="G83" s="37"/>
      <c r="H83" s="46" t="str">
        <f t="shared" si="14"/>
        <v/>
      </c>
      <c r="I83" s="33" t="str">
        <f>IF(H83="","",H83*'Activity Plan'!I83)</f>
        <v/>
      </c>
      <c r="J83" s="46" t="str">
        <f t="shared" si="15"/>
        <v/>
      </c>
      <c r="K83" s="23"/>
      <c r="L83" s="47" t="str">
        <f t="shared" ca="1" si="16"/>
        <v/>
      </c>
      <c r="M83" s="16" t="str">
        <f t="shared" ca="1" si="17"/>
        <v/>
      </c>
      <c r="N83" s="46">
        <f t="shared" ca="1" si="18"/>
        <v>0</v>
      </c>
      <c r="O83" s="16" t="str">
        <f t="shared" ca="1" si="19"/>
        <v/>
      </c>
      <c r="P83" s="16" t="str">
        <f t="shared" ca="1" si="20"/>
        <v/>
      </c>
    </row>
    <row r="84" spans="1:16" x14ac:dyDescent="0.45">
      <c r="A84" s="27">
        <f>'Activity Plan'!A84</f>
        <v>0</v>
      </c>
      <c r="B84" s="27" t="str">
        <f>'Activity Plan'!C84</f>
        <v>T2-031</v>
      </c>
      <c r="C84" s="27" t="str">
        <f>'Activity Plan'!D84</f>
        <v>Export Compliance</v>
      </c>
      <c r="D84" s="27">
        <f>'Activity Plan'!H84</f>
        <v>0</v>
      </c>
      <c r="E84" s="41" t="str">
        <f>'Annual Election'!E87</f>
        <v/>
      </c>
      <c r="F84" s="41" t="str">
        <f>'Annual Election'!H87</f>
        <v/>
      </c>
      <c r="G84" s="37"/>
      <c r="H84" s="46" t="str">
        <f t="shared" si="14"/>
        <v/>
      </c>
      <c r="I84" s="33" t="str">
        <f>IF(H84="","",H84*'Activity Plan'!I84)</f>
        <v/>
      </c>
      <c r="J84" s="46" t="str">
        <f t="shared" si="15"/>
        <v/>
      </c>
      <c r="K84" s="23"/>
      <c r="L84" s="47" t="str">
        <f t="shared" ca="1" si="16"/>
        <v/>
      </c>
      <c r="M84" s="16" t="str">
        <f t="shared" ca="1" si="17"/>
        <v/>
      </c>
      <c r="N84" s="46">
        <f t="shared" ca="1" si="18"/>
        <v>0</v>
      </c>
      <c r="O84" s="16" t="str">
        <f t="shared" ca="1" si="19"/>
        <v/>
      </c>
      <c r="P84" s="16" t="str">
        <f t="shared" ca="1" si="20"/>
        <v/>
      </c>
    </row>
    <row r="85" spans="1:16" x14ac:dyDescent="0.45">
      <c r="A85" s="27">
        <f>'Activity Plan'!A85</f>
        <v>0</v>
      </c>
      <c r="B85" s="27" t="str">
        <f>'Activity Plan'!C85</f>
        <v>T2-032</v>
      </c>
      <c r="C85" s="27" t="str">
        <f>'Activity Plan'!D85</f>
        <v>Shipment Follow-Up</v>
      </c>
      <c r="D85" s="27">
        <f>'Activity Plan'!H85</f>
        <v>0</v>
      </c>
      <c r="E85" s="41" t="str">
        <f>'Annual Election'!E88</f>
        <v/>
      </c>
      <c r="F85" s="41" t="str">
        <f>'Annual Election'!H88</f>
        <v/>
      </c>
      <c r="G85" s="37"/>
      <c r="H85" s="46" t="str">
        <f t="shared" si="14"/>
        <v/>
      </c>
      <c r="I85" s="33" t="str">
        <f>IF(H85="","",H85*'Activity Plan'!I85)</f>
        <v/>
      </c>
      <c r="J85" s="46" t="str">
        <f t="shared" si="15"/>
        <v/>
      </c>
      <c r="K85" s="23"/>
      <c r="L85" s="47" t="str">
        <f t="shared" ca="1" si="16"/>
        <v/>
      </c>
      <c r="M85" s="16" t="str">
        <f t="shared" ca="1" si="17"/>
        <v/>
      </c>
      <c r="N85" s="46">
        <f t="shared" ca="1" si="18"/>
        <v>0</v>
      </c>
      <c r="O85" s="16" t="str">
        <f t="shared" ca="1" si="19"/>
        <v/>
      </c>
      <c r="P85" s="16" t="str">
        <f t="shared" ca="1" si="20"/>
        <v/>
      </c>
    </row>
    <row r="86" spans="1:16" x14ac:dyDescent="0.45">
      <c r="A86" s="27">
        <f>'Activity Plan'!A86</f>
        <v>0</v>
      </c>
      <c r="B86" s="27" t="str">
        <f>'Activity Plan'!C86</f>
        <v>T2-033</v>
      </c>
      <c r="C86" s="27" t="str">
        <f>'Activity Plan'!D86</f>
        <v>Export Proceeds Receipt and Reconciliation</v>
      </c>
      <c r="D86" s="27">
        <f>'Activity Plan'!H86</f>
        <v>0</v>
      </c>
      <c r="E86" s="41" t="str">
        <f>'Annual Election'!E89</f>
        <v/>
      </c>
      <c r="F86" s="41" t="str">
        <f>'Annual Election'!H89</f>
        <v/>
      </c>
      <c r="G86" s="37"/>
      <c r="H86" s="46" t="str">
        <f t="shared" si="14"/>
        <v/>
      </c>
      <c r="I86" s="33" t="str">
        <f>IF(H86="","",H86*'Activity Plan'!I86)</f>
        <v/>
      </c>
      <c r="J86" s="46" t="str">
        <f t="shared" si="15"/>
        <v/>
      </c>
      <c r="K86" s="23"/>
      <c r="L86" s="47" t="str">
        <f t="shared" ca="1" si="16"/>
        <v/>
      </c>
      <c r="M86" s="16" t="str">
        <f t="shared" ca="1" si="17"/>
        <v/>
      </c>
      <c r="N86" s="46">
        <f t="shared" ca="1" si="18"/>
        <v>0</v>
      </c>
      <c r="O86" s="16" t="str">
        <f t="shared" ca="1" si="19"/>
        <v/>
      </c>
      <c r="P86" s="16" t="str">
        <f t="shared" ca="1" si="20"/>
        <v/>
      </c>
    </row>
    <row r="87" spans="1:16" x14ac:dyDescent="0.45">
      <c r="A87" s="27">
        <f>'Activity Plan'!A87</f>
        <v>0</v>
      </c>
      <c r="B87" s="27" t="str">
        <f>'Activity Plan'!C87</f>
        <v>T2-034</v>
      </c>
      <c r="C87" s="27" t="str">
        <f>'Activity Plan'!D87</f>
        <v>Washing Station Rehabilitation</v>
      </c>
      <c r="D87" s="27">
        <f>'Activity Plan'!H87</f>
        <v>0</v>
      </c>
      <c r="E87" s="41">
        <f>'Annual Election'!E90</f>
        <v>0</v>
      </c>
      <c r="F87" s="41">
        <f>'Annual Election'!H90</f>
        <v>0</v>
      </c>
      <c r="G87" s="37"/>
      <c r="H87" s="46" t="str">
        <f t="shared" si="14"/>
        <v/>
      </c>
      <c r="I87" s="33" t="str">
        <f>IF(H87="","",H87*'Activity Plan'!I87)</f>
        <v/>
      </c>
      <c r="J87" s="46" t="str">
        <f t="shared" si="15"/>
        <v/>
      </c>
      <c r="K87" s="23"/>
      <c r="L87" s="47" t="str">
        <f t="shared" ca="1" si="16"/>
        <v/>
      </c>
      <c r="M87" s="16" t="str">
        <f t="shared" ca="1" si="17"/>
        <v/>
      </c>
      <c r="N87" s="46">
        <f t="shared" ca="1" si="18"/>
        <v>0</v>
      </c>
      <c r="O87" s="16" t="str">
        <f t="shared" ca="1" si="19"/>
        <v/>
      </c>
      <c r="P87" s="16" t="str">
        <f t="shared" ca="1" si="20"/>
        <v/>
      </c>
    </row>
    <row r="88" spans="1:16" x14ac:dyDescent="0.45">
      <c r="A88" s="27">
        <f>'Activity Plan'!A88</f>
        <v>0</v>
      </c>
      <c r="B88" s="27" t="str">
        <f>'Activity Plan'!C88</f>
        <v>T2-035</v>
      </c>
      <c r="C88" s="27" t="str">
        <f>'Activity Plan'!D88</f>
        <v>Huller Rehabilitation</v>
      </c>
      <c r="D88" s="27">
        <f>'Activity Plan'!H88</f>
        <v>0</v>
      </c>
      <c r="E88" s="41">
        <f>'Annual Election'!E91</f>
        <v>0</v>
      </c>
      <c r="F88" s="41">
        <f>'Annual Election'!H91</f>
        <v>0</v>
      </c>
      <c r="G88" s="37"/>
      <c r="H88" s="46" t="str">
        <f t="shared" si="14"/>
        <v/>
      </c>
      <c r="I88" s="33" t="str">
        <f>IF(H88="","",H88*'Activity Plan'!I88)</f>
        <v/>
      </c>
      <c r="J88" s="46" t="str">
        <f t="shared" si="15"/>
        <v/>
      </c>
      <c r="K88" s="23"/>
      <c r="L88" s="47" t="str">
        <f t="shared" ca="1" si="16"/>
        <v/>
      </c>
      <c r="M88" s="16" t="str">
        <f t="shared" ca="1" si="17"/>
        <v/>
      </c>
      <c r="N88" s="46">
        <f t="shared" ca="1" si="18"/>
        <v>0</v>
      </c>
      <c r="O88" s="16" t="str">
        <f t="shared" ca="1" si="19"/>
        <v/>
      </c>
      <c r="P88" s="16" t="str">
        <f t="shared" ca="1" si="20"/>
        <v/>
      </c>
    </row>
    <row r="89" spans="1:16" x14ac:dyDescent="0.45">
      <c r="A89" s="27">
        <f>'Activity Plan'!A89</f>
        <v>0</v>
      </c>
      <c r="B89" s="27" t="str">
        <f>'Activity Plan'!C89</f>
        <v>T2-036</v>
      </c>
      <c r="C89" s="27" t="str">
        <f>'Activity Plan'!D89</f>
        <v>Irrigation Systems</v>
      </c>
      <c r="D89" s="27">
        <f>'Activity Plan'!H89</f>
        <v>0</v>
      </c>
      <c r="E89" s="41">
        <f>'Annual Election'!E92</f>
        <v>0</v>
      </c>
      <c r="F89" s="41">
        <f>'Annual Election'!H92</f>
        <v>0</v>
      </c>
      <c r="G89" s="37"/>
      <c r="H89" s="46" t="str">
        <f t="shared" si="14"/>
        <v/>
      </c>
      <c r="I89" s="33" t="str">
        <f>IF(H89="","",H89*'Activity Plan'!I89)</f>
        <v/>
      </c>
      <c r="J89" s="46" t="str">
        <f t="shared" si="15"/>
        <v/>
      </c>
      <c r="K89" s="23"/>
      <c r="L89" s="47" t="str">
        <f t="shared" ca="1" si="16"/>
        <v/>
      </c>
      <c r="M89" s="16" t="str">
        <f t="shared" ca="1" si="17"/>
        <v/>
      </c>
      <c r="N89" s="46">
        <f t="shared" ca="1" si="18"/>
        <v>0</v>
      </c>
      <c r="O89" s="16" t="str">
        <f t="shared" ca="1" si="19"/>
        <v/>
      </c>
      <c r="P89" s="16" t="str">
        <f t="shared" ca="1" si="20"/>
        <v/>
      </c>
    </row>
    <row r="90" spans="1:16" x14ac:dyDescent="0.45">
      <c r="A90" s="27">
        <f>'Activity Plan'!A90</f>
        <v>0</v>
      </c>
      <c r="B90" s="27" t="str">
        <f>'Activity Plan'!C90</f>
        <v>T2-037</v>
      </c>
      <c r="C90" s="27" t="str">
        <f>'Activity Plan'!D90</f>
        <v>On-Farm Water Systems Development</v>
      </c>
      <c r="D90" s="27">
        <f>'Activity Plan'!H90</f>
        <v>0</v>
      </c>
      <c r="E90" s="41">
        <f>'Annual Election'!E93</f>
        <v>0</v>
      </c>
      <c r="F90" s="41">
        <f>'Annual Election'!H93</f>
        <v>0</v>
      </c>
      <c r="G90" s="37"/>
      <c r="H90" s="46" t="str">
        <f t="shared" si="14"/>
        <v/>
      </c>
      <c r="I90" s="33" t="str">
        <f>IF(H90="","",H90*'Activity Plan'!I90)</f>
        <v/>
      </c>
      <c r="J90" s="46" t="str">
        <f t="shared" si="15"/>
        <v/>
      </c>
      <c r="K90" s="23"/>
      <c r="L90" s="47" t="str">
        <f t="shared" ca="1" si="16"/>
        <v/>
      </c>
      <c r="M90" s="16" t="str">
        <f t="shared" ca="1" si="17"/>
        <v/>
      </c>
      <c r="N90" s="46">
        <f t="shared" ca="1" si="18"/>
        <v>0</v>
      </c>
      <c r="O90" s="16" t="str">
        <f t="shared" ca="1" si="19"/>
        <v/>
      </c>
      <c r="P90" s="16" t="str">
        <f t="shared" ca="1" si="20"/>
        <v/>
      </c>
    </row>
    <row r="91" spans="1:16" x14ac:dyDescent="0.45">
      <c r="A91" s="27">
        <f>'Activity Plan'!A91</f>
        <v>0</v>
      </c>
      <c r="B91" s="27" t="str">
        <f>'Activity Plan'!C91</f>
        <v>T2-038</v>
      </c>
      <c r="C91" s="27" t="str">
        <f>'Activity Plan'!D91</f>
        <v>Roads</v>
      </c>
      <c r="D91" s="27">
        <f>'Activity Plan'!H91</f>
        <v>0</v>
      </c>
      <c r="E91" s="41">
        <f>'Annual Election'!E94</f>
        <v>0</v>
      </c>
      <c r="F91" s="41">
        <f>'Annual Election'!H94</f>
        <v>0</v>
      </c>
      <c r="G91" s="37"/>
      <c r="H91" s="46" t="str">
        <f t="shared" si="14"/>
        <v/>
      </c>
      <c r="I91" s="33" t="str">
        <f>IF(H91="","",H91*'Activity Plan'!I91)</f>
        <v/>
      </c>
      <c r="J91" s="46" t="str">
        <f t="shared" si="15"/>
        <v/>
      </c>
      <c r="K91" s="23"/>
      <c r="L91" s="47" t="str">
        <f t="shared" ca="1" si="16"/>
        <v/>
      </c>
      <c r="M91" s="16" t="str">
        <f t="shared" ca="1" si="17"/>
        <v/>
      </c>
      <c r="N91" s="46">
        <f t="shared" ca="1" si="18"/>
        <v>0</v>
      </c>
      <c r="O91" s="16" t="str">
        <f t="shared" ca="1" si="19"/>
        <v/>
      </c>
      <c r="P91" s="16" t="str">
        <f t="shared" ca="1" si="20"/>
        <v/>
      </c>
    </row>
    <row r="92" spans="1:16" x14ac:dyDescent="0.45">
      <c r="A92" s="27">
        <f>'Activity Plan'!A92</f>
        <v>0</v>
      </c>
      <c r="B92" s="27" t="str">
        <f>'Activity Plan'!C92</f>
        <v>T2-039</v>
      </c>
      <c r="C92" s="27" t="str">
        <f>'Activity Plan'!D92</f>
        <v>Buildings</v>
      </c>
      <c r="D92" s="27">
        <f>'Activity Plan'!H92</f>
        <v>0</v>
      </c>
      <c r="E92" s="41">
        <f>'Annual Election'!E95</f>
        <v>0</v>
      </c>
      <c r="F92" s="41">
        <f>'Annual Election'!H95</f>
        <v>0</v>
      </c>
      <c r="G92" s="37"/>
      <c r="H92" s="46" t="str">
        <f t="shared" si="14"/>
        <v/>
      </c>
      <c r="I92" s="33" t="str">
        <f>IF(H92="","",H92*'Activity Plan'!I92)</f>
        <v/>
      </c>
      <c r="J92" s="46" t="str">
        <f t="shared" si="15"/>
        <v/>
      </c>
      <c r="K92" s="23"/>
      <c r="L92" s="47" t="str">
        <f t="shared" ca="1" si="16"/>
        <v/>
      </c>
      <c r="M92" s="16" t="str">
        <f t="shared" ca="1" si="17"/>
        <v/>
      </c>
      <c r="N92" s="46">
        <f t="shared" ca="1" si="18"/>
        <v>0</v>
      </c>
      <c r="O92" s="16" t="str">
        <f t="shared" ca="1" si="19"/>
        <v/>
      </c>
      <c r="P92" s="16" t="str">
        <f t="shared" ca="1" si="20"/>
        <v/>
      </c>
    </row>
    <row r="93" spans="1:16" x14ac:dyDescent="0.45">
      <c r="A93" s="27">
        <f>'Activity Plan'!A93</f>
        <v>0</v>
      </c>
      <c r="B93" s="27" t="str">
        <f>'Activity Plan'!C93</f>
        <v>T2-040</v>
      </c>
      <c r="C93" s="27" t="str">
        <f>'Activity Plan'!D93</f>
        <v>Staff Housing</v>
      </c>
      <c r="D93" s="27">
        <f>'Activity Plan'!H93</f>
        <v>0</v>
      </c>
      <c r="E93" s="41">
        <f>'Annual Election'!E96</f>
        <v>0</v>
      </c>
      <c r="F93" s="41">
        <f>'Annual Election'!H96</f>
        <v>0</v>
      </c>
      <c r="G93" s="37"/>
      <c r="H93" s="46" t="str">
        <f t="shared" si="14"/>
        <v/>
      </c>
      <c r="I93" s="33" t="str">
        <f>IF(H93="","",H93*'Activity Plan'!I93)</f>
        <v/>
      </c>
      <c r="J93" s="46" t="str">
        <f t="shared" si="15"/>
        <v/>
      </c>
      <c r="K93" s="23"/>
      <c r="L93" s="47" t="str">
        <f t="shared" ca="1" si="16"/>
        <v/>
      </c>
      <c r="M93" s="16" t="str">
        <f t="shared" ca="1" si="17"/>
        <v/>
      </c>
      <c r="N93" s="46">
        <f t="shared" ca="1" si="18"/>
        <v>0</v>
      </c>
      <c r="O93" s="16" t="str">
        <f t="shared" ca="1" si="19"/>
        <v/>
      </c>
      <c r="P93" s="16" t="str">
        <f t="shared" ca="1" si="20"/>
        <v/>
      </c>
    </row>
    <row r="94" spans="1:16" x14ac:dyDescent="0.45">
      <c r="A94" s="27">
        <f>'Activity Plan'!A94</f>
        <v>0</v>
      </c>
      <c r="B94" s="27" t="str">
        <f>'Activity Plan'!C94</f>
        <v>T2-041</v>
      </c>
      <c r="C94" s="27" t="str">
        <f>'Activity Plan'!D94</f>
        <v>Workshops</v>
      </c>
      <c r="D94" s="27">
        <f>'Activity Plan'!H94</f>
        <v>0</v>
      </c>
      <c r="E94" s="41">
        <f>'Annual Election'!E97</f>
        <v>0</v>
      </c>
      <c r="F94" s="41">
        <f>'Annual Election'!H97</f>
        <v>0</v>
      </c>
      <c r="G94" s="37"/>
      <c r="H94" s="46" t="str">
        <f t="shared" si="14"/>
        <v/>
      </c>
      <c r="I94" s="33" t="str">
        <f>IF(H94="","",H94*'Activity Plan'!I94)</f>
        <v/>
      </c>
      <c r="J94" s="46" t="str">
        <f t="shared" si="15"/>
        <v/>
      </c>
      <c r="K94" s="23"/>
      <c r="L94" s="47" t="str">
        <f t="shared" ca="1" si="16"/>
        <v/>
      </c>
      <c r="M94" s="16" t="str">
        <f t="shared" ca="1" si="17"/>
        <v/>
      </c>
      <c r="N94" s="46">
        <f t="shared" ca="1" si="18"/>
        <v>0</v>
      </c>
      <c r="O94" s="16" t="str">
        <f t="shared" ca="1" si="19"/>
        <v/>
      </c>
      <c r="P94" s="16" t="str">
        <f t="shared" ca="1" si="20"/>
        <v/>
      </c>
    </row>
    <row r="95" spans="1:16" x14ac:dyDescent="0.45">
      <c r="A95" s="27">
        <f>'Activity Plan'!A95</f>
        <v>0</v>
      </c>
      <c r="B95" s="27" t="str">
        <f>'Activity Plan'!C95</f>
        <v>T2-042</v>
      </c>
      <c r="C95" s="27" t="str">
        <f>'Activity Plan'!D95</f>
        <v>Machinery Procurement</v>
      </c>
      <c r="D95" s="27">
        <f>'Activity Plan'!H95</f>
        <v>0</v>
      </c>
      <c r="E95" s="41">
        <f>'Annual Election'!E98</f>
        <v>0</v>
      </c>
      <c r="F95" s="41">
        <f>'Annual Election'!H98</f>
        <v>0</v>
      </c>
      <c r="G95" s="37"/>
      <c r="H95" s="46" t="str">
        <f t="shared" si="14"/>
        <v/>
      </c>
      <c r="I95" s="33" t="str">
        <f>IF(H95="","",H95*'Activity Plan'!I95)</f>
        <v/>
      </c>
      <c r="J95" s="46" t="str">
        <f t="shared" si="15"/>
        <v/>
      </c>
      <c r="K95" s="23"/>
      <c r="L95" s="47" t="str">
        <f t="shared" ca="1" si="16"/>
        <v/>
      </c>
      <c r="M95" s="16" t="str">
        <f t="shared" ca="1" si="17"/>
        <v/>
      </c>
      <c r="N95" s="46">
        <f t="shared" ca="1" si="18"/>
        <v>0</v>
      </c>
      <c r="O95" s="16" t="str">
        <f t="shared" ca="1" si="19"/>
        <v/>
      </c>
      <c r="P95" s="16" t="str">
        <f t="shared" ca="1" si="20"/>
        <v/>
      </c>
    </row>
    <row r="96" spans="1:16" x14ac:dyDescent="0.45">
      <c r="A96" s="27">
        <f>'Activity Plan'!A96</f>
        <v>0</v>
      </c>
      <c r="B96" s="27" t="str">
        <f>'Activity Plan'!C96</f>
        <v>T2-043</v>
      </c>
      <c r="C96" s="27" t="str">
        <f>'Activity Plan'!D96</f>
        <v>Utilities</v>
      </c>
      <c r="D96" s="27">
        <f>'Activity Plan'!H96</f>
        <v>0</v>
      </c>
      <c r="E96" s="41">
        <f>'Annual Election'!E99</f>
        <v>0</v>
      </c>
      <c r="F96" s="41">
        <f>'Annual Election'!H99</f>
        <v>0</v>
      </c>
      <c r="G96" s="37"/>
      <c r="H96" s="46" t="str">
        <f t="shared" si="14"/>
        <v/>
      </c>
      <c r="I96" s="33" t="str">
        <f>IF(H96="","",H96*'Activity Plan'!I96)</f>
        <v/>
      </c>
      <c r="J96" s="46" t="str">
        <f t="shared" si="15"/>
        <v/>
      </c>
      <c r="K96" s="23"/>
      <c r="L96" s="47" t="str">
        <f t="shared" ca="1" si="16"/>
        <v/>
      </c>
      <c r="M96" s="16" t="str">
        <f t="shared" ca="1" si="17"/>
        <v/>
      </c>
      <c r="N96" s="46">
        <f t="shared" ca="1" si="18"/>
        <v>0</v>
      </c>
      <c r="O96" s="16" t="str">
        <f t="shared" ca="1" si="19"/>
        <v/>
      </c>
      <c r="P96" s="16" t="str">
        <f t="shared" ca="1" si="20"/>
        <v/>
      </c>
    </row>
    <row r="97" spans="1:16" x14ac:dyDescent="0.45">
      <c r="A97" s="27">
        <f>'Activity Plan'!A97</f>
        <v>0</v>
      </c>
      <c r="B97" s="27" t="str">
        <f>'Activity Plan'!C97</f>
        <v>T2-044</v>
      </c>
      <c r="C97" s="27" t="str">
        <f>'Activity Plan'!D97</f>
        <v>Solar Systems (incl. Staff Welfare)</v>
      </c>
      <c r="D97" s="27">
        <f>'Activity Plan'!H97</f>
        <v>0</v>
      </c>
      <c r="E97" s="41">
        <f>'Annual Election'!E100</f>
        <v>0</v>
      </c>
      <c r="F97" s="41">
        <f>'Annual Election'!H100</f>
        <v>0</v>
      </c>
      <c r="G97" s="37"/>
      <c r="H97" s="46" t="str">
        <f t="shared" si="14"/>
        <v/>
      </c>
      <c r="I97" s="33" t="str">
        <f>IF(H97="","",H97*'Activity Plan'!I97)</f>
        <v/>
      </c>
      <c r="J97" s="46" t="str">
        <f t="shared" si="15"/>
        <v/>
      </c>
      <c r="K97" s="23"/>
      <c r="L97" s="47" t="str">
        <f t="shared" ca="1" si="16"/>
        <v/>
      </c>
      <c r="M97" s="16" t="str">
        <f t="shared" ca="1" si="17"/>
        <v/>
      </c>
      <c r="N97" s="46">
        <f t="shared" ca="1" si="18"/>
        <v>0</v>
      </c>
      <c r="O97" s="16" t="str">
        <f t="shared" ca="1" si="19"/>
        <v/>
      </c>
      <c r="P97" s="16" t="str">
        <f t="shared" ca="1" si="20"/>
        <v/>
      </c>
    </row>
    <row r="98" spans="1:16" x14ac:dyDescent="0.45">
      <c r="A98" s="27">
        <f>'Activity Plan'!A98</f>
        <v>0</v>
      </c>
      <c r="B98" s="27" t="str">
        <f>'Activity Plan'!C98</f>
        <v>T2-045</v>
      </c>
      <c r="C98" s="27" t="str">
        <f>'Activity Plan'!D98</f>
        <v>Farm Expansion</v>
      </c>
      <c r="D98" s="27">
        <f>'Activity Plan'!H98</f>
        <v>0</v>
      </c>
      <c r="E98" s="41">
        <f>'Annual Election'!E101</f>
        <v>0</v>
      </c>
      <c r="F98" s="41">
        <f>'Annual Election'!H101</f>
        <v>0</v>
      </c>
      <c r="G98" s="37"/>
      <c r="H98" s="46" t="str">
        <f t="shared" ref="H98:H129" si="21">IF(OR(D98="",G98=""),"",D98*G98/100)</f>
        <v/>
      </c>
      <c r="I98" s="33" t="str">
        <f>IF(H98="","",H98*'Activity Plan'!I98)</f>
        <v/>
      </c>
      <c r="J98" s="46" t="str">
        <f t="shared" ref="J98:J129" si="22">IF(H98="","",D98-H98)</f>
        <v/>
      </c>
      <c r="K98" s="23"/>
      <c r="L98" s="47" t="str">
        <f t="shared" ref="L98:L129" ca="1" si="23">IF(K98="","",(TODAY()-K98)/7)</f>
        <v/>
      </c>
      <c r="M98" s="16" t="str">
        <f t="shared" ref="M98:M129" ca="1" si="24">IF(AND(L98&lt;&gt;"",L98&gt;=2,G98&lt;100),"AT RISK — no progress in 2+ weeks","")</f>
        <v/>
      </c>
      <c r="N98" s="46">
        <f t="shared" ref="N98:N129" ca="1" si="25">IF(AND(F98&lt;&gt;"",TODAY()&gt;F98,OR(G98="",G98&lt;100)),D98-IF(H98="",0,H98),0)</f>
        <v>0</v>
      </c>
      <c r="O98" s="16" t="str">
        <f t="shared" ref="O98:O129" ca="1" si="26">IF(N98&gt;0,"ROLL OVER — create a new Election/Activity Plan entry for the shortfall","")</f>
        <v/>
      </c>
      <c r="P98" s="16" t="str">
        <f t="shared" ref="P98:P129" ca="1" si="27">IF(M98&lt;&gt;"",C98,"")</f>
        <v/>
      </c>
    </row>
    <row r="99" spans="1:16" x14ac:dyDescent="0.45">
      <c r="A99" s="27">
        <f>'Activity Plan'!A99</f>
        <v>0</v>
      </c>
      <c r="B99" s="27" t="str">
        <f>'Activity Plan'!C99</f>
        <v>T2-046</v>
      </c>
      <c r="C99" s="27" t="str">
        <f>'Activity Plan'!D99</f>
        <v>New Planting Blocks</v>
      </c>
      <c r="D99" s="27">
        <f>'Activity Plan'!H99</f>
        <v>0</v>
      </c>
      <c r="E99" s="41">
        <f>'Annual Election'!E102</f>
        <v>0</v>
      </c>
      <c r="F99" s="41">
        <f>'Annual Election'!H102</f>
        <v>0</v>
      </c>
      <c r="G99" s="37"/>
      <c r="H99" s="46" t="str">
        <f t="shared" si="21"/>
        <v/>
      </c>
      <c r="I99" s="33" t="str">
        <f>IF(H99="","",H99*'Activity Plan'!I99)</f>
        <v/>
      </c>
      <c r="J99" s="46" t="str">
        <f t="shared" si="22"/>
        <v/>
      </c>
      <c r="K99" s="23"/>
      <c r="L99" s="47" t="str">
        <f t="shared" ca="1" si="23"/>
        <v/>
      </c>
      <c r="M99" s="16" t="str">
        <f t="shared" ca="1" si="24"/>
        <v/>
      </c>
      <c r="N99" s="46">
        <f t="shared" ca="1" si="25"/>
        <v>0</v>
      </c>
      <c r="O99" s="16" t="str">
        <f t="shared" ca="1" si="26"/>
        <v/>
      </c>
      <c r="P99" s="16" t="str">
        <f t="shared" ca="1" si="27"/>
        <v/>
      </c>
    </row>
    <row r="100" spans="1:16" x14ac:dyDescent="0.45">
      <c r="A100" s="27">
        <f>'Activity Plan'!A100</f>
        <v>0</v>
      </c>
      <c r="B100" s="27" t="str">
        <f>'Activity Plan'!C100</f>
        <v>T2-047</v>
      </c>
      <c r="C100" s="27" t="str">
        <f>'Activity Plan'!D100</f>
        <v>Security Infrastructure (incl. Camp Monitoring)</v>
      </c>
      <c r="D100" s="27">
        <f>'Activity Plan'!H100</f>
        <v>0</v>
      </c>
      <c r="E100" s="41">
        <f>'Annual Election'!E103</f>
        <v>0</v>
      </c>
      <c r="F100" s="41">
        <f>'Annual Election'!H103</f>
        <v>0</v>
      </c>
      <c r="G100" s="37"/>
      <c r="H100" s="46" t="str">
        <f t="shared" si="21"/>
        <v/>
      </c>
      <c r="I100" s="33" t="str">
        <f>IF(H100="","",H100*'Activity Plan'!I100)</f>
        <v/>
      </c>
      <c r="J100" s="46" t="str">
        <f t="shared" si="22"/>
        <v/>
      </c>
      <c r="K100" s="23"/>
      <c r="L100" s="47" t="str">
        <f t="shared" ca="1" si="23"/>
        <v/>
      </c>
      <c r="M100" s="16" t="str">
        <f t="shared" ca="1" si="24"/>
        <v/>
      </c>
      <c r="N100" s="46">
        <f t="shared" ca="1" si="25"/>
        <v>0</v>
      </c>
      <c r="O100" s="16" t="str">
        <f t="shared" ca="1" si="26"/>
        <v/>
      </c>
      <c r="P100" s="16" t="str">
        <f t="shared" ca="1" si="27"/>
        <v/>
      </c>
    </row>
    <row r="101" spans="1:16" x14ac:dyDescent="0.45">
      <c r="A101" s="27">
        <f>'Activity Plan'!A101</f>
        <v>0</v>
      </c>
      <c r="B101" s="27" t="str">
        <f>'Activity Plan'!C101</f>
        <v>T3-001</v>
      </c>
      <c r="C101" s="27" t="str">
        <f>'Activity Plan'!D101</f>
        <v>Investment Due Diligence</v>
      </c>
      <c r="D101" s="27">
        <f>'Activity Plan'!H101</f>
        <v>0</v>
      </c>
      <c r="E101" s="41">
        <f>'Annual Election'!E104</f>
        <v>0</v>
      </c>
      <c r="F101" s="41">
        <f>'Annual Election'!H104</f>
        <v>0</v>
      </c>
      <c r="G101" s="37"/>
      <c r="H101" s="46" t="str">
        <f t="shared" si="21"/>
        <v/>
      </c>
      <c r="I101" s="33" t="str">
        <f>IF(H101="","",H101*'Activity Plan'!I101)</f>
        <v/>
      </c>
      <c r="J101" s="46" t="str">
        <f t="shared" si="22"/>
        <v/>
      </c>
      <c r="K101" s="23"/>
      <c r="L101" s="47" t="str">
        <f t="shared" ca="1" si="23"/>
        <v/>
      </c>
      <c r="M101" s="16" t="str">
        <f t="shared" ca="1" si="24"/>
        <v/>
      </c>
      <c r="N101" s="46">
        <f t="shared" ca="1" si="25"/>
        <v>0</v>
      </c>
      <c r="O101" s="16" t="str">
        <f t="shared" ca="1" si="26"/>
        <v/>
      </c>
      <c r="P101" s="16" t="str">
        <f t="shared" ca="1" si="27"/>
        <v/>
      </c>
    </row>
    <row r="102" spans="1:16" x14ac:dyDescent="0.45">
      <c r="A102" s="27">
        <f>'Activity Plan'!A102</f>
        <v>0</v>
      </c>
      <c r="B102" s="27" t="str">
        <f>'Activity Plan'!C102</f>
        <v>T3-002</v>
      </c>
      <c r="C102" s="27" t="str">
        <f>'Activity Plan'!D102</f>
        <v>Technical Due Diligence</v>
      </c>
      <c r="D102" s="27">
        <f>'Activity Plan'!H102</f>
        <v>0</v>
      </c>
      <c r="E102" s="41">
        <f>'Annual Election'!E105</f>
        <v>0</v>
      </c>
      <c r="F102" s="41">
        <f>'Annual Election'!H105</f>
        <v>0</v>
      </c>
      <c r="G102" s="37"/>
      <c r="H102" s="46" t="str">
        <f t="shared" si="21"/>
        <v/>
      </c>
      <c r="I102" s="33" t="str">
        <f>IF(H102="","",H102*'Activity Plan'!I102)</f>
        <v/>
      </c>
      <c r="J102" s="46" t="str">
        <f t="shared" si="22"/>
        <v/>
      </c>
      <c r="K102" s="23"/>
      <c r="L102" s="47" t="str">
        <f t="shared" ca="1" si="23"/>
        <v/>
      </c>
      <c r="M102" s="16" t="str">
        <f t="shared" ca="1" si="24"/>
        <v/>
      </c>
      <c r="N102" s="46">
        <f t="shared" ca="1" si="25"/>
        <v>0</v>
      </c>
      <c r="O102" s="16" t="str">
        <f t="shared" ca="1" si="26"/>
        <v/>
      </c>
      <c r="P102" s="16" t="str">
        <f t="shared" ca="1" si="27"/>
        <v/>
      </c>
    </row>
    <row r="103" spans="1:16" x14ac:dyDescent="0.45">
      <c r="A103" s="27">
        <f>'Activity Plan'!A103</f>
        <v>0</v>
      </c>
      <c r="B103" s="27" t="str">
        <f>'Activity Plan'!C103</f>
        <v>T3-003</v>
      </c>
      <c r="C103" s="27" t="str">
        <f>'Activity Plan'!D103</f>
        <v>Turnaround Assessments</v>
      </c>
      <c r="D103" s="27">
        <f>'Activity Plan'!H103</f>
        <v>0</v>
      </c>
      <c r="E103" s="41">
        <f>'Annual Election'!E106</f>
        <v>0</v>
      </c>
      <c r="F103" s="41">
        <f>'Annual Election'!H106</f>
        <v>0</v>
      </c>
      <c r="G103" s="37"/>
      <c r="H103" s="46" t="str">
        <f t="shared" si="21"/>
        <v/>
      </c>
      <c r="I103" s="33" t="str">
        <f>IF(H103="","",H103*'Activity Plan'!I103)</f>
        <v/>
      </c>
      <c r="J103" s="46" t="str">
        <f t="shared" si="22"/>
        <v/>
      </c>
      <c r="K103" s="23"/>
      <c r="L103" s="47" t="str">
        <f t="shared" ca="1" si="23"/>
        <v/>
      </c>
      <c r="M103" s="16" t="str">
        <f t="shared" ca="1" si="24"/>
        <v/>
      </c>
      <c r="N103" s="46">
        <f t="shared" ca="1" si="25"/>
        <v>0</v>
      </c>
      <c r="O103" s="16" t="str">
        <f t="shared" ca="1" si="26"/>
        <v/>
      </c>
      <c r="P103" s="16" t="str">
        <f t="shared" ca="1" si="27"/>
        <v/>
      </c>
    </row>
    <row r="104" spans="1:16" x14ac:dyDescent="0.45">
      <c r="A104" s="27">
        <f>'Activity Plan'!A104</f>
        <v>0</v>
      </c>
      <c r="B104" s="27" t="str">
        <f>'Activity Plan'!C104</f>
        <v>T3-004</v>
      </c>
      <c r="C104" s="27" t="str">
        <f>'Activity Plan'!D104</f>
        <v>Strategic Reviews</v>
      </c>
      <c r="D104" s="27">
        <f>'Activity Plan'!H104</f>
        <v>0</v>
      </c>
      <c r="E104" s="41">
        <f>'Annual Election'!E107</f>
        <v>0</v>
      </c>
      <c r="F104" s="41">
        <f>'Annual Election'!H107</f>
        <v>0</v>
      </c>
      <c r="G104" s="37"/>
      <c r="H104" s="46" t="str">
        <f t="shared" si="21"/>
        <v/>
      </c>
      <c r="I104" s="33" t="str">
        <f>IF(H104="","",H104*'Activity Plan'!I104)</f>
        <v/>
      </c>
      <c r="J104" s="46" t="str">
        <f t="shared" si="22"/>
        <v/>
      </c>
      <c r="K104" s="23"/>
      <c r="L104" s="47" t="str">
        <f t="shared" ca="1" si="23"/>
        <v/>
      </c>
      <c r="M104" s="16" t="str">
        <f t="shared" ca="1" si="24"/>
        <v/>
      </c>
      <c r="N104" s="46">
        <f t="shared" ca="1" si="25"/>
        <v>0</v>
      </c>
      <c r="O104" s="16" t="str">
        <f t="shared" ca="1" si="26"/>
        <v/>
      </c>
      <c r="P104" s="16" t="str">
        <f t="shared" ca="1" si="27"/>
        <v/>
      </c>
    </row>
    <row r="105" spans="1:16" x14ac:dyDescent="0.45">
      <c r="A105" s="27">
        <f>'Activity Plan'!A105</f>
        <v>0</v>
      </c>
      <c r="B105" s="27" t="str">
        <f>'Activity Plan'!C105</f>
        <v>T3-005</v>
      </c>
      <c r="C105" s="27" t="str">
        <f>'Activity Plan'!D105</f>
        <v>Major Procurement</v>
      </c>
      <c r="D105" s="27">
        <f>'Activity Plan'!H105</f>
        <v>0</v>
      </c>
      <c r="E105" s="41">
        <f>'Annual Election'!E108</f>
        <v>0</v>
      </c>
      <c r="F105" s="41">
        <f>'Annual Election'!H108</f>
        <v>0</v>
      </c>
      <c r="G105" s="37"/>
      <c r="H105" s="46" t="str">
        <f t="shared" si="21"/>
        <v/>
      </c>
      <c r="I105" s="33" t="str">
        <f>IF(H105="","",H105*'Activity Plan'!I105)</f>
        <v/>
      </c>
      <c r="J105" s="46" t="str">
        <f t="shared" si="22"/>
        <v/>
      </c>
      <c r="K105" s="23"/>
      <c r="L105" s="47" t="str">
        <f t="shared" ca="1" si="23"/>
        <v/>
      </c>
      <c r="M105" s="16" t="str">
        <f t="shared" ca="1" si="24"/>
        <v/>
      </c>
      <c r="N105" s="46">
        <f t="shared" ca="1" si="25"/>
        <v>0</v>
      </c>
      <c r="O105" s="16" t="str">
        <f t="shared" ca="1" si="26"/>
        <v/>
      </c>
      <c r="P105" s="16" t="str">
        <f t="shared" ca="1" si="27"/>
        <v/>
      </c>
    </row>
    <row r="106" spans="1:16" x14ac:dyDescent="0.45">
      <c r="A106" s="27">
        <f>'Activity Plan'!A106</f>
        <v>0</v>
      </c>
      <c r="B106" s="27" t="str">
        <f>'Activity Plan'!C106</f>
        <v>T3-006</v>
      </c>
      <c r="C106" s="27" t="str">
        <f>'Activity Plan'!D106</f>
        <v>Organisational Reviews</v>
      </c>
      <c r="D106" s="27">
        <f>'Activity Plan'!H106</f>
        <v>0</v>
      </c>
      <c r="E106" s="41">
        <f>'Annual Election'!E109</f>
        <v>0</v>
      </c>
      <c r="F106" s="41">
        <f>'Annual Election'!H109</f>
        <v>0</v>
      </c>
      <c r="G106" s="37"/>
      <c r="H106" s="46" t="str">
        <f t="shared" si="21"/>
        <v/>
      </c>
      <c r="I106" s="33" t="str">
        <f>IF(H106="","",H106*'Activity Plan'!I106)</f>
        <v/>
      </c>
      <c r="J106" s="46" t="str">
        <f t="shared" si="22"/>
        <v/>
      </c>
      <c r="K106" s="23"/>
      <c r="L106" s="47" t="str">
        <f t="shared" ca="1" si="23"/>
        <v/>
      </c>
      <c r="M106" s="16" t="str">
        <f t="shared" ca="1" si="24"/>
        <v/>
      </c>
      <c r="N106" s="46">
        <f t="shared" ca="1" si="25"/>
        <v>0</v>
      </c>
      <c r="O106" s="16" t="str">
        <f t="shared" ca="1" si="26"/>
        <v/>
      </c>
      <c r="P106" s="16" t="str">
        <f t="shared" ca="1" si="27"/>
        <v/>
      </c>
    </row>
    <row r="107" spans="1:16" x14ac:dyDescent="0.45">
      <c r="A107" s="27">
        <f>'Activity Plan'!A107</f>
        <v>0</v>
      </c>
      <c r="B107" s="27" t="str">
        <f>'Activity Plan'!C107</f>
        <v>T3-007</v>
      </c>
      <c r="C107" s="27" t="str">
        <f>'Activity Plan'!D107</f>
        <v>Performance Audits</v>
      </c>
      <c r="D107" s="27">
        <f>'Activity Plan'!H107</f>
        <v>0</v>
      </c>
      <c r="E107" s="41">
        <f>'Annual Election'!E110</f>
        <v>0</v>
      </c>
      <c r="F107" s="41">
        <f>'Annual Election'!H110</f>
        <v>0</v>
      </c>
      <c r="G107" s="37"/>
      <c r="H107" s="46" t="str">
        <f t="shared" si="21"/>
        <v/>
      </c>
      <c r="I107" s="33" t="str">
        <f>IF(H107="","",H107*'Activity Plan'!I107)</f>
        <v/>
      </c>
      <c r="J107" s="46" t="str">
        <f t="shared" si="22"/>
        <v/>
      </c>
      <c r="K107" s="23"/>
      <c r="L107" s="47" t="str">
        <f t="shared" ca="1" si="23"/>
        <v/>
      </c>
      <c r="M107" s="16" t="str">
        <f t="shared" ca="1" si="24"/>
        <v/>
      </c>
      <c r="N107" s="46">
        <f t="shared" ca="1" si="25"/>
        <v>0</v>
      </c>
      <c r="O107" s="16" t="str">
        <f t="shared" ca="1" si="26"/>
        <v/>
      </c>
      <c r="P107" s="16" t="str">
        <f t="shared" ca="1" si="27"/>
        <v/>
      </c>
    </row>
    <row r="108" spans="1:16" x14ac:dyDescent="0.45">
      <c r="A108" s="27">
        <f>'Activity Plan'!A108</f>
        <v>0</v>
      </c>
      <c r="B108" s="27" t="str">
        <f>'Activity Plan'!C108</f>
        <v>T3-008</v>
      </c>
      <c r="C108" s="27" t="str">
        <f>'Activity Plan'!D108</f>
        <v>Recruitment Support</v>
      </c>
      <c r="D108" s="27">
        <f>'Activity Plan'!H108</f>
        <v>0</v>
      </c>
      <c r="E108" s="41">
        <f>'Annual Election'!E111</f>
        <v>0</v>
      </c>
      <c r="F108" s="41">
        <f>'Annual Election'!H111</f>
        <v>0</v>
      </c>
      <c r="G108" s="37"/>
      <c r="H108" s="46" t="str">
        <f t="shared" si="21"/>
        <v/>
      </c>
      <c r="I108" s="33" t="str">
        <f>IF(H108="","",H108*'Activity Plan'!I108)</f>
        <v/>
      </c>
      <c r="J108" s="46" t="str">
        <f t="shared" si="22"/>
        <v/>
      </c>
      <c r="K108" s="23"/>
      <c r="L108" s="47" t="str">
        <f t="shared" ca="1" si="23"/>
        <v/>
      </c>
      <c r="M108" s="16" t="str">
        <f t="shared" ca="1" si="24"/>
        <v/>
      </c>
      <c r="N108" s="46">
        <f t="shared" ca="1" si="25"/>
        <v>0</v>
      </c>
      <c r="O108" s="16" t="str">
        <f t="shared" ca="1" si="26"/>
        <v/>
      </c>
      <c r="P108" s="16" t="str">
        <f t="shared" ca="1" si="27"/>
        <v/>
      </c>
    </row>
    <row r="109" spans="1:16" x14ac:dyDescent="0.45">
      <c r="A109" s="27">
        <f>'Activity Plan'!A109</f>
        <v>0</v>
      </c>
      <c r="B109" s="27" t="str">
        <f>'Activity Plan'!C109</f>
        <v>T3-009</v>
      </c>
      <c r="C109" s="27" t="str">
        <f>'Activity Plan'!D109</f>
        <v>Regulatory Coordination and Monitoring</v>
      </c>
      <c r="D109" s="27">
        <f>'Activity Plan'!H109</f>
        <v>0</v>
      </c>
      <c r="E109" s="41">
        <f>'Annual Election'!E112</f>
        <v>0</v>
      </c>
      <c r="F109" s="41">
        <f>'Annual Election'!H112</f>
        <v>0</v>
      </c>
      <c r="G109" s="37"/>
      <c r="H109" s="46" t="str">
        <f t="shared" si="21"/>
        <v/>
      </c>
      <c r="I109" s="33" t="str">
        <f>IF(H109="","",H109*'Activity Plan'!I109)</f>
        <v/>
      </c>
      <c r="J109" s="46" t="str">
        <f t="shared" si="22"/>
        <v/>
      </c>
      <c r="K109" s="23"/>
      <c r="L109" s="47" t="str">
        <f t="shared" ca="1" si="23"/>
        <v/>
      </c>
      <c r="M109" s="16" t="str">
        <f t="shared" ca="1" si="24"/>
        <v/>
      </c>
      <c r="N109" s="46">
        <f t="shared" ca="1" si="25"/>
        <v>0</v>
      </c>
      <c r="O109" s="16" t="str">
        <f t="shared" ca="1" si="26"/>
        <v/>
      </c>
      <c r="P109" s="16" t="str">
        <f t="shared" ca="1" si="27"/>
        <v/>
      </c>
    </row>
    <row r="110" spans="1:16" x14ac:dyDescent="0.45">
      <c r="A110" s="27">
        <f>'Activity Plan'!A110</f>
        <v>0</v>
      </c>
      <c r="B110" s="27" t="str">
        <f>'Activity Plan'!C110</f>
        <v>T3-010</v>
      </c>
      <c r="C110" s="27" t="str">
        <f>'Activity Plan'!D110</f>
        <v>Security Assessments</v>
      </c>
      <c r="D110" s="27">
        <f>'Activity Plan'!H110</f>
        <v>0</v>
      </c>
      <c r="E110" s="41">
        <f>'Annual Election'!E113</f>
        <v>0</v>
      </c>
      <c r="F110" s="41">
        <f>'Annual Election'!H113</f>
        <v>0</v>
      </c>
      <c r="G110" s="37"/>
      <c r="H110" s="46" t="str">
        <f t="shared" si="21"/>
        <v/>
      </c>
      <c r="I110" s="33" t="str">
        <f>IF(H110="","",H110*'Activity Plan'!I110)</f>
        <v/>
      </c>
      <c r="J110" s="46" t="str">
        <f t="shared" si="22"/>
        <v/>
      </c>
      <c r="K110" s="23"/>
      <c r="L110" s="47" t="str">
        <f t="shared" ca="1" si="23"/>
        <v/>
      </c>
      <c r="M110" s="16" t="str">
        <f t="shared" ca="1" si="24"/>
        <v/>
      </c>
      <c r="N110" s="46">
        <f t="shared" ca="1" si="25"/>
        <v>0</v>
      </c>
      <c r="O110" s="16" t="str">
        <f t="shared" ca="1" si="26"/>
        <v/>
      </c>
      <c r="P110" s="16" t="str">
        <f t="shared" ca="1" si="27"/>
        <v/>
      </c>
    </row>
    <row r="111" spans="1:16" x14ac:dyDescent="0.45">
      <c r="A111" s="27">
        <f>'Activity Plan'!A111</f>
        <v>0</v>
      </c>
      <c r="B111" s="27" t="str">
        <f>'Activity Plan'!C111</f>
        <v>T3-011</v>
      </c>
      <c r="C111" s="27" t="str">
        <f>'Activity Plan'!D111</f>
        <v>Special Investigations</v>
      </c>
      <c r="D111" s="27">
        <f>'Activity Plan'!H111</f>
        <v>0</v>
      </c>
      <c r="E111" s="41">
        <f>'Annual Election'!E114</f>
        <v>0</v>
      </c>
      <c r="F111" s="41">
        <f>'Annual Election'!H114</f>
        <v>0</v>
      </c>
      <c r="G111" s="37"/>
      <c r="H111" s="46" t="str">
        <f t="shared" si="21"/>
        <v/>
      </c>
      <c r="I111" s="33" t="str">
        <f>IF(H111="","",H111*'Activity Plan'!I111)</f>
        <v/>
      </c>
      <c r="J111" s="46" t="str">
        <f t="shared" si="22"/>
        <v/>
      </c>
      <c r="K111" s="23"/>
      <c r="L111" s="47" t="str">
        <f t="shared" ca="1" si="23"/>
        <v/>
      </c>
      <c r="M111" s="16" t="str">
        <f t="shared" ca="1" si="24"/>
        <v/>
      </c>
      <c r="N111" s="46">
        <f t="shared" ca="1" si="25"/>
        <v>0</v>
      </c>
      <c r="O111" s="16" t="str">
        <f t="shared" ca="1" si="26"/>
        <v/>
      </c>
      <c r="P111" s="16" t="str">
        <f t="shared" ca="1" si="27"/>
        <v/>
      </c>
    </row>
    <row r="112" spans="1:16" x14ac:dyDescent="0.45">
      <c r="A112" s="27">
        <f>'Activity Plan'!A112</f>
        <v>0</v>
      </c>
      <c r="B112" s="27" t="str">
        <f>'Activity Plan'!C112</f>
        <v>T3-012</v>
      </c>
      <c r="C112" s="27" t="str">
        <f>'Activity Plan'!D112</f>
        <v>Board Reporting</v>
      </c>
      <c r="D112" s="27">
        <f>'Activity Plan'!H112</f>
        <v>0</v>
      </c>
      <c r="E112" s="41">
        <f>'Annual Election'!E115</f>
        <v>0</v>
      </c>
      <c r="F112" s="41">
        <f>'Annual Election'!H115</f>
        <v>0</v>
      </c>
      <c r="G112" s="37"/>
      <c r="H112" s="46" t="str">
        <f t="shared" si="21"/>
        <v/>
      </c>
      <c r="I112" s="33" t="str">
        <f>IF(H112="","",H112*'Activity Plan'!I112)</f>
        <v/>
      </c>
      <c r="J112" s="46" t="str">
        <f t="shared" si="22"/>
        <v/>
      </c>
      <c r="K112" s="23"/>
      <c r="L112" s="47" t="str">
        <f t="shared" ca="1" si="23"/>
        <v/>
      </c>
      <c r="M112" s="16" t="str">
        <f t="shared" ca="1" si="24"/>
        <v/>
      </c>
      <c r="N112" s="46">
        <f t="shared" ca="1" si="25"/>
        <v>0</v>
      </c>
      <c r="O112" s="16" t="str">
        <f t="shared" ca="1" si="26"/>
        <v/>
      </c>
      <c r="P112" s="16" t="str">
        <f t="shared" ca="1" si="27"/>
        <v/>
      </c>
    </row>
    <row r="113" spans="1:16" x14ac:dyDescent="0.45">
      <c r="A113" s="27">
        <f>'Activity Plan'!A113</f>
        <v>0</v>
      </c>
      <c r="B113" s="27" t="str">
        <f>'Activity Plan'!C113</f>
        <v>T3-013</v>
      </c>
      <c r="C113" s="27" t="str">
        <f>'Activity Plan'!D113</f>
        <v>Investor Reporting</v>
      </c>
      <c r="D113" s="27">
        <f>'Activity Plan'!H113</f>
        <v>0</v>
      </c>
      <c r="E113" s="41">
        <f>'Annual Election'!E116</f>
        <v>0</v>
      </c>
      <c r="F113" s="41">
        <f>'Annual Election'!H116</f>
        <v>0</v>
      </c>
      <c r="G113" s="37"/>
      <c r="H113" s="46" t="str">
        <f t="shared" si="21"/>
        <v/>
      </c>
      <c r="I113" s="33" t="str">
        <f>IF(H113="","",H113*'Activity Plan'!I113)</f>
        <v/>
      </c>
      <c r="J113" s="46" t="str">
        <f t="shared" si="22"/>
        <v/>
      </c>
      <c r="K113" s="23"/>
      <c r="L113" s="47" t="str">
        <f t="shared" ca="1" si="23"/>
        <v/>
      </c>
      <c r="M113" s="16" t="str">
        <f t="shared" ca="1" si="24"/>
        <v/>
      </c>
      <c r="N113" s="46">
        <f t="shared" ca="1" si="25"/>
        <v>0</v>
      </c>
      <c r="O113" s="16" t="str">
        <f t="shared" ca="1" si="26"/>
        <v/>
      </c>
      <c r="P113" s="16" t="str">
        <f t="shared" ca="1" si="27"/>
        <v/>
      </c>
    </row>
    <row r="114" spans="1:16" x14ac:dyDescent="0.45">
      <c r="A114" s="27">
        <f>'Activity Plan'!A114</f>
        <v>0</v>
      </c>
      <c r="B114" s="27" t="str">
        <f>'Activity Plan'!C114</f>
        <v>T3-014</v>
      </c>
      <c r="C114" s="27" t="str">
        <f>'Activity Plan'!D114</f>
        <v>Staff Capability Development</v>
      </c>
      <c r="D114" s="27">
        <f>'Activity Plan'!H114</f>
        <v>0</v>
      </c>
      <c r="E114" s="41">
        <f>'Annual Election'!E117</f>
        <v>0</v>
      </c>
      <c r="F114" s="41">
        <f>'Annual Election'!H117</f>
        <v>0</v>
      </c>
      <c r="G114" s="37"/>
      <c r="H114" s="46" t="str">
        <f t="shared" si="21"/>
        <v/>
      </c>
      <c r="I114" s="33" t="str">
        <f>IF(H114="","",H114*'Activity Plan'!I114)</f>
        <v/>
      </c>
      <c r="J114" s="46" t="str">
        <f t="shared" si="22"/>
        <v/>
      </c>
      <c r="K114" s="23"/>
      <c r="L114" s="47" t="str">
        <f t="shared" ca="1" si="23"/>
        <v/>
      </c>
      <c r="M114" s="16" t="str">
        <f t="shared" ca="1" si="24"/>
        <v/>
      </c>
      <c r="N114" s="46">
        <f t="shared" ca="1" si="25"/>
        <v>0</v>
      </c>
      <c r="O114" s="16" t="str">
        <f t="shared" ca="1" si="26"/>
        <v/>
      </c>
      <c r="P114" s="16" t="str">
        <f t="shared" ca="1" si="27"/>
        <v/>
      </c>
    </row>
    <row r="115" spans="1:16" x14ac:dyDescent="0.45">
      <c r="A115" s="27">
        <f>'Activity Plan'!A115</f>
        <v>0</v>
      </c>
      <c r="B115" s="27" t="str">
        <f>'Activity Plan'!C115</f>
        <v>T3-015</v>
      </c>
      <c r="C115" s="27" t="str">
        <f>'Activity Plan'!D115</f>
        <v>Operational Benchmarking</v>
      </c>
      <c r="D115" s="27">
        <f>'Activity Plan'!H115</f>
        <v>0</v>
      </c>
      <c r="E115" s="41">
        <f>'Annual Election'!E118</f>
        <v>0</v>
      </c>
      <c r="F115" s="41">
        <f>'Annual Election'!H118</f>
        <v>0</v>
      </c>
      <c r="G115" s="37"/>
      <c r="H115" s="46" t="str">
        <f t="shared" si="21"/>
        <v/>
      </c>
      <c r="I115" s="33" t="str">
        <f>IF(H115="","",H115*'Activity Plan'!I115)</f>
        <v/>
      </c>
      <c r="J115" s="46" t="str">
        <f t="shared" si="22"/>
        <v/>
      </c>
      <c r="K115" s="23"/>
      <c r="L115" s="47" t="str">
        <f t="shared" ca="1" si="23"/>
        <v/>
      </c>
      <c r="M115" s="16" t="str">
        <f t="shared" ca="1" si="24"/>
        <v/>
      </c>
      <c r="N115" s="46">
        <f t="shared" ca="1" si="25"/>
        <v>0</v>
      </c>
      <c r="O115" s="16" t="str">
        <f t="shared" ca="1" si="26"/>
        <v/>
      </c>
      <c r="P115" s="16" t="str">
        <f t="shared" ca="1" si="27"/>
        <v/>
      </c>
    </row>
    <row r="116" spans="1:16" x14ac:dyDescent="0.45">
      <c r="A116" s="27">
        <f>'Activity Plan'!A116</f>
        <v>0</v>
      </c>
      <c r="B116" s="27" t="str">
        <f>'Activity Plan'!C116</f>
        <v>T3-016</v>
      </c>
      <c r="C116" s="27" t="str">
        <f>'Activity Plan'!D116</f>
        <v>Feasibility Studies</v>
      </c>
      <c r="D116" s="27">
        <f>'Activity Plan'!H116</f>
        <v>0</v>
      </c>
      <c r="E116" s="41">
        <f>'Annual Election'!E119</f>
        <v>0</v>
      </c>
      <c r="F116" s="41">
        <f>'Annual Election'!H119</f>
        <v>0</v>
      </c>
      <c r="G116" s="37"/>
      <c r="H116" s="46" t="str">
        <f t="shared" si="21"/>
        <v/>
      </c>
      <c r="I116" s="33" t="str">
        <f>IF(H116="","",H116*'Activity Plan'!I116)</f>
        <v/>
      </c>
      <c r="J116" s="46" t="str">
        <f t="shared" si="22"/>
        <v/>
      </c>
      <c r="K116" s="23"/>
      <c r="L116" s="47" t="str">
        <f t="shared" ca="1" si="23"/>
        <v/>
      </c>
      <c r="M116" s="16" t="str">
        <f t="shared" ca="1" si="24"/>
        <v/>
      </c>
      <c r="N116" s="46">
        <f t="shared" ca="1" si="25"/>
        <v>0</v>
      </c>
      <c r="O116" s="16" t="str">
        <f t="shared" ca="1" si="26"/>
        <v/>
      </c>
      <c r="P116" s="16" t="str">
        <f t="shared" ca="1" si="27"/>
        <v/>
      </c>
    </row>
    <row r="117" spans="1:16" x14ac:dyDescent="0.45">
      <c r="A117" s="27">
        <f>'Activity Plan'!A117</f>
        <v>0</v>
      </c>
      <c r="B117" s="27" t="str">
        <f>'Activity Plan'!C117</f>
        <v>T3-017</v>
      </c>
      <c r="C117" s="27" t="str">
        <f>'Activity Plan'!D117</f>
        <v>Owner Representation</v>
      </c>
      <c r="D117" s="27">
        <f>'Activity Plan'!H117</f>
        <v>0</v>
      </c>
      <c r="E117" s="41">
        <f>'Annual Election'!E120</f>
        <v>0</v>
      </c>
      <c r="F117" s="41">
        <f>'Annual Election'!H120</f>
        <v>0</v>
      </c>
      <c r="G117" s="37"/>
      <c r="H117" s="46" t="str">
        <f t="shared" si="21"/>
        <v/>
      </c>
      <c r="I117" s="33" t="str">
        <f>IF(H117="","",H117*'Activity Plan'!I117)</f>
        <v/>
      </c>
      <c r="J117" s="46" t="str">
        <f t="shared" si="22"/>
        <v/>
      </c>
      <c r="K117" s="23"/>
      <c r="L117" s="47" t="str">
        <f t="shared" ca="1" si="23"/>
        <v/>
      </c>
      <c r="M117" s="16" t="str">
        <f t="shared" ca="1" si="24"/>
        <v/>
      </c>
      <c r="N117" s="46">
        <f t="shared" ca="1" si="25"/>
        <v>0</v>
      </c>
      <c r="O117" s="16" t="str">
        <f t="shared" ca="1" si="26"/>
        <v/>
      </c>
      <c r="P117" s="16" t="str">
        <f t="shared" ca="1" si="27"/>
        <v/>
      </c>
    </row>
    <row r="118" spans="1:16" x14ac:dyDescent="0.45">
      <c r="A118" s="27">
        <f>'Activity Plan'!A118</f>
        <v>0</v>
      </c>
      <c r="B118" s="27" t="str">
        <f>'Activity Plan'!C118</f>
        <v>T3-018</v>
      </c>
      <c r="C118" s="27" t="str">
        <f>'Activity Plan'!D118</f>
        <v>Coordination of Legal Advisers</v>
      </c>
      <c r="D118" s="27">
        <f>'Activity Plan'!H118</f>
        <v>0</v>
      </c>
      <c r="E118" s="41">
        <f>'Annual Election'!E121</f>
        <v>0</v>
      </c>
      <c r="F118" s="41">
        <f>'Annual Election'!H121</f>
        <v>0</v>
      </c>
      <c r="G118" s="37"/>
      <c r="H118" s="46" t="str">
        <f t="shared" si="21"/>
        <v/>
      </c>
      <c r="I118" s="33" t="str">
        <f>IF(H118="","",H118*'Activity Plan'!I118)</f>
        <v/>
      </c>
      <c r="J118" s="46" t="str">
        <f t="shared" si="22"/>
        <v/>
      </c>
      <c r="K118" s="23"/>
      <c r="L118" s="47" t="str">
        <f t="shared" ca="1" si="23"/>
        <v/>
      </c>
      <c r="M118" s="16" t="str">
        <f t="shared" ca="1" si="24"/>
        <v/>
      </c>
      <c r="N118" s="46">
        <f t="shared" ca="1" si="25"/>
        <v>0</v>
      </c>
      <c r="O118" s="16" t="str">
        <f t="shared" ca="1" si="26"/>
        <v/>
      </c>
      <c r="P118" s="16" t="str">
        <f t="shared" ca="1" si="27"/>
        <v/>
      </c>
    </row>
    <row r="119" spans="1:16" x14ac:dyDescent="0.45">
      <c r="A119" s="27">
        <f>'Activity Plan'!A119</f>
        <v>0</v>
      </c>
      <c r="B119" s="27" t="str">
        <f>'Activity Plan'!C119</f>
        <v>T3-019</v>
      </c>
      <c r="C119" s="27" t="str">
        <f>'Activity Plan'!D119</f>
        <v>Coordination of Tax Advisers</v>
      </c>
      <c r="D119" s="27">
        <f>'Activity Plan'!H119</f>
        <v>0</v>
      </c>
      <c r="E119" s="41">
        <f>'Annual Election'!E122</f>
        <v>0</v>
      </c>
      <c r="F119" s="41">
        <f>'Annual Election'!H122</f>
        <v>0</v>
      </c>
      <c r="G119" s="37"/>
      <c r="H119" s="46" t="str">
        <f t="shared" si="21"/>
        <v/>
      </c>
      <c r="I119" s="33" t="str">
        <f>IF(H119="","",H119*'Activity Plan'!I119)</f>
        <v/>
      </c>
      <c r="J119" s="46" t="str">
        <f t="shared" si="22"/>
        <v/>
      </c>
      <c r="K119" s="23"/>
      <c r="L119" s="47" t="str">
        <f t="shared" ca="1" si="23"/>
        <v/>
      </c>
      <c r="M119" s="16" t="str">
        <f t="shared" ca="1" si="24"/>
        <v/>
      </c>
      <c r="N119" s="46">
        <f t="shared" ca="1" si="25"/>
        <v>0</v>
      </c>
      <c r="O119" s="16" t="str">
        <f t="shared" ca="1" si="26"/>
        <v/>
      </c>
      <c r="P119" s="16" t="str">
        <f t="shared" ca="1" si="27"/>
        <v/>
      </c>
    </row>
    <row r="120" spans="1:16" x14ac:dyDescent="0.45">
      <c r="A120" s="27">
        <f>'Activity Plan'!A120</f>
        <v>0</v>
      </c>
      <c r="B120" s="27" t="str">
        <f>'Activity Plan'!C120</f>
        <v>T3-020</v>
      </c>
      <c r="C120" s="27" t="str">
        <f>'Activity Plan'!D120</f>
        <v>Governance Oversight</v>
      </c>
      <c r="D120" s="27">
        <f>'Activity Plan'!H120</f>
        <v>0</v>
      </c>
      <c r="E120" s="41">
        <f>'Annual Election'!E123</f>
        <v>0</v>
      </c>
      <c r="F120" s="41">
        <f>'Annual Election'!H123</f>
        <v>0</v>
      </c>
      <c r="G120" s="37"/>
      <c r="H120" s="46" t="str">
        <f t="shared" si="21"/>
        <v/>
      </c>
      <c r="I120" s="33" t="str">
        <f>IF(H120="","",H120*'Activity Plan'!I120)</f>
        <v/>
      </c>
      <c r="J120" s="46" t="str">
        <f t="shared" si="22"/>
        <v/>
      </c>
      <c r="K120" s="23"/>
      <c r="L120" s="47" t="str">
        <f t="shared" ca="1" si="23"/>
        <v/>
      </c>
      <c r="M120" s="16" t="str">
        <f t="shared" ca="1" si="24"/>
        <v/>
      </c>
      <c r="N120" s="46">
        <f t="shared" ca="1" si="25"/>
        <v>0</v>
      </c>
      <c r="O120" s="16" t="str">
        <f t="shared" ca="1" si="26"/>
        <v/>
      </c>
      <c r="P120" s="16" t="str">
        <f t="shared" ca="1" si="27"/>
        <v/>
      </c>
    </row>
    <row r="121" spans="1:16" x14ac:dyDescent="0.45">
      <c r="A121" s="27">
        <f>'Activity Plan'!A121</f>
        <v>0</v>
      </c>
      <c r="B121" s="27" t="str">
        <f>'Activity Plan'!C121</f>
        <v>T3-021</v>
      </c>
      <c r="C121" s="27" t="str">
        <f>'Activity Plan'!D121</f>
        <v>Debt Raising Support</v>
      </c>
      <c r="D121" s="27">
        <f>'Activity Plan'!H121</f>
        <v>0</v>
      </c>
      <c r="E121" s="41">
        <f>'Annual Election'!E124</f>
        <v>0</v>
      </c>
      <c r="F121" s="41">
        <f>'Annual Election'!H124</f>
        <v>0</v>
      </c>
      <c r="G121" s="37"/>
      <c r="H121" s="46" t="str">
        <f t="shared" si="21"/>
        <v/>
      </c>
      <c r="I121" s="33" t="str">
        <f>IF(H121="","",H121*'Activity Plan'!I121)</f>
        <v/>
      </c>
      <c r="J121" s="46" t="str">
        <f t="shared" si="22"/>
        <v/>
      </c>
      <c r="K121" s="23"/>
      <c r="L121" s="47" t="str">
        <f t="shared" ca="1" si="23"/>
        <v/>
      </c>
      <c r="M121" s="16" t="str">
        <f t="shared" ca="1" si="24"/>
        <v/>
      </c>
      <c r="N121" s="46">
        <f t="shared" ca="1" si="25"/>
        <v>0</v>
      </c>
      <c r="O121" s="16" t="str">
        <f t="shared" ca="1" si="26"/>
        <v/>
      </c>
      <c r="P121" s="16" t="str">
        <f t="shared" ca="1" si="27"/>
        <v/>
      </c>
    </row>
    <row r="122" spans="1:16" x14ac:dyDescent="0.45">
      <c r="A122" s="27">
        <f>'Activity Plan'!A122</f>
        <v>0</v>
      </c>
      <c r="B122" s="27" t="str">
        <f>'Activity Plan'!C122</f>
        <v>T3-022</v>
      </c>
      <c r="C122" s="27" t="str">
        <f>'Activity Plan'!D122</f>
        <v>Lender Coordination</v>
      </c>
      <c r="D122" s="27">
        <f>'Activity Plan'!H122</f>
        <v>0</v>
      </c>
      <c r="E122" s="41">
        <f>'Annual Election'!E125</f>
        <v>0</v>
      </c>
      <c r="F122" s="41">
        <f>'Annual Election'!H125</f>
        <v>0</v>
      </c>
      <c r="G122" s="37"/>
      <c r="H122" s="46" t="str">
        <f t="shared" si="21"/>
        <v/>
      </c>
      <c r="I122" s="33" t="str">
        <f>IF(H122="","",H122*'Activity Plan'!I122)</f>
        <v/>
      </c>
      <c r="J122" s="46" t="str">
        <f t="shared" si="22"/>
        <v/>
      </c>
      <c r="K122" s="23"/>
      <c r="L122" s="47" t="str">
        <f t="shared" ca="1" si="23"/>
        <v/>
      </c>
      <c r="M122" s="16" t="str">
        <f t="shared" ca="1" si="24"/>
        <v/>
      </c>
      <c r="N122" s="46">
        <f t="shared" ca="1" si="25"/>
        <v>0</v>
      </c>
      <c r="O122" s="16" t="str">
        <f t="shared" ca="1" si="26"/>
        <v/>
      </c>
      <c r="P122" s="16" t="str">
        <f t="shared" ca="1" si="27"/>
        <v/>
      </c>
    </row>
    <row r="123" spans="1:16" x14ac:dyDescent="0.45">
      <c r="A123" s="27">
        <f>'Activity Plan'!A123</f>
        <v>0</v>
      </c>
      <c r="B123" s="27" t="str">
        <f>'Activity Plan'!C123</f>
        <v>T3-023</v>
      </c>
      <c r="C123" s="27" t="str">
        <f>'Activity Plan'!D123</f>
        <v>Strategic Stakeholder Engagement</v>
      </c>
      <c r="D123" s="27">
        <f>'Activity Plan'!H123</f>
        <v>0</v>
      </c>
      <c r="E123" s="41">
        <f>'Annual Election'!E126</f>
        <v>0</v>
      </c>
      <c r="F123" s="41">
        <f>'Annual Election'!H126</f>
        <v>0</v>
      </c>
      <c r="G123" s="37"/>
      <c r="H123" s="46" t="str">
        <f t="shared" si="21"/>
        <v/>
      </c>
      <c r="I123" s="33" t="str">
        <f>IF(H123="","",H123*'Activity Plan'!I123)</f>
        <v/>
      </c>
      <c r="J123" s="46" t="str">
        <f t="shared" si="22"/>
        <v/>
      </c>
      <c r="K123" s="23"/>
      <c r="L123" s="47" t="str">
        <f t="shared" ca="1" si="23"/>
        <v/>
      </c>
      <c r="M123" s="16" t="str">
        <f t="shared" ca="1" si="24"/>
        <v/>
      </c>
      <c r="N123" s="46">
        <f t="shared" ca="1" si="25"/>
        <v>0</v>
      </c>
      <c r="O123" s="16" t="str">
        <f t="shared" ca="1" si="26"/>
        <v/>
      </c>
      <c r="P123" s="16" t="str">
        <f t="shared" ca="1" si="27"/>
        <v/>
      </c>
    </row>
    <row r="124" spans="1:16" x14ac:dyDescent="0.45">
      <c r="A124" s="27">
        <f>'Activity Plan'!A124</f>
        <v>0</v>
      </c>
      <c r="B124" s="27" t="str">
        <f>'Activity Plan'!C124</f>
        <v>T3-024</v>
      </c>
      <c r="C124" s="27" t="str">
        <f>'Activity Plan'!D124</f>
        <v>Reputation Management</v>
      </c>
      <c r="D124" s="27">
        <f>'Activity Plan'!H124</f>
        <v>0</v>
      </c>
      <c r="E124" s="41">
        <f>'Annual Election'!E127</f>
        <v>0</v>
      </c>
      <c r="F124" s="41">
        <f>'Annual Election'!H127</f>
        <v>0</v>
      </c>
      <c r="G124" s="37"/>
      <c r="H124" s="46" t="str">
        <f t="shared" si="21"/>
        <v/>
      </c>
      <c r="I124" s="33" t="str">
        <f>IF(H124="","",H124*'Activity Plan'!I124)</f>
        <v/>
      </c>
      <c r="J124" s="46" t="str">
        <f t="shared" si="22"/>
        <v/>
      </c>
      <c r="K124" s="23"/>
      <c r="L124" s="47" t="str">
        <f t="shared" ca="1" si="23"/>
        <v/>
      </c>
      <c r="M124" s="16" t="str">
        <f t="shared" ca="1" si="24"/>
        <v/>
      </c>
      <c r="N124" s="46">
        <f t="shared" ca="1" si="25"/>
        <v>0</v>
      </c>
      <c r="O124" s="16" t="str">
        <f t="shared" ca="1" si="26"/>
        <v/>
      </c>
      <c r="P124" s="16" t="str">
        <f t="shared" ca="1" si="27"/>
        <v/>
      </c>
    </row>
    <row r="125" spans="1:16" x14ac:dyDescent="0.45">
      <c r="A125" s="27">
        <f>'Activity Plan'!A125</f>
        <v>0</v>
      </c>
      <c r="B125" s="27" t="str">
        <f>'Activity Plan'!C125</f>
        <v>T3-025</v>
      </c>
      <c r="C125" s="27" t="str">
        <f>'Activity Plan'!D125</f>
        <v>Strategic Reporting</v>
      </c>
      <c r="D125" s="27">
        <f>'Activity Plan'!H125</f>
        <v>0</v>
      </c>
      <c r="E125" s="41">
        <f>'Annual Election'!E128</f>
        <v>0</v>
      </c>
      <c r="F125" s="41">
        <f>'Annual Election'!H128</f>
        <v>0</v>
      </c>
      <c r="G125" s="37"/>
      <c r="H125" s="46" t="str">
        <f t="shared" si="21"/>
        <v/>
      </c>
      <c r="I125" s="33" t="str">
        <f>IF(H125="","",H125*'Activity Plan'!I125)</f>
        <v/>
      </c>
      <c r="J125" s="46" t="str">
        <f t="shared" si="22"/>
        <v/>
      </c>
      <c r="K125" s="23"/>
      <c r="L125" s="47" t="str">
        <f t="shared" ca="1" si="23"/>
        <v/>
      </c>
      <c r="M125" s="16" t="str">
        <f t="shared" ca="1" si="24"/>
        <v/>
      </c>
      <c r="N125" s="46">
        <f t="shared" ca="1" si="25"/>
        <v>0</v>
      </c>
      <c r="O125" s="16" t="str">
        <f t="shared" ca="1" si="26"/>
        <v/>
      </c>
      <c r="P125" s="16" t="str">
        <f t="shared" ca="1" si="27"/>
        <v/>
      </c>
    </row>
    <row r="126" spans="1:16" x14ac:dyDescent="0.45">
      <c r="A126" s="27">
        <f>'Activity Plan'!A126</f>
        <v>0</v>
      </c>
      <c r="B126" s="27" t="str">
        <f>'Activity Plan'!C126</f>
        <v>T3-026</v>
      </c>
      <c r="C126" s="27" t="str">
        <f>'Activity Plan'!D126</f>
        <v>Coordination of Specialist Advisers</v>
      </c>
      <c r="D126" s="27">
        <f>'Activity Plan'!H126</f>
        <v>0</v>
      </c>
      <c r="E126" s="41">
        <f>'Annual Election'!E129</f>
        <v>0</v>
      </c>
      <c r="F126" s="41">
        <f>'Annual Election'!H129</f>
        <v>0</v>
      </c>
      <c r="G126" s="37"/>
      <c r="H126" s="46" t="str">
        <f t="shared" si="21"/>
        <v/>
      </c>
      <c r="I126" s="33" t="str">
        <f>IF(H126="","",H126*'Activity Plan'!I126)</f>
        <v/>
      </c>
      <c r="J126" s="46" t="str">
        <f t="shared" si="22"/>
        <v/>
      </c>
      <c r="K126" s="23"/>
      <c r="L126" s="47" t="str">
        <f t="shared" ca="1" si="23"/>
        <v/>
      </c>
      <c r="M126" s="16" t="str">
        <f t="shared" ca="1" si="24"/>
        <v/>
      </c>
      <c r="N126" s="46">
        <f t="shared" ca="1" si="25"/>
        <v>0</v>
      </c>
      <c r="O126" s="16" t="str">
        <f t="shared" ca="1" si="26"/>
        <v/>
      </c>
      <c r="P126" s="16" t="str">
        <f t="shared" ca="1" si="27"/>
        <v/>
      </c>
    </row>
    <row r="127" spans="1:16" x14ac:dyDescent="0.45">
      <c r="A127" s="27">
        <f>'Activity Plan'!A127</f>
        <v>0</v>
      </c>
      <c r="B127" s="27" t="str">
        <f>'Activity Plan'!C127</f>
        <v>T3-027</v>
      </c>
      <c r="C127" s="27" t="str">
        <f>'Activity Plan'!D127</f>
        <v>Soil Sampling and Analysis</v>
      </c>
      <c r="D127" s="27">
        <f>'Activity Plan'!H127</f>
        <v>0</v>
      </c>
      <c r="E127" s="41" t="str">
        <f>'Annual Election'!E130</f>
        <v/>
      </c>
      <c r="F127" s="41" t="str">
        <f>'Annual Election'!H130</f>
        <v/>
      </c>
      <c r="G127" s="37"/>
      <c r="H127" s="46" t="str">
        <f t="shared" si="21"/>
        <v/>
      </c>
      <c r="I127" s="33" t="str">
        <f>IF(H127="","",H127*'Activity Plan'!I127)</f>
        <v/>
      </c>
      <c r="J127" s="46" t="str">
        <f t="shared" si="22"/>
        <v/>
      </c>
      <c r="K127" s="23"/>
      <c r="L127" s="47" t="str">
        <f t="shared" ca="1" si="23"/>
        <v/>
      </c>
      <c r="M127" s="16" t="str">
        <f t="shared" ca="1" si="24"/>
        <v/>
      </c>
      <c r="N127" s="46">
        <f t="shared" ca="1" si="25"/>
        <v>0</v>
      </c>
      <c r="O127" s="16" t="str">
        <f t="shared" ca="1" si="26"/>
        <v/>
      </c>
      <c r="P127" s="16" t="str">
        <f t="shared" ca="1" si="27"/>
        <v/>
      </c>
    </row>
    <row r="128" spans="1:16" x14ac:dyDescent="0.45">
      <c r="A128" s="27">
        <f>'Activity Plan'!A128</f>
        <v>0</v>
      </c>
      <c r="B128" s="27" t="str">
        <f>'Activity Plan'!C128</f>
        <v>T3-028</v>
      </c>
      <c r="C128" s="27" t="str">
        <f>'Activity Plan'!D128</f>
        <v>Soil Fertility and Nutrient Status Reporting</v>
      </c>
      <c r="D128" s="27">
        <f>'Activity Plan'!H128</f>
        <v>0</v>
      </c>
      <c r="E128" s="41" t="str">
        <f>'Annual Election'!E131</f>
        <v/>
      </c>
      <c r="F128" s="41" t="str">
        <f>'Annual Election'!H131</f>
        <v/>
      </c>
      <c r="G128" s="37"/>
      <c r="H128" s="46" t="str">
        <f t="shared" si="21"/>
        <v/>
      </c>
      <c r="I128" s="33" t="str">
        <f>IF(H128="","",H128*'Activity Plan'!I128)</f>
        <v/>
      </c>
      <c r="J128" s="46" t="str">
        <f t="shared" si="22"/>
        <v/>
      </c>
      <c r="K128" s="23"/>
      <c r="L128" s="47" t="str">
        <f t="shared" ca="1" si="23"/>
        <v/>
      </c>
      <c r="M128" s="16" t="str">
        <f t="shared" ca="1" si="24"/>
        <v/>
      </c>
      <c r="N128" s="46">
        <f t="shared" ca="1" si="25"/>
        <v>0</v>
      </c>
      <c r="O128" s="16" t="str">
        <f t="shared" ca="1" si="26"/>
        <v/>
      </c>
      <c r="P128" s="16" t="str">
        <f t="shared" ca="1" si="27"/>
        <v/>
      </c>
    </row>
    <row r="129" spans="1:16" x14ac:dyDescent="0.45">
      <c r="A129" s="27">
        <f>'Activity Plan'!A129</f>
        <v>0</v>
      </c>
      <c r="B129" s="27" t="str">
        <f>'Activity Plan'!C129</f>
        <v>T3-029</v>
      </c>
      <c r="C129" s="27" t="str">
        <f>'Activity Plan'!D129</f>
        <v>Liming and Soil Amendment Recommendations</v>
      </c>
      <c r="D129" s="27">
        <f>'Activity Plan'!H129</f>
        <v>0</v>
      </c>
      <c r="E129" s="41" t="str">
        <f>'Annual Election'!E132</f>
        <v/>
      </c>
      <c r="F129" s="41" t="str">
        <f>'Annual Election'!H132</f>
        <v/>
      </c>
      <c r="G129" s="37"/>
      <c r="H129" s="46" t="str">
        <f t="shared" si="21"/>
        <v/>
      </c>
      <c r="I129" s="33" t="str">
        <f>IF(H129="","",H129*'Activity Plan'!I129)</f>
        <v/>
      </c>
      <c r="J129" s="46" t="str">
        <f t="shared" si="22"/>
        <v/>
      </c>
      <c r="K129" s="23"/>
      <c r="L129" s="47" t="str">
        <f t="shared" ca="1" si="23"/>
        <v/>
      </c>
      <c r="M129" s="16" t="str">
        <f t="shared" ca="1" si="24"/>
        <v/>
      </c>
      <c r="N129" s="46">
        <f t="shared" ca="1" si="25"/>
        <v>0</v>
      </c>
      <c r="O129" s="16" t="str">
        <f t="shared" ca="1" si="26"/>
        <v/>
      </c>
      <c r="P129" s="16" t="str">
        <f t="shared" ca="1" si="27"/>
        <v/>
      </c>
    </row>
    <row r="130" spans="1:16" x14ac:dyDescent="0.45">
      <c r="A130" s="27">
        <f>'Activity Plan'!A130</f>
        <v>0</v>
      </c>
      <c r="B130" s="27" t="str">
        <f>'Activity Plan'!C130</f>
        <v>T3-030</v>
      </c>
      <c r="C130" s="27" t="str">
        <f>'Activity Plan'!D130</f>
        <v>GPS Farm Boundary and Block Mapping</v>
      </c>
      <c r="D130" s="27">
        <f>'Activity Plan'!H130</f>
        <v>0</v>
      </c>
      <c r="E130" s="41" t="str">
        <f>'Annual Election'!E133</f>
        <v/>
      </c>
      <c r="F130" s="41" t="str">
        <f>'Annual Election'!H133</f>
        <v/>
      </c>
      <c r="G130" s="37"/>
      <c r="H130" s="46" t="str">
        <f t="shared" ref="H130:H161" si="28">IF(OR(D130="",G130=""),"",D130*G130/100)</f>
        <v/>
      </c>
      <c r="I130" s="33" t="str">
        <f>IF(H130="","",H130*'Activity Plan'!I130)</f>
        <v/>
      </c>
      <c r="J130" s="46" t="str">
        <f t="shared" ref="J130:J135" si="29">IF(H130="","",D130-H130)</f>
        <v/>
      </c>
      <c r="K130" s="23"/>
      <c r="L130" s="47" t="str">
        <f t="shared" ref="L130:L161" ca="1" si="30">IF(K130="","",(TODAY()-K130)/7)</f>
        <v/>
      </c>
      <c r="M130" s="16" t="str">
        <f t="shared" ref="M130:M161" ca="1" si="31">IF(AND(L130&lt;&gt;"",L130&gt;=2,G130&lt;100),"AT RISK — no progress in 2+ weeks","")</f>
        <v/>
      </c>
      <c r="N130" s="46">
        <f t="shared" ref="N130:N135" ca="1" si="32">IF(AND(F130&lt;&gt;"",TODAY()&gt;F130,OR(G130="",G130&lt;100)),D130-IF(H130="",0,H130),0)</f>
        <v>0</v>
      </c>
      <c r="O130" s="16" t="str">
        <f t="shared" ref="O130:O161" ca="1" si="33">IF(N130&gt;0,"ROLL OVER — create a new Election/Activity Plan entry for the shortfall","")</f>
        <v/>
      </c>
      <c r="P130" s="16" t="str">
        <f t="shared" ref="P130:P135" ca="1" si="34">IF(M130&lt;&gt;"",C130,"")</f>
        <v/>
      </c>
    </row>
    <row r="131" spans="1:16" x14ac:dyDescent="0.45">
      <c r="A131" s="27">
        <f>'Activity Plan'!A131</f>
        <v>0</v>
      </c>
      <c r="B131" s="27" t="str">
        <f>'Activity Plan'!C131</f>
        <v>T3-031</v>
      </c>
      <c r="C131" s="27" t="str">
        <f>'Activity Plan'!D131</f>
        <v>GIS Layering (Soil, Slope, Drainage, Shade, Productivity)</v>
      </c>
      <c r="D131" s="27">
        <f>'Activity Plan'!H131</f>
        <v>0</v>
      </c>
      <c r="E131" s="41" t="str">
        <f>'Annual Election'!E134</f>
        <v/>
      </c>
      <c r="F131" s="41" t="str">
        <f>'Annual Election'!H134</f>
        <v/>
      </c>
      <c r="G131" s="37"/>
      <c r="H131" s="46" t="str">
        <f t="shared" si="28"/>
        <v/>
      </c>
      <c r="I131" s="33" t="str">
        <f>IF(H131="","",H131*'Activity Plan'!I131)</f>
        <v/>
      </c>
      <c r="J131" s="46" t="str">
        <f t="shared" si="29"/>
        <v/>
      </c>
      <c r="K131" s="23"/>
      <c r="L131" s="47" t="str">
        <f t="shared" ca="1" si="30"/>
        <v/>
      </c>
      <c r="M131" s="16" t="str">
        <f t="shared" ca="1" si="31"/>
        <v/>
      </c>
      <c r="N131" s="46">
        <f t="shared" ca="1" si="32"/>
        <v>0</v>
      </c>
      <c r="O131" s="16" t="str">
        <f t="shared" ca="1" si="33"/>
        <v/>
      </c>
      <c r="P131" s="16" t="str">
        <f t="shared" ca="1" si="34"/>
        <v/>
      </c>
    </row>
    <row r="132" spans="1:16" x14ac:dyDescent="0.45">
      <c r="A132" s="27">
        <f>'Activity Plan'!A132</f>
        <v>0</v>
      </c>
      <c r="B132" s="27" t="str">
        <f>'Activity Plan'!C132</f>
        <v>T3-032</v>
      </c>
      <c r="C132" s="27" t="str">
        <f>'Activity Plan'!D132</f>
        <v>Weather Station Installation and Management</v>
      </c>
      <c r="D132" s="27">
        <f>'Activity Plan'!H132</f>
        <v>0</v>
      </c>
      <c r="E132" s="41" t="str">
        <f>'Annual Election'!E135</f>
        <v/>
      </c>
      <c r="F132" s="41" t="str">
        <f>'Annual Election'!H135</f>
        <v/>
      </c>
      <c r="G132" s="37"/>
      <c r="H132" s="46" t="str">
        <f t="shared" si="28"/>
        <v/>
      </c>
      <c r="I132" s="33" t="str">
        <f>IF(H132="","",H132*'Activity Plan'!I132)</f>
        <v/>
      </c>
      <c r="J132" s="46" t="str">
        <f t="shared" si="29"/>
        <v/>
      </c>
      <c r="K132" s="23"/>
      <c r="L132" s="47" t="str">
        <f t="shared" ca="1" si="30"/>
        <v/>
      </c>
      <c r="M132" s="16" t="str">
        <f t="shared" ca="1" si="31"/>
        <v/>
      </c>
      <c r="N132" s="46">
        <f t="shared" ca="1" si="32"/>
        <v>0</v>
      </c>
      <c r="O132" s="16" t="str">
        <f t="shared" ca="1" si="33"/>
        <v/>
      </c>
      <c r="P132" s="16" t="str">
        <f t="shared" ca="1" si="34"/>
        <v/>
      </c>
    </row>
    <row r="133" spans="1:16" x14ac:dyDescent="0.45">
      <c r="A133" s="27">
        <f>'Activity Plan'!A133</f>
        <v>0</v>
      </c>
      <c r="B133" s="27" t="str">
        <f>'Activity Plan'!C133</f>
        <v>T3-033</v>
      </c>
      <c r="C133" s="27" t="str">
        <f>'Activity Plan'!D133</f>
        <v>Farm Operating Manuals and SOPs</v>
      </c>
      <c r="D133" s="27">
        <f>'Activity Plan'!H133</f>
        <v>0</v>
      </c>
      <c r="E133" s="41" t="str">
        <f>'Annual Election'!E136</f>
        <v/>
      </c>
      <c r="F133" s="41" t="str">
        <f>'Annual Election'!H136</f>
        <v/>
      </c>
      <c r="G133" s="37"/>
      <c r="H133" s="46" t="str">
        <f t="shared" si="28"/>
        <v/>
      </c>
      <c r="I133" s="33" t="str">
        <f>IF(H133="","",H133*'Activity Plan'!I133)</f>
        <v/>
      </c>
      <c r="J133" s="46" t="str">
        <f t="shared" si="29"/>
        <v/>
      </c>
      <c r="K133" s="23"/>
      <c r="L133" s="47" t="str">
        <f t="shared" ca="1" si="30"/>
        <v/>
      </c>
      <c r="M133" s="16" t="str">
        <f t="shared" ca="1" si="31"/>
        <v/>
      </c>
      <c r="N133" s="46">
        <f t="shared" ca="1" si="32"/>
        <v>0</v>
      </c>
      <c r="O133" s="16" t="str">
        <f t="shared" ca="1" si="33"/>
        <v/>
      </c>
      <c r="P133" s="16" t="str">
        <f t="shared" ca="1" si="34"/>
        <v/>
      </c>
    </row>
    <row r="134" spans="1:16" x14ac:dyDescent="0.45">
      <c r="A134" s="27">
        <f>'Activity Plan'!A134</f>
        <v>0</v>
      </c>
      <c r="B134" s="27" t="str">
        <f>'Activity Plan'!C134</f>
        <v>T3-034</v>
      </c>
      <c r="C134" s="27" t="str">
        <f>'Activity Plan'!D134</f>
        <v>SpiralLabs Cupping, Grading and Quality Control</v>
      </c>
      <c r="D134" s="27">
        <f>'Activity Plan'!H134</f>
        <v>0</v>
      </c>
      <c r="E134" s="41" t="str">
        <f>'Annual Election'!E137</f>
        <v/>
      </c>
      <c r="F134" s="41" t="str">
        <f>'Annual Election'!H137</f>
        <v/>
      </c>
      <c r="G134" s="37"/>
      <c r="H134" s="46" t="str">
        <f t="shared" si="28"/>
        <v/>
      </c>
      <c r="I134" s="33" t="str">
        <f>IF(H134="","",H134*'Activity Plan'!I134)</f>
        <v/>
      </c>
      <c r="J134" s="46" t="str">
        <f t="shared" si="29"/>
        <v/>
      </c>
      <c r="K134" s="23"/>
      <c r="L134" s="47" t="str">
        <f t="shared" ca="1" si="30"/>
        <v/>
      </c>
      <c r="M134" s="16" t="str">
        <f t="shared" ca="1" si="31"/>
        <v/>
      </c>
      <c r="N134" s="46">
        <f t="shared" ca="1" si="32"/>
        <v>0</v>
      </c>
      <c r="O134" s="16" t="str">
        <f t="shared" ca="1" si="33"/>
        <v/>
      </c>
      <c r="P134" s="16" t="str">
        <f t="shared" ca="1" si="34"/>
        <v/>
      </c>
    </row>
    <row r="135" spans="1:16" x14ac:dyDescent="0.45">
      <c r="A135" s="27">
        <f>'Activity Plan'!A135</f>
        <v>0</v>
      </c>
      <c r="B135" s="27" t="str">
        <f>'Activity Plan'!C135</f>
        <v>T3-035</v>
      </c>
      <c r="C135" s="27" t="str">
        <f>'Activity Plan'!D135</f>
        <v>Buyer Hosting at SpiralLabs</v>
      </c>
      <c r="D135" s="27">
        <f>'Activity Plan'!H135</f>
        <v>0</v>
      </c>
      <c r="E135" s="41">
        <f>'Annual Election'!E138</f>
        <v>0</v>
      </c>
      <c r="F135" s="41">
        <f>'Annual Election'!H138</f>
        <v>0</v>
      </c>
      <c r="G135" s="37"/>
      <c r="H135" s="46" t="str">
        <f t="shared" si="28"/>
        <v/>
      </c>
      <c r="I135" s="33" t="str">
        <f>IF(H135="","",H135*'Activity Plan'!I135)</f>
        <v/>
      </c>
      <c r="J135" s="46" t="str">
        <f t="shared" si="29"/>
        <v/>
      </c>
      <c r="K135" s="23"/>
      <c r="L135" s="47" t="str">
        <f t="shared" ca="1" si="30"/>
        <v/>
      </c>
      <c r="M135" s="16" t="str">
        <f t="shared" ca="1" si="31"/>
        <v/>
      </c>
      <c r="N135" s="46">
        <f t="shared" ca="1" si="32"/>
        <v>0</v>
      </c>
      <c r="O135" s="16" t="str">
        <f t="shared" ca="1" si="33"/>
        <v/>
      </c>
      <c r="P135" s="16" t="str">
        <f t="shared" ca="1" si="34"/>
        <v/>
      </c>
    </row>
    <row r="137" spans="1:16" ht="43.5" customHeight="1" x14ac:dyDescent="0.45">
      <c r="A137" s="5" t="s">
        <v>457</v>
      </c>
      <c r="B137" s="5"/>
      <c r="C137" s="5"/>
      <c r="D137" s="5"/>
      <c r="E137" s="5"/>
      <c r="F137" s="5"/>
      <c r="G137" s="5"/>
      <c r="H137" s="5"/>
      <c r="I137" s="5"/>
      <c r="J137" s="5"/>
      <c r="K137" s="5"/>
      <c r="L137" s="5"/>
      <c r="M137" s="5"/>
      <c r="N137" s="5"/>
      <c r="O137" s="5"/>
      <c r="P137" s="5"/>
    </row>
  </sheetData>
  <mergeCells count="1">
    <mergeCell ref="A137:P13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
  <sheetViews>
    <sheetView zoomScaleNormal="100" workbookViewId="0">
      <pane ySplit="1" topLeftCell="A2" activePane="bottomLeft" state="frozen"/>
      <selection pane="bottomLeft"/>
    </sheetView>
  </sheetViews>
  <sheetFormatPr defaultColWidth="8.6640625" defaultRowHeight="14.25" x14ac:dyDescent="0.45"/>
  <cols>
    <col min="1" max="1" width="12" customWidth="1"/>
    <col min="2" max="2" width="30" customWidth="1"/>
    <col min="3" max="6" width="20" customWidth="1"/>
  </cols>
  <sheetData>
    <row r="1" spans="1:6" ht="30" customHeight="1" x14ac:dyDescent="0.45">
      <c r="A1" s="15" t="s">
        <v>360</v>
      </c>
      <c r="B1" s="15" t="s">
        <v>361</v>
      </c>
      <c r="C1" s="15" t="s">
        <v>458</v>
      </c>
      <c r="D1" s="15" t="s">
        <v>459</v>
      </c>
      <c r="E1" s="15" t="s">
        <v>460</v>
      </c>
      <c r="F1" s="15" t="s">
        <v>461</v>
      </c>
    </row>
    <row r="2" spans="1:6" x14ac:dyDescent="0.45">
      <c r="A2" s="27">
        <f>Master!A$6</f>
        <v>0</v>
      </c>
      <c r="B2" s="27">
        <f>Master!B$6</f>
        <v>0</v>
      </c>
      <c r="C2" s="33">
        <f>SUMIFS('Activity Plan'!$J$2:$J$135,'Activity Plan'!$A$2:$A$135,A2,'Activity Plan'!$E$2:$E$135,"Tier 1 — Core Services")</f>
        <v>0</v>
      </c>
      <c r="D2" s="33">
        <f>SUMIFS('Activity Plan'!$J$2:$J$135,'Activity Plan'!$A$2:$A$135,A2,'Activity Plan'!$E$2:$E$135,"Tier 2 — Projects")</f>
        <v>0</v>
      </c>
      <c r="E2" s="33">
        <f>SUMIFS('Activity Plan'!$J$2:$J$135,'Activity Plan'!$A$2:$A$135,A2,'Activity Plan'!$E$2:$E$135,"Tier 3 — Interventions")</f>
        <v>0</v>
      </c>
      <c r="F2" s="40">
        <f>SUM(C2:E2)</f>
        <v>0</v>
      </c>
    </row>
    <row r="3" spans="1:6" x14ac:dyDescent="0.45">
      <c r="B3" s="48" t="s">
        <v>462</v>
      </c>
      <c r="C3" s="40">
        <f>SUM(C2:C2)</f>
        <v>0</v>
      </c>
      <c r="D3" s="40">
        <f>SUM(D2:D2)</f>
        <v>0</v>
      </c>
      <c r="E3" s="40">
        <f>SUM(E2:E2)</f>
        <v>0</v>
      </c>
      <c r="F3" s="40">
        <f>SUM(F2:F2)</f>
        <v>0</v>
      </c>
    </row>
    <row r="5" spans="1:6" x14ac:dyDescent="0.45">
      <c r="A5" s="49" t="s">
        <v>463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3"/>
  <sheetViews>
    <sheetView zoomScaleNormal="100" workbookViewId="0">
      <pane ySplit="1" topLeftCell="A2" activePane="bottomLeft" state="frozen"/>
      <selection pane="bottomLeft"/>
    </sheetView>
  </sheetViews>
  <sheetFormatPr defaultColWidth="8.6640625" defaultRowHeight="14.25" x14ac:dyDescent="0.45"/>
  <cols>
    <col min="1" max="2" width="10" customWidth="1"/>
    <col min="3" max="3" width="42" customWidth="1"/>
    <col min="4" max="4" width="12" customWidth="1"/>
    <col min="5" max="5" width="16" customWidth="1"/>
    <col min="6" max="6" width="14" customWidth="1"/>
    <col min="7" max="7" width="16" customWidth="1"/>
    <col min="8" max="8" width="12" customWidth="1"/>
    <col min="9" max="9" width="16" customWidth="1"/>
    <col min="10" max="11" width="14" customWidth="1"/>
    <col min="12" max="12" width="12" customWidth="1"/>
    <col min="13" max="13" width="16" customWidth="1"/>
  </cols>
  <sheetData>
    <row r="1" spans="1:13" ht="30" customHeight="1" x14ac:dyDescent="0.45">
      <c r="A1" s="15" t="s">
        <v>360</v>
      </c>
      <c r="B1" s="15" t="s">
        <v>46</v>
      </c>
      <c r="C1" s="15" t="s">
        <v>49</v>
      </c>
      <c r="D1" s="15" t="s">
        <v>393</v>
      </c>
      <c r="E1" s="15" t="s">
        <v>464</v>
      </c>
      <c r="F1" s="15" t="s">
        <v>465</v>
      </c>
      <c r="G1" s="15" t="s">
        <v>466</v>
      </c>
      <c r="H1" s="15" t="s">
        <v>467</v>
      </c>
      <c r="I1" s="15" t="s">
        <v>468</v>
      </c>
      <c r="J1" s="15" t="s">
        <v>440</v>
      </c>
      <c r="K1" s="15" t="s">
        <v>441</v>
      </c>
      <c r="L1" s="15" t="s">
        <v>469</v>
      </c>
      <c r="M1" s="15" t="s">
        <v>470</v>
      </c>
    </row>
    <row r="2" spans="1:13" x14ac:dyDescent="0.45">
      <c r="A2" s="27">
        <f>Master!A$6</f>
        <v>0</v>
      </c>
      <c r="B2" s="22"/>
      <c r="C2" s="27" t="str">
        <f>IFERROR(INDEX('Activity List'!$D$2:$D$135,MATCH(B2,'Activity List'!$A$2:$A$135,0)),"")</f>
        <v/>
      </c>
      <c r="D2" s="22"/>
      <c r="E2" s="22"/>
      <c r="F2" s="34">
        <f>IFERROR(INDEX('Material Rate Card'!$D$2:$D$11,MATCH(D2,'Material Rate Card'!$A$2:$A$11,0)),0)</f>
        <v>0</v>
      </c>
      <c r="G2" s="27">
        <f>IFERROR(SUMIFS('Activity Plan'!$H$2:$H$135,'Activity Plan'!$A$2:$A$135,A2,'Activity Plan'!$C$2:$C$135,B2),0)</f>
        <v>0</v>
      </c>
      <c r="H2" s="46">
        <f t="shared" ref="H2:H11" si="0">G2*E2</f>
        <v>0</v>
      </c>
      <c r="I2" s="33">
        <f t="shared" ref="I2:I11" si="1">H2*F2</f>
        <v>0</v>
      </c>
      <c r="J2" s="41" t="str">
        <f>IFERROR(INDEX('Annual Election'!$E$2:$E$138,MATCH(B2,'Annual Election'!$B$2:$B$138,0)),"")</f>
        <v/>
      </c>
      <c r="K2" s="41" t="str">
        <f>IFERROR(INDEX('Annual Election'!$H$2:$H$138,MATCH(B2,'Annual Election'!$B$2:$B$138,0)),"")</f>
        <v/>
      </c>
      <c r="L2" s="45" t="str">
        <f t="shared" ref="L2:L11" si="2">IF(OR(J2="",K2=""),"",DATEDIF(J2,K2,"m")+1)</f>
        <v/>
      </c>
      <c r="M2" s="33">
        <f t="shared" ref="M2:M11" si="3">IF(OR(I2="",L2="",L2=0),0,I2/L2)</f>
        <v>0</v>
      </c>
    </row>
    <row r="3" spans="1:13" x14ac:dyDescent="0.45">
      <c r="A3" s="27">
        <f>Master!A$6</f>
        <v>0</v>
      </c>
      <c r="B3" s="22"/>
      <c r="C3" s="27" t="str">
        <f>IFERROR(INDEX('Activity List'!$D$2:$D$135,MATCH(B3,'Activity List'!$A$2:$A$135,0)),"")</f>
        <v/>
      </c>
      <c r="D3" s="22"/>
      <c r="E3" s="22"/>
      <c r="F3" s="34">
        <f>IFERROR(INDEX('Material Rate Card'!$D$2:$D$11,MATCH(D3,'Material Rate Card'!$A$2:$A$11,0)),0)</f>
        <v>0</v>
      </c>
      <c r="G3" s="27">
        <f>IFERROR(SUMIFS('Activity Plan'!$H$2:$H$135,'Activity Plan'!$A$2:$A$135,A3,'Activity Plan'!$C$2:$C$135,B3),0)</f>
        <v>0</v>
      </c>
      <c r="H3" s="46">
        <f t="shared" si="0"/>
        <v>0</v>
      </c>
      <c r="I3" s="33">
        <f t="shared" si="1"/>
        <v>0</v>
      </c>
      <c r="J3" s="41" t="str">
        <f>IFERROR(INDEX('Annual Election'!$E$2:$E$138,MATCH(B3,'Annual Election'!$B$2:$B$138,0)),"")</f>
        <v/>
      </c>
      <c r="K3" s="41" t="str">
        <f>IFERROR(INDEX('Annual Election'!$H$2:$H$138,MATCH(B3,'Annual Election'!$B$2:$B$138,0)),"")</f>
        <v/>
      </c>
      <c r="L3" s="45" t="str">
        <f t="shared" si="2"/>
        <v/>
      </c>
      <c r="M3" s="33">
        <f t="shared" si="3"/>
        <v>0</v>
      </c>
    </row>
    <row r="4" spans="1:13" x14ac:dyDescent="0.45">
      <c r="A4" s="27">
        <f>Master!A$6</f>
        <v>0</v>
      </c>
      <c r="B4" s="22"/>
      <c r="C4" s="27" t="str">
        <f>IFERROR(INDEX('Activity List'!$D$2:$D$135,MATCH(B4,'Activity List'!$A$2:$A$135,0)),"")</f>
        <v/>
      </c>
      <c r="D4" s="22"/>
      <c r="E4" s="22"/>
      <c r="F4" s="34">
        <f>IFERROR(INDEX('Material Rate Card'!$D$2:$D$11,MATCH(D4,'Material Rate Card'!$A$2:$A$11,0)),0)</f>
        <v>0</v>
      </c>
      <c r="G4" s="27">
        <f>IFERROR(SUMIFS('Activity Plan'!$H$2:$H$135,'Activity Plan'!$A$2:$A$135,A4,'Activity Plan'!$C$2:$C$135,B4),0)</f>
        <v>0</v>
      </c>
      <c r="H4" s="46">
        <f t="shared" si="0"/>
        <v>0</v>
      </c>
      <c r="I4" s="33">
        <f t="shared" si="1"/>
        <v>0</v>
      </c>
      <c r="J4" s="41" t="str">
        <f>IFERROR(INDEX('Annual Election'!$E$2:$E$138,MATCH(B4,'Annual Election'!$B$2:$B$138,0)),"")</f>
        <v/>
      </c>
      <c r="K4" s="41" t="str">
        <f>IFERROR(INDEX('Annual Election'!$H$2:$H$138,MATCH(B4,'Annual Election'!$B$2:$B$138,0)),"")</f>
        <v/>
      </c>
      <c r="L4" s="45" t="str">
        <f t="shared" si="2"/>
        <v/>
      </c>
      <c r="M4" s="33">
        <f t="shared" si="3"/>
        <v>0</v>
      </c>
    </row>
    <row r="5" spans="1:13" x14ac:dyDescent="0.45">
      <c r="A5" s="27">
        <f>Master!A$6</f>
        <v>0</v>
      </c>
      <c r="B5" s="22"/>
      <c r="C5" s="27" t="str">
        <f>IFERROR(INDEX('Activity List'!$D$2:$D$135,MATCH(B5,'Activity List'!$A$2:$A$135,0)),"")</f>
        <v/>
      </c>
      <c r="D5" s="22"/>
      <c r="E5" s="22"/>
      <c r="F5" s="34">
        <f>IFERROR(INDEX('Material Rate Card'!$D$2:$D$11,MATCH(D5,'Material Rate Card'!$A$2:$A$11,0)),0)</f>
        <v>0</v>
      </c>
      <c r="G5" s="27">
        <f>IFERROR(SUMIFS('Activity Plan'!$H$2:$H$135,'Activity Plan'!$A$2:$A$135,A5,'Activity Plan'!$C$2:$C$135,B5),0)</f>
        <v>0</v>
      </c>
      <c r="H5" s="46">
        <f t="shared" si="0"/>
        <v>0</v>
      </c>
      <c r="I5" s="33">
        <f t="shared" si="1"/>
        <v>0</v>
      </c>
      <c r="J5" s="41" t="str">
        <f>IFERROR(INDEX('Annual Election'!$E$2:$E$138,MATCH(B5,'Annual Election'!$B$2:$B$138,0)),"")</f>
        <v/>
      </c>
      <c r="K5" s="41" t="str">
        <f>IFERROR(INDEX('Annual Election'!$H$2:$H$138,MATCH(B5,'Annual Election'!$B$2:$B$138,0)),"")</f>
        <v/>
      </c>
      <c r="L5" s="45" t="str">
        <f t="shared" si="2"/>
        <v/>
      </c>
      <c r="M5" s="33">
        <f t="shared" si="3"/>
        <v>0</v>
      </c>
    </row>
    <row r="6" spans="1:13" x14ac:dyDescent="0.45">
      <c r="A6" s="27">
        <f>Master!A$6</f>
        <v>0</v>
      </c>
      <c r="B6" s="22"/>
      <c r="C6" s="27" t="str">
        <f>IFERROR(INDEX('Activity List'!$D$2:$D$135,MATCH(B6,'Activity List'!$A$2:$A$135,0)),"")</f>
        <v/>
      </c>
      <c r="D6" s="22"/>
      <c r="E6" s="22"/>
      <c r="F6" s="34">
        <f>IFERROR(INDEX('Material Rate Card'!$D$2:$D$11,MATCH(D6,'Material Rate Card'!$A$2:$A$11,0)),0)</f>
        <v>0</v>
      </c>
      <c r="G6" s="27">
        <f>IFERROR(SUMIFS('Activity Plan'!$H$2:$H$135,'Activity Plan'!$A$2:$A$135,A6,'Activity Plan'!$C$2:$C$135,B6),0)</f>
        <v>0</v>
      </c>
      <c r="H6" s="46">
        <f t="shared" si="0"/>
        <v>0</v>
      </c>
      <c r="I6" s="33">
        <f t="shared" si="1"/>
        <v>0</v>
      </c>
      <c r="J6" s="41" t="str">
        <f>IFERROR(INDEX('Annual Election'!$E$2:$E$138,MATCH(B6,'Annual Election'!$B$2:$B$138,0)),"")</f>
        <v/>
      </c>
      <c r="K6" s="41" t="str">
        <f>IFERROR(INDEX('Annual Election'!$H$2:$H$138,MATCH(B6,'Annual Election'!$B$2:$B$138,0)),"")</f>
        <v/>
      </c>
      <c r="L6" s="45" t="str">
        <f t="shared" si="2"/>
        <v/>
      </c>
      <c r="M6" s="33">
        <f t="shared" si="3"/>
        <v>0</v>
      </c>
    </row>
    <row r="7" spans="1:13" x14ac:dyDescent="0.45">
      <c r="A7" s="27">
        <f>Master!A$6</f>
        <v>0</v>
      </c>
      <c r="B7" s="22"/>
      <c r="C7" s="27" t="str">
        <f>IFERROR(INDEX('Activity List'!$D$2:$D$135,MATCH(B7,'Activity List'!$A$2:$A$135,0)),"")</f>
        <v/>
      </c>
      <c r="D7" s="22"/>
      <c r="E7" s="22"/>
      <c r="F7" s="34">
        <f>IFERROR(INDEX('Material Rate Card'!$D$2:$D$11,MATCH(D7,'Material Rate Card'!$A$2:$A$11,0)),0)</f>
        <v>0</v>
      </c>
      <c r="G7" s="27">
        <f>IFERROR(SUMIFS('Activity Plan'!$H$2:$H$135,'Activity Plan'!$A$2:$A$135,A7,'Activity Plan'!$C$2:$C$135,B7),0)</f>
        <v>0</v>
      </c>
      <c r="H7" s="46">
        <f t="shared" si="0"/>
        <v>0</v>
      </c>
      <c r="I7" s="33">
        <f t="shared" si="1"/>
        <v>0</v>
      </c>
      <c r="J7" s="41" t="str">
        <f>IFERROR(INDEX('Annual Election'!$E$2:$E$138,MATCH(B7,'Annual Election'!$B$2:$B$138,0)),"")</f>
        <v/>
      </c>
      <c r="K7" s="41" t="str">
        <f>IFERROR(INDEX('Annual Election'!$H$2:$H$138,MATCH(B7,'Annual Election'!$B$2:$B$138,0)),"")</f>
        <v/>
      </c>
      <c r="L7" s="45" t="str">
        <f t="shared" si="2"/>
        <v/>
      </c>
      <c r="M7" s="33">
        <f t="shared" si="3"/>
        <v>0</v>
      </c>
    </row>
    <row r="8" spans="1:13" x14ac:dyDescent="0.45">
      <c r="A8" s="27">
        <f>Master!A$6</f>
        <v>0</v>
      </c>
      <c r="B8" s="22"/>
      <c r="C8" s="27" t="str">
        <f>IFERROR(INDEX('Activity List'!$D$2:$D$135,MATCH(B8,'Activity List'!$A$2:$A$135,0)),"")</f>
        <v/>
      </c>
      <c r="D8" s="22"/>
      <c r="E8" s="22"/>
      <c r="F8" s="34">
        <f>IFERROR(INDEX('Material Rate Card'!$D$2:$D$11,MATCH(D8,'Material Rate Card'!$A$2:$A$11,0)),0)</f>
        <v>0</v>
      </c>
      <c r="G8" s="27">
        <f>IFERROR(SUMIFS('Activity Plan'!$H$2:$H$135,'Activity Plan'!$A$2:$A$135,A8,'Activity Plan'!$C$2:$C$135,B8),0)</f>
        <v>0</v>
      </c>
      <c r="H8" s="46">
        <f t="shared" si="0"/>
        <v>0</v>
      </c>
      <c r="I8" s="33">
        <f t="shared" si="1"/>
        <v>0</v>
      </c>
      <c r="J8" s="41" t="str">
        <f>IFERROR(INDEX('Annual Election'!$E$2:$E$138,MATCH(B8,'Annual Election'!$B$2:$B$138,0)),"")</f>
        <v/>
      </c>
      <c r="K8" s="41" t="str">
        <f>IFERROR(INDEX('Annual Election'!$H$2:$H$138,MATCH(B8,'Annual Election'!$B$2:$B$138,0)),"")</f>
        <v/>
      </c>
      <c r="L8" s="45" t="str">
        <f t="shared" si="2"/>
        <v/>
      </c>
      <c r="M8" s="33">
        <f t="shared" si="3"/>
        <v>0</v>
      </c>
    </row>
    <row r="9" spans="1:13" x14ac:dyDescent="0.45">
      <c r="A9" s="27">
        <f>Master!A$6</f>
        <v>0</v>
      </c>
      <c r="B9" s="22"/>
      <c r="C9" s="27" t="str">
        <f>IFERROR(INDEX('Activity List'!$D$2:$D$135,MATCH(B9,'Activity List'!$A$2:$A$135,0)),"")</f>
        <v/>
      </c>
      <c r="D9" s="22"/>
      <c r="E9" s="22"/>
      <c r="F9" s="34">
        <f>IFERROR(INDEX('Material Rate Card'!$D$2:$D$11,MATCH(D9,'Material Rate Card'!$A$2:$A$11,0)),0)</f>
        <v>0</v>
      </c>
      <c r="G9" s="27">
        <f>IFERROR(SUMIFS('Activity Plan'!$H$2:$H$135,'Activity Plan'!$A$2:$A$135,A9,'Activity Plan'!$C$2:$C$135,B9),0)</f>
        <v>0</v>
      </c>
      <c r="H9" s="46">
        <f t="shared" si="0"/>
        <v>0</v>
      </c>
      <c r="I9" s="33">
        <f t="shared" si="1"/>
        <v>0</v>
      </c>
      <c r="J9" s="41" t="str">
        <f>IFERROR(INDEX('Annual Election'!$E$2:$E$138,MATCH(B9,'Annual Election'!$B$2:$B$138,0)),"")</f>
        <v/>
      </c>
      <c r="K9" s="41" t="str">
        <f>IFERROR(INDEX('Annual Election'!$H$2:$H$138,MATCH(B9,'Annual Election'!$B$2:$B$138,0)),"")</f>
        <v/>
      </c>
      <c r="L9" s="45" t="str">
        <f t="shared" si="2"/>
        <v/>
      </c>
      <c r="M9" s="33">
        <f t="shared" si="3"/>
        <v>0</v>
      </c>
    </row>
    <row r="10" spans="1:13" x14ac:dyDescent="0.45">
      <c r="A10" s="27">
        <f>Master!A$6</f>
        <v>0</v>
      </c>
      <c r="B10" s="22"/>
      <c r="C10" s="27" t="str">
        <f>IFERROR(INDEX('Activity List'!$D$2:$D$135,MATCH(B10,'Activity List'!$A$2:$A$135,0)),"")</f>
        <v/>
      </c>
      <c r="D10" s="22"/>
      <c r="E10" s="22"/>
      <c r="F10" s="34">
        <f>IFERROR(INDEX('Material Rate Card'!$D$2:$D$11,MATCH(D10,'Material Rate Card'!$A$2:$A$11,0)),0)</f>
        <v>0</v>
      </c>
      <c r="G10" s="27">
        <f>IFERROR(SUMIFS('Activity Plan'!$H$2:$H$135,'Activity Plan'!$A$2:$A$135,A10,'Activity Plan'!$C$2:$C$135,B10),0)</f>
        <v>0</v>
      </c>
      <c r="H10" s="46">
        <f t="shared" si="0"/>
        <v>0</v>
      </c>
      <c r="I10" s="33">
        <f t="shared" si="1"/>
        <v>0</v>
      </c>
      <c r="J10" s="41" t="str">
        <f>IFERROR(INDEX('Annual Election'!$E$2:$E$138,MATCH(B10,'Annual Election'!$B$2:$B$138,0)),"")</f>
        <v/>
      </c>
      <c r="K10" s="41" t="str">
        <f>IFERROR(INDEX('Annual Election'!$H$2:$H$138,MATCH(B10,'Annual Election'!$B$2:$B$138,0)),"")</f>
        <v/>
      </c>
      <c r="L10" s="45" t="str">
        <f t="shared" si="2"/>
        <v/>
      </c>
      <c r="M10" s="33">
        <f t="shared" si="3"/>
        <v>0</v>
      </c>
    </row>
    <row r="11" spans="1:13" x14ac:dyDescent="0.45">
      <c r="A11" s="27">
        <f>Master!A$6</f>
        <v>0</v>
      </c>
      <c r="B11" s="22"/>
      <c r="C11" s="27" t="str">
        <f>IFERROR(INDEX('Activity List'!$D$2:$D$135,MATCH(B11,'Activity List'!$A$2:$A$135,0)),"")</f>
        <v/>
      </c>
      <c r="D11" s="22"/>
      <c r="E11" s="22"/>
      <c r="F11" s="34">
        <f>IFERROR(INDEX('Material Rate Card'!$D$2:$D$11,MATCH(D11,'Material Rate Card'!$A$2:$A$11,0)),0)</f>
        <v>0</v>
      </c>
      <c r="G11" s="27">
        <f>IFERROR(SUMIFS('Activity Plan'!$H$2:$H$135,'Activity Plan'!$A$2:$A$135,A11,'Activity Plan'!$C$2:$C$135,B11),0)</f>
        <v>0</v>
      </c>
      <c r="H11" s="46">
        <f t="shared" si="0"/>
        <v>0</v>
      </c>
      <c r="I11" s="33">
        <f t="shared" si="1"/>
        <v>0</v>
      </c>
      <c r="J11" s="41" t="str">
        <f>IFERROR(INDEX('Annual Election'!$E$2:$E$138,MATCH(B11,'Annual Election'!$B$2:$B$138,0)),"")</f>
        <v/>
      </c>
      <c r="K11" s="41" t="str">
        <f>IFERROR(INDEX('Annual Election'!$H$2:$H$138,MATCH(B11,'Annual Election'!$B$2:$B$138,0)),"")</f>
        <v/>
      </c>
      <c r="L11" s="45" t="str">
        <f t="shared" si="2"/>
        <v/>
      </c>
      <c r="M11" s="33">
        <f t="shared" si="3"/>
        <v>0</v>
      </c>
    </row>
    <row r="13" spans="1:13" x14ac:dyDescent="0.45">
      <c r="A13" s="49" t="s">
        <v>471</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3"/>
  <sheetViews>
    <sheetView zoomScaleNormal="100" workbookViewId="0">
      <pane ySplit="1" topLeftCell="A2" activePane="bottomLeft" state="frozen"/>
      <selection pane="bottomLeft"/>
    </sheetView>
  </sheetViews>
  <sheetFormatPr defaultColWidth="8.6640625" defaultRowHeight="14.25" x14ac:dyDescent="0.45"/>
  <cols>
    <col min="1" max="2" width="10" customWidth="1"/>
    <col min="3" max="3" width="42" customWidth="1"/>
    <col min="4" max="4" width="12" customWidth="1"/>
    <col min="5" max="5" width="16" customWidth="1"/>
    <col min="6" max="6" width="14" customWidth="1"/>
    <col min="7" max="7" width="16" customWidth="1"/>
    <col min="8" max="8" width="12" customWidth="1"/>
    <col min="9" max="9" width="16" customWidth="1"/>
    <col min="10" max="11" width="14" customWidth="1"/>
    <col min="12" max="12" width="12" customWidth="1"/>
    <col min="13" max="13" width="16" customWidth="1"/>
  </cols>
  <sheetData>
    <row r="1" spans="1:13" ht="30" customHeight="1" x14ac:dyDescent="0.45">
      <c r="A1" s="15" t="s">
        <v>360</v>
      </c>
      <c r="B1" s="15" t="s">
        <v>46</v>
      </c>
      <c r="C1" s="15" t="s">
        <v>49</v>
      </c>
      <c r="D1" s="15" t="s">
        <v>397</v>
      </c>
      <c r="E1" s="15" t="s">
        <v>472</v>
      </c>
      <c r="F1" s="15" t="s">
        <v>473</v>
      </c>
      <c r="G1" s="15" t="s">
        <v>466</v>
      </c>
      <c r="H1" s="15" t="s">
        <v>474</v>
      </c>
      <c r="I1" s="15" t="s">
        <v>475</v>
      </c>
      <c r="J1" s="15" t="s">
        <v>440</v>
      </c>
      <c r="K1" s="15" t="s">
        <v>441</v>
      </c>
      <c r="L1" s="15" t="s">
        <v>469</v>
      </c>
      <c r="M1" s="15" t="s">
        <v>470</v>
      </c>
    </row>
    <row r="2" spans="1:13" x14ac:dyDescent="0.45">
      <c r="A2" s="27">
        <f>Master!A$6</f>
        <v>0</v>
      </c>
      <c r="B2" s="22"/>
      <c r="C2" s="27" t="str">
        <f>IFERROR(INDEX('Activity List'!$D$2:$D$135,MATCH(B2,'Activity List'!$A$2:$A$135,0)),"")</f>
        <v/>
      </c>
      <c r="D2" s="22"/>
      <c r="E2" s="22"/>
      <c r="F2" s="34">
        <f>IFERROR(INDEX('Outsourced Services Rate Card'!$D$2:$D$11,MATCH(D2,'Outsourced Services Rate Card'!$A$2:$A$11,0)),0)</f>
        <v>0</v>
      </c>
      <c r="G2" s="27">
        <f>IFERROR(SUMIFS('Activity Plan'!$H$2:$H$135,'Activity Plan'!$A$2:$A$135,A2,'Activity Plan'!$C$2:$C$135,B2),0)</f>
        <v>0</v>
      </c>
      <c r="H2" s="46">
        <f t="shared" ref="H2:H11" si="0">G2*E2</f>
        <v>0</v>
      </c>
      <c r="I2" s="33">
        <f t="shared" ref="I2:I11" si="1">H2*F2</f>
        <v>0</v>
      </c>
      <c r="J2" s="41" t="str">
        <f>IFERROR(INDEX('Annual Election'!$E$2:$E$138,MATCH(B2,'Annual Election'!$B$2:$B$138,0)),"")</f>
        <v/>
      </c>
      <c r="K2" s="41" t="str">
        <f>IFERROR(INDEX('Annual Election'!$H$2:$H$138,MATCH(B2,'Annual Election'!$B$2:$B$138,0)),"")</f>
        <v/>
      </c>
      <c r="L2" s="45" t="str">
        <f t="shared" ref="L2:L11" si="2">IF(OR(J2="",K2=""),"",DATEDIF(J2,K2,"m")+1)</f>
        <v/>
      </c>
      <c r="M2" s="33">
        <f t="shared" ref="M2:M11" si="3">IF(OR(I2="",L2="",L2=0),0,I2/L2)</f>
        <v>0</v>
      </c>
    </row>
    <row r="3" spans="1:13" x14ac:dyDescent="0.45">
      <c r="A3" s="27">
        <f>Master!A$6</f>
        <v>0</v>
      </c>
      <c r="B3" s="22"/>
      <c r="C3" s="27" t="str">
        <f>IFERROR(INDEX('Activity List'!$D$2:$D$135,MATCH(B3,'Activity List'!$A$2:$A$135,0)),"")</f>
        <v/>
      </c>
      <c r="D3" s="22"/>
      <c r="E3" s="22"/>
      <c r="F3" s="34">
        <f>IFERROR(INDEX('Outsourced Services Rate Card'!$D$2:$D$11,MATCH(D3,'Outsourced Services Rate Card'!$A$2:$A$11,0)),0)</f>
        <v>0</v>
      </c>
      <c r="G3" s="27">
        <f>IFERROR(SUMIFS('Activity Plan'!$H$2:$H$135,'Activity Plan'!$A$2:$A$135,A3,'Activity Plan'!$C$2:$C$135,B3),0)</f>
        <v>0</v>
      </c>
      <c r="H3" s="46">
        <f t="shared" si="0"/>
        <v>0</v>
      </c>
      <c r="I3" s="33">
        <f t="shared" si="1"/>
        <v>0</v>
      </c>
      <c r="J3" s="41" t="str">
        <f>IFERROR(INDEX('Annual Election'!$E$2:$E$138,MATCH(B3,'Annual Election'!$B$2:$B$138,0)),"")</f>
        <v/>
      </c>
      <c r="K3" s="41" t="str">
        <f>IFERROR(INDEX('Annual Election'!$H$2:$H$138,MATCH(B3,'Annual Election'!$B$2:$B$138,0)),"")</f>
        <v/>
      </c>
      <c r="L3" s="45" t="str">
        <f t="shared" si="2"/>
        <v/>
      </c>
      <c r="M3" s="33">
        <f t="shared" si="3"/>
        <v>0</v>
      </c>
    </row>
    <row r="4" spans="1:13" x14ac:dyDescent="0.45">
      <c r="A4" s="27">
        <f>Master!A$6</f>
        <v>0</v>
      </c>
      <c r="B4" s="22"/>
      <c r="C4" s="27" t="str">
        <f>IFERROR(INDEX('Activity List'!$D$2:$D$135,MATCH(B4,'Activity List'!$A$2:$A$135,0)),"")</f>
        <v/>
      </c>
      <c r="D4" s="22"/>
      <c r="E4" s="22"/>
      <c r="F4" s="34">
        <f>IFERROR(INDEX('Outsourced Services Rate Card'!$D$2:$D$11,MATCH(D4,'Outsourced Services Rate Card'!$A$2:$A$11,0)),0)</f>
        <v>0</v>
      </c>
      <c r="G4" s="27">
        <f>IFERROR(SUMIFS('Activity Plan'!$H$2:$H$135,'Activity Plan'!$A$2:$A$135,A4,'Activity Plan'!$C$2:$C$135,B4),0)</f>
        <v>0</v>
      </c>
      <c r="H4" s="46">
        <f t="shared" si="0"/>
        <v>0</v>
      </c>
      <c r="I4" s="33">
        <f t="shared" si="1"/>
        <v>0</v>
      </c>
      <c r="J4" s="41" t="str">
        <f>IFERROR(INDEX('Annual Election'!$E$2:$E$138,MATCH(B4,'Annual Election'!$B$2:$B$138,0)),"")</f>
        <v/>
      </c>
      <c r="K4" s="41" t="str">
        <f>IFERROR(INDEX('Annual Election'!$H$2:$H$138,MATCH(B4,'Annual Election'!$B$2:$B$138,0)),"")</f>
        <v/>
      </c>
      <c r="L4" s="45" t="str">
        <f t="shared" si="2"/>
        <v/>
      </c>
      <c r="M4" s="33">
        <f t="shared" si="3"/>
        <v>0</v>
      </c>
    </row>
    <row r="5" spans="1:13" x14ac:dyDescent="0.45">
      <c r="A5" s="27">
        <f>Master!A$6</f>
        <v>0</v>
      </c>
      <c r="B5" s="22"/>
      <c r="C5" s="27" t="str">
        <f>IFERROR(INDEX('Activity List'!$D$2:$D$135,MATCH(B5,'Activity List'!$A$2:$A$135,0)),"")</f>
        <v/>
      </c>
      <c r="D5" s="22"/>
      <c r="E5" s="22"/>
      <c r="F5" s="34">
        <f>IFERROR(INDEX('Outsourced Services Rate Card'!$D$2:$D$11,MATCH(D5,'Outsourced Services Rate Card'!$A$2:$A$11,0)),0)</f>
        <v>0</v>
      </c>
      <c r="G5" s="27">
        <f>IFERROR(SUMIFS('Activity Plan'!$H$2:$H$135,'Activity Plan'!$A$2:$A$135,A5,'Activity Plan'!$C$2:$C$135,B5),0)</f>
        <v>0</v>
      </c>
      <c r="H5" s="46">
        <f t="shared" si="0"/>
        <v>0</v>
      </c>
      <c r="I5" s="33">
        <f t="shared" si="1"/>
        <v>0</v>
      </c>
      <c r="J5" s="41" t="str">
        <f>IFERROR(INDEX('Annual Election'!$E$2:$E$138,MATCH(B5,'Annual Election'!$B$2:$B$138,0)),"")</f>
        <v/>
      </c>
      <c r="K5" s="41" t="str">
        <f>IFERROR(INDEX('Annual Election'!$H$2:$H$138,MATCH(B5,'Annual Election'!$B$2:$B$138,0)),"")</f>
        <v/>
      </c>
      <c r="L5" s="45" t="str">
        <f t="shared" si="2"/>
        <v/>
      </c>
      <c r="M5" s="33">
        <f t="shared" si="3"/>
        <v>0</v>
      </c>
    </row>
    <row r="6" spans="1:13" x14ac:dyDescent="0.45">
      <c r="A6" s="27">
        <f>Master!A$6</f>
        <v>0</v>
      </c>
      <c r="B6" s="22"/>
      <c r="C6" s="27" t="str">
        <f>IFERROR(INDEX('Activity List'!$D$2:$D$135,MATCH(B6,'Activity List'!$A$2:$A$135,0)),"")</f>
        <v/>
      </c>
      <c r="D6" s="22"/>
      <c r="E6" s="22"/>
      <c r="F6" s="34">
        <f>IFERROR(INDEX('Outsourced Services Rate Card'!$D$2:$D$11,MATCH(D6,'Outsourced Services Rate Card'!$A$2:$A$11,0)),0)</f>
        <v>0</v>
      </c>
      <c r="G6" s="27">
        <f>IFERROR(SUMIFS('Activity Plan'!$H$2:$H$135,'Activity Plan'!$A$2:$A$135,A6,'Activity Plan'!$C$2:$C$135,B6),0)</f>
        <v>0</v>
      </c>
      <c r="H6" s="46">
        <f t="shared" si="0"/>
        <v>0</v>
      </c>
      <c r="I6" s="33">
        <f t="shared" si="1"/>
        <v>0</v>
      </c>
      <c r="J6" s="41" t="str">
        <f>IFERROR(INDEX('Annual Election'!$E$2:$E$138,MATCH(B6,'Annual Election'!$B$2:$B$138,0)),"")</f>
        <v/>
      </c>
      <c r="K6" s="41" t="str">
        <f>IFERROR(INDEX('Annual Election'!$H$2:$H$138,MATCH(B6,'Annual Election'!$B$2:$B$138,0)),"")</f>
        <v/>
      </c>
      <c r="L6" s="45" t="str">
        <f t="shared" si="2"/>
        <v/>
      </c>
      <c r="M6" s="33">
        <f t="shared" si="3"/>
        <v>0</v>
      </c>
    </row>
    <row r="7" spans="1:13" x14ac:dyDescent="0.45">
      <c r="A7" s="27">
        <f>Master!A$6</f>
        <v>0</v>
      </c>
      <c r="B7" s="22"/>
      <c r="C7" s="27" t="str">
        <f>IFERROR(INDEX('Activity List'!$D$2:$D$135,MATCH(B7,'Activity List'!$A$2:$A$135,0)),"")</f>
        <v/>
      </c>
      <c r="D7" s="22"/>
      <c r="E7" s="22"/>
      <c r="F7" s="34">
        <f>IFERROR(INDEX('Outsourced Services Rate Card'!$D$2:$D$11,MATCH(D7,'Outsourced Services Rate Card'!$A$2:$A$11,0)),0)</f>
        <v>0</v>
      </c>
      <c r="G7" s="27">
        <f>IFERROR(SUMIFS('Activity Plan'!$H$2:$H$135,'Activity Plan'!$A$2:$A$135,A7,'Activity Plan'!$C$2:$C$135,B7),0)</f>
        <v>0</v>
      </c>
      <c r="H7" s="46">
        <f t="shared" si="0"/>
        <v>0</v>
      </c>
      <c r="I7" s="33">
        <f t="shared" si="1"/>
        <v>0</v>
      </c>
      <c r="J7" s="41" t="str">
        <f>IFERROR(INDEX('Annual Election'!$E$2:$E$138,MATCH(B7,'Annual Election'!$B$2:$B$138,0)),"")</f>
        <v/>
      </c>
      <c r="K7" s="41" t="str">
        <f>IFERROR(INDEX('Annual Election'!$H$2:$H$138,MATCH(B7,'Annual Election'!$B$2:$B$138,0)),"")</f>
        <v/>
      </c>
      <c r="L7" s="45" t="str">
        <f t="shared" si="2"/>
        <v/>
      </c>
      <c r="M7" s="33">
        <f t="shared" si="3"/>
        <v>0</v>
      </c>
    </row>
    <row r="8" spans="1:13" x14ac:dyDescent="0.45">
      <c r="A8" s="27">
        <f>Master!A$6</f>
        <v>0</v>
      </c>
      <c r="B8" s="22"/>
      <c r="C8" s="27" t="str">
        <f>IFERROR(INDEX('Activity List'!$D$2:$D$135,MATCH(B8,'Activity List'!$A$2:$A$135,0)),"")</f>
        <v/>
      </c>
      <c r="D8" s="22"/>
      <c r="E8" s="22"/>
      <c r="F8" s="34">
        <f>IFERROR(INDEX('Outsourced Services Rate Card'!$D$2:$D$11,MATCH(D8,'Outsourced Services Rate Card'!$A$2:$A$11,0)),0)</f>
        <v>0</v>
      </c>
      <c r="G8" s="27">
        <f>IFERROR(SUMIFS('Activity Plan'!$H$2:$H$135,'Activity Plan'!$A$2:$A$135,A8,'Activity Plan'!$C$2:$C$135,B8),0)</f>
        <v>0</v>
      </c>
      <c r="H8" s="46">
        <f t="shared" si="0"/>
        <v>0</v>
      </c>
      <c r="I8" s="33">
        <f t="shared" si="1"/>
        <v>0</v>
      </c>
      <c r="J8" s="41" t="str">
        <f>IFERROR(INDEX('Annual Election'!$E$2:$E$138,MATCH(B8,'Annual Election'!$B$2:$B$138,0)),"")</f>
        <v/>
      </c>
      <c r="K8" s="41" t="str">
        <f>IFERROR(INDEX('Annual Election'!$H$2:$H$138,MATCH(B8,'Annual Election'!$B$2:$B$138,0)),"")</f>
        <v/>
      </c>
      <c r="L8" s="45" t="str">
        <f t="shared" si="2"/>
        <v/>
      </c>
      <c r="M8" s="33">
        <f t="shared" si="3"/>
        <v>0</v>
      </c>
    </row>
    <row r="9" spans="1:13" x14ac:dyDescent="0.45">
      <c r="A9" s="27">
        <f>Master!A$6</f>
        <v>0</v>
      </c>
      <c r="B9" s="22"/>
      <c r="C9" s="27" t="str">
        <f>IFERROR(INDEX('Activity List'!$D$2:$D$135,MATCH(B9,'Activity List'!$A$2:$A$135,0)),"")</f>
        <v/>
      </c>
      <c r="D9" s="22"/>
      <c r="E9" s="22"/>
      <c r="F9" s="34">
        <f>IFERROR(INDEX('Outsourced Services Rate Card'!$D$2:$D$11,MATCH(D9,'Outsourced Services Rate Card'!$A$2:$A$11,0)),0)</f>
        <v>0</v>
      </c>
      <c r="G9" s="27">
        <f>IFERROR(SUMIFS('Activity Plan'!$H$2:$H$135,'Activity Plan'!$A$2:$A$135,A9,'Activity Plan'!$C$2:$C$135,B9),0)</f>
        <v>0</v>
      </c>
      <c r="H9" s="46">
        <f t="shared" si="0"/>
        <v>0</v>
      </c>
      <c r="I9" s="33">
        <f t="shared" si="1"/>
        <v>0</v>
      </c>
      <c r="J9" s="41" t="str">
        <f>IFERROR(INDEX('Annual Election'!$E$2:$E$138,MATCH(B9,'Annual Election'!$B$2:$B$138,0)),"")</f>
        <v/>
      </c>
      <c r="K9" s="41" t="str">
        <f>IFERROR(INDEX('Annual Election'!$H$2:$H$138,MATCH(B9,'Annual Election'!$B$2:$B$138,0)),"")</f>
        <v/>
      </c>
      <c r="L9" s="45" t="str">
        <f t="shared" si="2"/>
        <v/>
      </c>
      <c r="M9" s="33">
        <f t="shared" si="3"/>
        <v>0</v>
      </c>
    </row>
    <row r="10" spans="1:13" x14ac:dyDescent="0.45">
      <c r="A10" s="27">
        <f>Master!A$6</f>
        <v>0</v>
      </c>
      <c r="B10" s="22"/>
      <c r="C10" s="27" t="str">
        <f>IFERROR(INDEX('Activity List'!$D$2:$D$135,MATCH(B10,'Activity List'!$A$2:$A$135,0)),"")</f>
        <v/>
      </c>
      <c r="D10" s="22"/>
      <c r="E10" s="22"/>
      <c r="F10" s="34">
        <f>IFERROR(INDEX('Outsourced Services Rate Card'!$D$2:$D$11,MATCH(D10,'Outsourced Services Rate Card'!$A$2:$A$11,0)),0)</f>
        <v>0</v>
      </c>
      <c r="G10" s="27">
        <f>IFERROR(SUMIFS('Activity Plan'!$H$2:$H$135,'Activity Plan'!$A$2:$A$135,A10,'Activity Plan'!$C$2:$C$135,B10),0)</f>
        <v>0</v>
      </c>
      <c r="H10" s="46">
        <f t="shared" si="0"/>
        <v>0</v>
      </c>
      <c r="I10" s="33">
        <f t="shared" si="1"/>
        <v>0</v>
      </c>
      <c r="J10" s="41" t="str">
        <f>IFERROR(INDEX('Annual Election'!$E$2:$E$138,MATCH(B10,'Annual Election'!$B$2:$B$138,0)),"")</f>
        <v/>
      </c>
      <c r="K10" s="41" t="str">
        <f>IFERROR(INDEX('Annual Election'!$H$2:$H$138,MATCH(B10,'Annual Election'!$B$2:$B$138,0)),"")</f>
        <v/>
      </c>
      <c r="L10" s="45" t="str">
        <f t="shared" si="2"/>
        <v/>
      </c>
      <c r="M10" s="33">
        <f t="shared" si="3"/>
        <v>0</v>
      </c>
    </row>
    <row r="11" spans="1:13" x14ac:dyDescent="0.45">
      <c r="A11" s="27">
        <f>Master!A$6</f>
        <v>0</v>
      </c>
      <c r="B11" s="22"/>
      <c r="C11" s="27" t="str">
        <f>IFERROR(INDEX('Activity List'!$D$2:$D$135,MATCH(B11,'Activity List'!$A$2:$A$135,0)),"")</f>
        <v/>
      </c>
      <c r="D11" s="22"/>
      <c r="E11" s="22"/>
      <c r="F11" s="34">
        <f>IFERROR(INDEX('Outsourced Services Rate Card'!$D$2:$D$11,MATCH(D11,'Outsourced Services Rate Card'!$A$2:$A$11,0)),0)</f>
        <v>0</v>
      </c>
      <c r="G11" s="27">
        <f>IFERROR(SUMIFS('Activity Plan'!$H$2:$H$135,'Activity Plan'!$A$2:$A$135,A11,'Activity Plan'!$C$2:$C$135,B11),0)</f>
        <v>0</v>
      </c>
      <c r="H11" s="46">
        <f t="shared" si="0"/>
        <v>0</v>
      </c>
      <c r="I11" s="33">
        <f t="shared" si="1"/>
        <v>0</v>
      </c>
      <c r="J11" s="41" t="str">
        <f>IFERROR(INDEX('Annual Election'!$E$2:$E$138,MATCH(B11,'Annual Election'!$B$2:$B$138,0)),"")</f>
        <v/>
      </c>
      <c r="K11" s="41" t="str">
        <f>IFERROR(INDEX('Annual Election'!$H$2:$H$138,MATCH(B11,'Annual Election'!$B$2:$B$138,0)),"")</f>
        <v/>
      </c>
      <c r="L11" s="45" t="str">
        <f t="shared" si="2"/>
        <v/>
      </c>
      <c r="M11" s="33">
        <f t="shared" si="3"/>
        <v>0</v>
      </c>
    </row>
    <row r="13" spans="1:13" x14ac:dyDescent="0.45">
      <c r="A13" s="49" t="s">
        <v>476</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zoomScaleNormal="100" workbookViewId="0">
      <pane ySplit="1" topLeftCell="A2" activePane="bottomLeft" state="frozen"/>
      <selection pane="bottomLeft"/>
    </sheetView>
  </sheetViews>
  <sheetFormatPr defaultColWidth="8.6640625" defaultRowHeight="14.25" x14ac:dyDescent="0.45"/>
  <cols>
    <col min="1" max="1" width="10" customWidth="1"/>
    <col min="2" max="2" width="14" customWidth="1"/>
    <col min="3" max="4" width="18" customWidth="1"/>
    <col min="5" max="5" width="20" customWidth="1"/>
  </cols>
  <sheetData>
    <row r="1" spans="1:5" ht="30" customHeight="1" x14ac:dyDescent="0.45">
      <c r="A1" s="15" t="s">
        <v>416</v>
      </c>
      <c r="B1" s="15" t="s">
        <v>417</v>
      </c>
      <c r="C1" s="15" t="s">
        <v>477</v>
      </c>
      <c r="D1" s="15" t="s">
        <v>478</v>
      </c>
      <c r="E1" s="15" t="s">
        <v>479</v>
      </c>
    </row>
    <row r="2" spans="1:5" x14ac:dyDescent="0.45">
      <c r="A2" s="38">
        <v>1</v>
      </c>
      <c r="B2" s="50" t="str">
        <f>IF(Master!$B$3="","",EDATE(Master!$B$3,0))</f>
        <v/>
      </c>
      <c r="C2" s="33">
        <f>IF(B2="",0,SUMPRODUCT(('Material Budget'!$J$2:$J$11&lt;=EOMONTH(B2,0))*('Material Budget'!$K$2:$K$11&gt;=EOMONTH(B2,-1)+1)*'Material Budget'!$M$2:$M$11))</f>
        <v>0</v>
      </c>
      <c r="D2" s="33">
        <f>IF(B2="",0,SUMPRODUCT(('Service Budget'!$J$2:$J$11&lt;=EOMONTH(B2,0))*('Service Budget'!$K$2:$K$11&gt;=EOMONTH(B2,-1)+1)*'Service Budget'!$M$2:$M$11))</f>
        <v>0</v>
      </c>
      <c r="E2" s="40">
        <f t="shared" ref="E2:E13" si="0">C2+D2</f>
        <v>0</v>
      </c>
    </row>
    <row r="3" spans="1:5" x14ac:dyDescent="0.45">
      <c r="A3" s="38">
        <v>2</v>
      </c>
      <c r="B3" s="50" t="str">
        <f>IF(Master!$B$3="","",EDATE(Master!$B$3,1))</f>
        <v/>
      </c>
      <c r="C3" s="33">
        <f>IF(B3="",0,SUMPRODUCT(('Material Budget'!$J$2:$J$11&lt;=EOMONTH(B3,0))*('Material Budget'!$K$2:$K$11&gt;=EOMONTH(B3,-1)+1)*'Material Budget'!$M$2:$M$11))</f>
        <v>0</v>
      </c>
      <c r="D3" s="33">
        <f>IF(B3="",0,SUMPRODUCT(('Service Budget'!$J$2:$J$11&lt;=EOMONTH(B3,0))*('Service Budget'!$K$2:$K$11&gt;=EOMONTH(B3,-1)+1)*'Service Budget'!$M$2:$M$11))</f>
        <v>0</v>
      </c>
      <c r="E3" s="40">
        <f t="shared" si="0"/>
        <v>0</v>
      </c>
    </row>
    <row r="4" spans="1:5" x14ac:dyDescent="0.45">
      <c r="A4" s="38">
        <v>3</v>
      </c>
      <c r="B4" s="50" t="str">
        <f>IF(Master!$B$3="","",EDATE(Master!$B$3,2))</f>
        <v/>
      </c>
      <c r="C4" s="33">
        <f>IF(B4="",0,SUMPRODUCT(('Material Budget'!$J$2:$J$11&lt;=EOMONTH(B4,0))*('Material Budget'!$K$2:$K$11&gt;=EOMONTH(B4,-1)+1)*'Material Budget'!$M$2:$M$11))</f>
        <v>0</v>
      </c>
      <c r="D4" s="33">
        <f>IF(B4="",0,SUMPRODUCT(('Service Budget'!$J$2:$J$11&lt;=EOMONTH(B4,0))*('Service Budget'!$K$2:$K$11&gt;=EOMONTH(B4,-1)+1)*'Service Budget'!$M$2:$M$11))</f>
        <v>0</v>
      </c>
      <c r="E4" s="40">
        <f t="shared" si="0"/>
        <v>0</v>
      </c>
    </row>
    <row r="5" spans="1:5" x14ac:dyDescent="0.45">
      <c r="A5" s="38">
        <v>4</v>
      </c>
      <c r="B5" s="50" t="str">
        <f>IF(Master!$B$3="","",EDATE(Master!$B$3,3))</f>
        <v/>
      </c>
      <c r="C5" s="33">
        <f>IF(B5="",0,SUMPRODUCT(('Material Budget'!$J$2:$J$11&lt;=EOMONTH(B5,0))*('Material Budget'!$K$2:$K$11&gt;=EOMONTH(B5,-1)+1)*'Material Budget'!$M$2:$M$11))</f>
        <v>0</v>
      </c>
      <c r="D5" s="33">
        <f>IF(B5="",0,SUMPRODUCT(('Service Budget'!$J$2:$J$11&lt;=EOMONTH(B5,0))*('Service Budget'!$K$2:$K$11&gt;=EOMONTH(B5,-1)+1)*'Service Budget'!$M$2:$M$11))</f>
        <v>0</v>
      </c>
      <c r="E5" s="40">
        <f t="shared" si="0"/>
        <v>0</v>
      </c>
    </row>
    <row r="6" spans="1:5" x14ac:dyDescent="0.45">
      <c r="A6" s="38">
        <v>5</v>
      </c>
      <c r="B6" s="50" t="str">
        <f>IF(Master!$B$3="","",EDATE(Master!$B$3,4))</f>
        <v/>
      </c>
      <c r="C6" s="33">
        <f>IF(B6="",0,SUMPRODUCT(('Material Budget'!$J$2:$J$11&lt;=EOMONTH(B6,0))*('Material Budget'!$K$2:$K$11&gt;=EOMONTH(B6,-1)+1)*'Material Budget'!$M$2:$M$11))</f>
        <v>0</v>
      </c>
      <c r="D6" s="33">
        <f>IF(B6="",0,SUMPRODUCT(('Service Budget'!$J$2:$J$11&lt;=EOMONTH(B6,0))*('Service Budget'!$K$2:$K$11&gt;=EOMONTH(B6,-1)+1)*'Service Budget'!$M$2:$M$11))</f>
        <v>0</v>
      </c>
      <c r="E6" s="40">
        <f t="shared" si="0"/>
        <v>0</v>
      </c>
    </row>
    <row r="7" spans="1:5" x14ac:dyDescent="0.45">
      <c r="A7" s="38">
        <v>6</v>
      </c>
      <c r="B7" s="50" t="str">
        <f>IF(Master!$B$3="","",EDATE(Master!$B$3,5))</f>
        <v/>
      </c>
      <c r="C7" s="33">
        <f>IF(B7="",0,SUMPRODUCT(('Material Budget'!$J$2:$J$11&lt;=EOMONTH(B7,0))*('Material Budget'!$K$2:$K$11&gt;=EOMONTH(B7,-1)+1)*'Material Budget'!$M$2:$M$11))</f>
        <v>0</v>
      </c>
      <c r="D7" s="33">
        <f>IF(B7="",0,SUMPRODUCT(('Service Budget'!$J$2:$J$11&lt;=EOMONTH(B7,0))*('Service Budget'!$K$2:$K$11&gt;=EOMONTH(B7,-1)+1)*'Service Budget'!$M$2:$M$11))</f>
        <v>0</v>
      </c>
      <c r="E7" s="40">
        <f t="shared" si="0"/>
        <v>0</v>
      </c>
    </row>
    <row r="8" spans="1:5" x14ac:dyDescent="0.45">
      <c r="A8" s="38">
        <v>7</v>
      </c>
      <c r="B8" s="50" t="str">
        <f>IF(Master!$B$3="","",EDATE(Master!$B$3,6))</f>
        <v/>
      </c>
      <c r="C8" s="33">
        <f>IF(B8="",0,SUMPRODUCT(('Material Budget'!$J$2:$J$11&lt;=EOMONTH(B8,0))*('Material Budget'!$K$2:$K$11&gt;=EOMONTH(B8,-1)+1)*'Material Budget'!$M$2:$M$11))</f>
        <v>0</v>
      </c>
      <c r="D8" s="33">
        <f>IF(B8="",0,SUMPRODUCT(('Service Budget'!$J$2:$J$11&lt;=EOMONTH(B8,0))*('Service Budget'!$K$2:$K$11&gt;=EOMONTH(B8,-1)+1)*'Service Budget'!$M$2:$M$11))</f>
        <v>0</v>
      </c>
      <c r="E8" s="40">
        <f t="shared" si="0"/>
        <v>0</v>
      </c>
    </row>
    <row r="9" spans="1:5" x14ac:dyDescent="0.45">
      <c r="A9" s="38">
        <v>8</v>
      </c>
      <c r="B9" s="50" t="str">
        <f>IF(Master!$B$3="","",EDATE(Master!$B$3,7))</f>
        <v/>
      </c>
      <c r="C9" s="33">
        <f>IF(B9="",0,SUMPRODUCT(('Material Budget'!$J$2:$J$11&lt;=EOMONTH(B9,0))*('Material Budget'!$K$2:$K$11&gt;=EOMONTH(B9,-1)+1)*'Material Budget'!$M$2:$M$11))</f>
        <v>0</v>
      </c>
      <c r="D9" s="33">
        <f>IF(B9="",0,SUMPRODUCT(('Service Budget'!$J$2:$J$11&lt;=EOMONTH(B9,0))*('Service Budget'!$K$2:$K$11&gt;=EOMONTH(B9,-1)+1)*'Service Budget'!$M$2:$M$11))</f>
        <v>0</v>
      </c>
      <c r="E9" s="40">
        <f t="shared" si="0"/>
        <v>0</v>
      </c>
    </row>
    <row r="10" spans="1:5" x14ac:dyDescent="0.45">
      <c r="A10" s="38">
        <v>9</v>
      </c>
      <c r="B10" s="50" t="str">
        <f>IF(Master!$B$3="","",EDATE(Master!$B$3,8))</f>
        <v/>
      </c>
      <c r="C10" s="33">
        <f>IF(B10="",0,SUMPRODUCT(('Material Budget'!$J$2:$J$11&lt;=EOMONTH(B10,0))*('Material Budget'!$K$2:$K$11&gt;=EOMONTH(B10,-1)+1)*'Material Budget'!$M$2:$M$11))</f>
        <v>0</v>
      </c>
      <c r="D10" s="33">
        <f>IF(B10="",0,SUMPRODUCT(('Service Budget'!$J$2:$J$11&lt;=EOMONTH(B10,0))*('Service Budget'!$K$2:$K$11&gt;=EOMONTH(B10,-1)+1)*'Service Budget'!$M$2:$M$11))</f>
        <v>0</v>
      </c>
      <c r="E10" s="40">
        <f t="shared" si="0"/>
        <v>0</v>
      </c>
    </row>
    <row r="11" spans="1:5" x14ac:dyDescent="0.45">
      <c r="A11" s="38">
        <v>10</v>
      </c>
      <c r="B11" s="50" t="str">
        <f>IF(Master!$B$3="","",EDATE(Master!$B$3,9))</f>
        <v/>
      </c>
      <c r="C11" s="33">
        <f>IF(B11="",0,SUMPRODUCT(('Material Budget'!$J$2:$J$11&lt;=EOMONTH(B11,0))*('Material Budget'!$K$2:$K$11&gt;=EOMONTH(B11,-1)+1)*'Material Budget'!$M$2:$M$11))</f>
        <v>0</v>
      </c>
      <c r="D11" s="33">
        <f>IF(B11="",0,SUMPRODUCT(('Service Budget'!$J$2:$J$11&lt;=EOMONTH(B11,0))*('Service Budget'!$K$2:$K$11&gt;=EOMONTH(B11,-1)+1)*'Service Budget'!$M$2:$M$11))</f>
        <v>0</v>
      </c>
      <c r="E11" s="40">
        <f t="shared" si="0"/>
        <v>0</v>
      </c>
    </row>
    <row r="12" spans="1:5" x14ac:dyDescent="0.45">
      <c r="A12" s="38">
        <v>11</v>
      </c>
      <c r="B12" s="50" t="str">
        <f>IF(Master!$B$3="","",EDATE(Master!$B$3,10))</f>
        <v/>
      </c>
      <c r="C12" s="33">
        <f>IF(B12="",0,SUMPRODUCT(('Material Budget'!$J$2:$J$11&lt;=EOMONTH(B12,0))*('Material Budget'!$K$2:$K$11&gt;=EOMONTH(B12,-1)+1)*'Material Budget'!$M$2:$M$11))</f>
        <v>0</v>
      </c>
      <c r="D12" s="33">
        <f>IF(B12="",0,SUMPRODUCT(('Service Budget'!$J$2:$J$11&lt;=EOMONTH(B12,0))*('Service Budget'!$K$2:$K$11&gt;=EOMONTH(B12,-1)+1)*'Service Budget'!$M$2:$M$11))</f>
        <v>0</v>
      </c>
      <c r="E12" s="40">
        <f t="shared" si="0"/>
        <v>0</v>
      </c>
    </row>
    <row r="13" spans="1:5" x14ac:dyDescent="0.45">
      <c r="A13" s="38">
        <v>12</v>
      </c>
      <c r="B13" s="50" t="str">
        <f>IF(Master!$B$3="","",EDATE(Master!$B$3,11))</f>
        <v/>
      </c>
      <c r="C13" s="33">
        <f>IF(B13="",0,SUMPRODUCT(('Material Budget'!$J$2:$J$11&lt;=EOMONTH(B13,0))*('Material Budget'!$K$2:$K$11&gt;=EOMONTH(B13,-1)+1)*'Material Budget'!$M$2:$M$11))</f>
        <v>0</v>
      </c>
      <c r="D13" s="33">
        <f>IF(B13="",0,SUMPRODUCT(('Service Budget'!$J$2:$J$11&lt;=EOMONTH(B13,0))*('Service Budget'!$K$2:$K$11&gt;=EOMONTH(B13,-1)+1)*'Service Budget'!$M$2:$M$11))</f>
        <v>0</v>
      </c>
      <c r="E13" s="40">
        <f t="shared" si="0"/>
        <v>0</v>
      </c>
    </row>
    <row r="14" spans="1:5" x14ac:dyDescent="0.45">
      <c r="B14" s="48" t="s">
        <v>480</v>
      </c>
      <c r="C14" s="40">
        <f>SUM(C2:C13)</f>
        <v>0</v>
      </c>
      <c r="D14" s="40">
        <f>SUM(D2:D13)</f>
        <v>0</v>
      </c>
      <c r="E14" s="40">
        <f>SUM(E2:E13)</f>
        <v>0</v>
      </c>
    </row>
    <row r="16" spans="1:5" ht="43.5" customHeight="1" x14ac:dyDescent="0.45">
      <c r="A16" s="5" t="s">
        <v>481</v>
      </c>
      <c r="B16" s="5"/>
      <c r="C16" s="5"/>
      <c r="D16" s="5"/>
      <c r="E16" s="5"/>
    </row>
  </sheetData>
  <mergeCells count="1">
    <mergeCell ref="A16:E16"/>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9"/>
  <sheetViews>
    <sheetView zoomScaleNormal="100" workbookViewId="0">
      <pane ySplit="4" topLeftCell="A5" activePane="bottomLeft" state="frozen"/>
      <selection pane="bottomLeft"/>
    </sheetView>
  </sheetViews>
  <sheetFormatPr defaultColWidth="8.6640625" defaultRowHeight="14.25" x14ac:dyDescent="0.45"/>
  <cols>
    <col min="1" max="1" width="8" customWidth="1"/>
    <col min="2" max="3" width="14" customWidth="1"/>
    <col min="4" max="4" width="16" customWidth="1"/>
    <col min="5" max="5" width="18" customWidth="1"/>
    <col min="6" max="6" width="16" customWidth="1"/>
    <col min="7" max="7" width="18" customWidth="1"/>
  </cols>
  <sheetData>
    <row r="1" spans="1:7" ht="17.649999999999999" x14ac:dyDescent="0.5">
      <c r="A1" s="7" t="s">
        <v>482</v>
      </c>
    </row>
    <row r="2" spans="1:7" ht="30" customHeight="1" x14ac:dyDescent="0.45">
      <c r="A2" s="5" t="s">
        <v>483</v>
      </c>
      <c r="B2" s="5"/>
      <c r="C2" s="5"/>
      <c r="D2" s="5"/>
      <c r="E2" s="5"/>
      <c r="F2" s="5"/>
      <c r="G2" s="5"/>
    </row>
    <row r="4" spans="1:7" ht="30" customHeight="1" x14ac:dyDescent="0.45">
      <c r="A4" s="15" t="s">
        <v>484</v>
      </c>
      <c r="B4" s="15" t="s">
        <v>485</v>
      </c>
      <c r="C4" s="15" t="s">
        <v>486</v>
      </c>
      <c r="D4" s="15" t="s">
        <v>487</v>
      </c>
      <c r="E4" s="15" t="s">
        <v>488</v>
      </c>
      <c r="F4" s="15" t="s">
        <v>489</v>
      </c>
      <c r="G4" s="15" t="s">
        <v>490</v>
      </c>
    </row>
    <row r="5" spans="1:7" x14ac:dyDescent="0.45">
      <c r="A5" s="38">
        <v>1</v>
      </c>
      <c r="B5" s="41" t="str">
        <f>IF(Master!$B$3="","",Master!$B$3+(0*7))</f>
        <v/>
      </c>
      <c r="C5" s="41" t="str">
        <f>IF(B5="","",MIN(B5+6,Master!$B$3+364))</f>
        <v/>
      </c>
      <c r="D5" s="33">
        <f>IF(B5="",0,SUMPRODUCT(('Activity Plan'!$K$2:$K$135&lt;=C5)*('Activity Plan'!$L$2:$L$135&gt;=B5)*'Activity Plan'!$N$2:$N$135))</f>
        <v>0</v>
      </c>
      <c r="E5" s="33">
        <f>IF(B5="",0,IFERROR(INDEX('Monthly Cost Summary'!$E$2:$E$13,MATCH(TEXT(B5,"yyyymm"),TEXT('Monthly Cost Summary'!$B$2:$B$13,"yyyymm"),0))/COUNTIFS('Weekly Cash Flow'!$B$5:$B$57,"&gt;="&amp;EOMONTH(B5,-1)+1,'Weekly Cash Flow'!$B$5:$B$57,"&lt;="&amp;EOMONTH(B5,0)),0))</f>
        <v>0</v>
      </c>
      <c r="F5" s="40">
        <f t="shared" ref="F5:F36" si="0">D5+E5</f>
        <v>0</v>
      </c>
      <c r="G5" s="33">
        <f>F5</f>
        <v>0</v>
      </c>
    </row>
    <row r="6" spans="1:7" x14ac:dyDescent="0.45">
      <c r="A6" s="38">
        <v>2</v>
      </c>
      <c r="B6" s="41" t="str">
        <f>IF(Master!$B$3="","",Master!$B$3+(1*7))</f>
        <v/>
      </c>
      <c r="C6" s="41" t="str">
        <f>IF(B6="","",MIN(B6+6,Master!$B$3+364))</f>
        <v/>
      </c>
      <c r="D6" s="33">
        <f>IF(B6="",0,SUMPRODUCT(('Activity Plan'!$K$2:$K$135&lt;=C6)*('Activity Plan'!$L$2:$L$135&gt;=B6)*'Activity Plan'!$N$2:$N$135))</f>
        <v>0</v>
      </c>
      <c r="E6" s="33">
        <f>IF(B6="",0,IFERROR(INDEX('Monthly Cost Summary'!$E$2:$E$13,MATCH(TEXT(B6,"yyyymm"),TEXT('Monthly Cost Summary'!$B$2:$B$13,"yyyymm"),0))/COUNTIFS('Weekly Cash Flow'!$B$5:$B$57,"&gt;="&amp;EOMONTH(B6,-1)+1,'Weekly Cash Flow'!$B$5:$B$57,"&lt;="&amp;EOMONTH(B6,0)),0))</f>
        <v>0</v>
      </c>
      <c r="F6" s="40">
        <f t="shared" si="0"/>
        <v>0</v>
      </c>
      <c r="G6" s="33">
        <f t="shared" ref="G6:G37" si="1">G5+F6</f>
        <v>0</v>
      </c>
    </row>
    <row r="7" spans="1:7" x14ac:dyDescent="0.45">
      <c r="A7" s="38">
        <v>3</v>
      </c>
      <c r="B7" s="41" t="str">
        <f>IF(Master!$B$3="","",Master!$B$3+(2*7))</f>
        <v/>
      </c>
      <c r="C7" s="41" t="str">
        <f>IF(B7="","",MIN(B7+6,Master!$B$3+364))</f>
        <v/>
      </c>
      <c r="D7" s="33">
        <f>IF(B7="",0,SUMPRODUCT(('Activity Plan'!$K$2:$K$135&lt;=C7)*('Activity Plan'!$L$2:$L$135&gt;=B7)*'Activity Plan'!$N$2:$N$135))</f>
        <v>0</v>
      </c>
      <c r="E7" s="33">
        <f>IF(B7="",0,IFERROR(INDEX('Monthly Cost Summary'!$E$2:$E$13,MATCH(TEXT(B7,"yyyymm"),TEXT('Monthly Cost Summary'!$B$2:$B$13,"yyyymm"),0))/COUNTIFS('Weekly Cash Flow'!$B$5:$B$57,"&gt;="&amp;EOMONTH(B7,-1)+1,'Weekly Cash Flow'!$B$5:$B$57,"&lt;="&amp;EOMONTH(B7,0)),0))</f>
        <v>0</v>
      </c>
      <c r="F7" s="40">
        <f t="shared" si="0"/>
        <v>0</v>
      </c>
      <c r="G7" s="33">
        <f t="shared" si="1"/>
        <v>0</v>
      </c>
    </row>
    <row r="8" spans="1:7" x14ac:dyDescent="0.45">
      <c r="A8" s="38">
        <v>4</v>
      </c>
      <c r="B8" s="41" t="str">
        <f>IF(Master!$B$3="","",Master!$B$3+(3*7))</f>
        <v/>
      </c>
      <c r="C8" s="41" t="str">
        <f>IF(B8="","",MIN(B8+6,Master!$B$3+364))</f>
        <v/>
      </c>
      <c r="D8" s="33">
        <f>IF(B8="",0,SUMPRODUCT(('Activity Plan'!$K$2:$K$135&lt;=C8)*('Activity Plan'!$L$2:$L$135&gt;=B8)*'Activity Plan'!$N$2:$N$135))</f>
        <v>0</v>
      </c>
      <c r="E8" s="33">
        <f>IF(B8="",0,IFERROR(INDEX('Monthly Cost Summary'!$E$2:$E$13,MATCH(TEXT(B8,"yyyymm"),TEXT('Monthly Cost Summary'!$B$2:$B$13,"yyyymm"),0))/COUNTIFS('Weekly Cash Flow'!$B$5:$B$57,"&gt;="&amp;EOMONTH(B8,-1)+1,'Weekly Cash Flow'!$B$5:$B$57,"&lt;="&amp;EOMONTH(B8,0)),0))</f>
        <v>0</v>
      </c>
      <c r="F8" s="40">
        <f t="shared" si="0"/>
        <v>0</v>
      </c>
      <c r="G8" s="33">
        <f t="shared" si="1"/>
        <v>0</v>
      </c>
    </row>
    <row r="9" spans="1:7" x14ac:dyDescent="0.45">
      <c r="A9" s="38">
        <v>5</v>
      </c>
      <c r="B9" s="41" t="str">
        <f>IF(Master!$B$3="","",Master!$B$3+(4*7))</f>
        <v/>
      </c>
      <c r="C9" s="41" t="str">
        <f>IF(B9="","",MIN(B9+6,Master!$B$3+364))</f>
        <v/>
      </c>
      <c r="D9" s="33">
        <f>IF(B9="",0,SUMPRODUCT(('Activity Plan'!$K$2:$K$135&lt;=C9)*('Activity Plan'!$L$2:$L$135&gt;=B9)*'Activity Plan'!$N$2:$N$135))</f>
        <v>0</v>
      </c>
      <c r="E9" s="33">
        <f>IF(B9="",0,IFERROR(INDEX('Monthly Cost Summary'!$E$2:$E$13,MATCH(TEXT(B9,"yyyymm"),TEXT('Monthly Cost Summary'!$B$2:$B$13,"yyyymm"),0))/COUNTIFS('Weekly Cash Flow'!$B$5:$B$57,"&gt;="&amp;EOMONTH(B9,-1)+1,'Weekly Cash Flow'!$B$5:$B$57,"&lt;="&amp;EOMONTH(B9,0)),0))</f>
        <v>0</v>
      </c>
      <c r="F9" s="40">
        <f t="shared" si="0"/>
        <v>0</v>
      </c>
      <c r="G9" s="33">
        <f t="shared" si="1"/>
        <v>0</v>
      </c>
    </row>
    <row r="10" spans="1:7" x14ac:dyDescent="0.45">
      <c r="A10" s="38">
        <v>6</v>
      </c>
      <c r="B10" s="41" t="str">
        <f>IF(Master!$B$3="","",Master!$B$3+(5*7))</f>
        <v/>
      </c>
      <c r="C10" s="41" t="str">
        <f>IF(B10="","",MIN(B10+6,Master!$B$3+364))</f>
        <v/>
      </c>
      <c r="D10" s="33">
        <f>IF(B10="",0,SUMPRODUCT(('Activity Plan'!$K$2:$K$135&lt;=C10)*('Activity Plan'!$L$2:$L$135&gt;=B10)*'Activity Plan'!$N$2:$N$135))</f>
        <v>0</v>
      </c>
      <c r="E10" s="33">
        <f>IF(B10="",0,IFERROR(INDEX('Monthly Cost Summary'!$E$2:$E$13,MATCH(TEXT(B10,"yyyymm"),TEXT('Monthly Cost Summary'!$B$2:$B$13,"yyyymm"),0))/COUNTIFS('Weekly Cash Flow'!$B$5:$B$57,"&gt;="&amp;EOMONTH(B10,-1)+1,'Weekly Cash Flow'!$B$5:$B$57,"&lt;="&amp;EOMONTH(B10,0)),0))</f>
        <v>0</v>
      </c>
      <c r="F10" s="40">
        <f t="shared" si="0"/>
        <v>0</v>
      </c>
      <c r="G10" s="33">
        <f t="shared" si="1"/>
        <v>0</v>
      </c>
    </row>
    <row r="11" spans="1:7" x14ac:dyDescent="0.45">
      <c r="A11" s="38">
        <v>7</v>
      </c>
      <c r="B11" s="41" t="str">
        <f>IF(Master!$B$3="","",Master!$B$3+(6*7))</f>
        <v/>
      </c>
      <c r="C11" s="41" t="str">
        <f>IF(B11="","",MIN(B11+6,Master!$B$3+364))</f>
        <v/>
      </c>
      <c r="D11" s="33">
        <f>IF(B11="",0,SUMPRODUCT(('Activity Plan'!$K$2:$K$135&lt;=C11)*('Activity Plan'!$L$2:$L$135&gt;=B11)*'Activity Plan'!$N$2:$N$135))</f>
        <v>0</v>
      </c>
      <c r="E11" s="33">
        <f>IF(B11="",0,IFERROR(INDEX('Monthly Cost Summary'!$E$2:$E$13,MATCH(TEXT(B11,"yyyymm"),TEXT('Monthly Cost Summary'!$B$2:$B$13,"yyyymm"),0))/COUNTIFS('Weekly Cash Flow'!$B$5:$B$57,"&gt;="&amp;EOMONTH(B11,-1)+1,'Weekly Cash Flow'!$B$5:$B$57,"&lt;="&amp;EOMONTH(B11,0)),0))</f>
        <v>0</v>
      </c>
      <c r="F11" s="40">
        <f t="shared" si="0"/>
        <v>0</v>
      </c>
      <c r="G11" s="33">
        <f t="shared" si="1"/>
        <v>0</v>
      </c>
    </row>
    <row r="12" spans="1:7" x14ac:dyDescent="0.45">
      <c r="A12" s="38">
        <v>8</v>
      </c>
      <c r="B12" s="41" t="str">
        <f>IF(Master!$B$3="","",Master!$B$3+(7*7))</f>
        <v/>
      </c>
      <c r="C12" s="41" t="str">
        <f>IF(B12="","",MIN(B12+6,Master!$B$3+364))</f>
        <v/>
      </c>
      <c r="D12" s="33">
        <f>IF(B12="",0,SUMPRODUCT(('Activity Plan'!$K$2:$K$135&lt;=C12)*('Activity Plan'!$L$2:$L$135&gt;=B12)*'Activity Plan'!$N$2:$N$135))</f>
        <v>0</v>
      </c>
      <c r="E12" s="33">
        <f>IF(B12="",0,IFERROR(INDEX('Monthly Cost Summary'!$E$2:$E$13,MATCH(TEXT(B12,"yyyymm"),TEXT('Monthly Cost Summary'!$B$2:$B$13,"yyyymm"),0))/COUNTIFS('Weekly Cash Flow'!$B$5:$B$57,"&gt;="&amp;EOMONTH(B12,-1)+1,'Weekly Cash Flow'!$B$5:$B$57,"&lt;="&amp;EOMONTH(B12,0)),0))</f>
        <v>0</v>
      </c>
      <c r="F12" s="40">
        <f t="shared" si="0"/>
        <v>0</v>
      </c>
      <c r="G12" s="33">
        <f t="shared" si="1"/>
        <v>0</v>
      </c>
    </row>
    <row r="13" spans="1:7" x14ac:dyDescent="0.45">
      <c r="A13" s="38">
        <v>9</v>
      </c>
      <c r="B13" s="41" t="str">
        <f>IF(Master!$B$3="","",Master!$B$3+(8*7))</f>
        <v/>
      </c>
      <c r="C13" s="41" t="str">
        <f>IF(B13="","",MIN(B13+6,Master!$B$3+364))</f>
        <v/>
      </c>
      <c r="D13" s="33">
        <f>IF(B13="",0,SUMPRODUCT(('Activity Plan'!$K$2:$K$135&lt;=C13)*('Activity Plan'!$L$2:$L$135&gt;=B13)*'Activity Plan'!$N$2:$N$135))</f>
        <v>0</v>
      </c>
      <c r="E13" s="33">
        <f>IF(B13="",0,IFERROR(INDEX('Monthly Cost Summary'!$E$2:$E$13,MATCH(TEXT(B13,"yyyymm"),TEXT('Monthly Cost Summary'!$B$2:$B$13,"yyyymm"),0))/COUNTIFS('Weekly Cash Flow'!$B$5:$B$57,"&gt;="&amp;EOMONTH(B13,-1)+1,'Weekly Cash Flow'!$B$5:$B$57,"&lt;="&amp;EOMONTH(B13,0)),0))</f>
        <v>0</v>
      </c>
      <c r="F13" s="40">
        <f t="shared" si="0"/>
        <v>0</v>
      </c>
      <c r="G13" s="33">
        <f t="shared" si="1"/>
        <v>0</v>
      </c>
    </row>
    <row r="14" spans="1:7" x14ac:dyDescent="0.45">
      <c r="A14" s="38">
        <v>10</v>
      </c>
      <c r="B14" s="41" t="str">
        <f>IF(Master!$B$3="","",Master!$B$3+(9*7))</f>
        <v/>
      </c>
      <c r="C14" s="41" t="str">
        <f>IF(B14="","",MIN(B14+6,Master!$B$3+364))</f>
        <v/>
      </c>
      <c r="D14" s="33">
        <f>IF(B14="",0,SUMPRODUCT(('Activity Plan'!$K$2:$K$135&lt;=C14)*('Activity Plan'!$L$2:$L$135&gt;=B14)*'Activity Plan'!$N$2:$N$135))</f>
        <v>0</v>
      </c>
      <c r="E14" s="33">
        <f>IF(B14="",0,IFERROR(INDEX('Monthly Cost Summary'!$E$2:$E$13,MATCH(TEXT(B14,"yyyymm"),TEXT('Monthly Cost Summary'!$B$2:$B$13,"yyyymm"),0))/COUNTIFS('Weekly Cash Flow'!$B$5:$B$57,"&gt;="&amp;EOMONTH(B14,-1)+1,'Weekly Cash Flow'!$B$5:$B$57,"&lt;="&amp;EOMONTH(B14,0)),0))</f>
        <v>0</v>
      </c>
      <c r="F14" s="40">
        <f t="shared" si="0"/>
        <v>0</v>
      </c>
      <c r="G14" s="33">
        <f t="shared" si="1"/>
        <v>0</v>
      </c>
    </row>
    <row r="15" spans="1:7" x14ac:dyDescent="0.45">
      <c r="A15" s="38">
        <v>11</v>
      </c>
      <c r="B15" s="41" t="str">
        <f>IF(Master!$B$3="","",Master!$B$3+(10*7))</f>
        <v/>
      </c>
      <c r="C15" s="41" t="str">
        <f>IF(B15="","",MIN(B15+6,Master!$B$3+364))</f>
        <v/>
      </c>
      <c r="D15" s="33">
        <f>IF(B15="",0,SUMPRODUCT(('Activity Plan'!$K$2:$K$135&lt;=C15)*('Activity Plan'!$L$2:$L$135&gt;=B15)*'Activity Plan'!$N$2:$N$135))</f>
        <v>0</v>
      </c>
      <c r="E15" s="33">
        <f>IF(B15="",0,IFERROR(INDEX('Monthly Cost Summary'!$E$2:$E$13,MATCH(TEXT(B15,"yyyymm"),TEXT('Monthly Cost Summary'!$B$2:$B$13,"yyyymm"),0))/COUNTIFS('Weekly Cash Flow'!$B$5:$B$57,"&gt;="&amp;EOMONTH(B15,-1)+1,'Weekly Cash Flow'!$B$5:$B$57,"&lt;="&amp;EOMONTH(B15,0)),0))</f>
        <v>0</v>
      </c>
      <c r="F15" s="40">
        <f t="shared" si="0"/>
        <v>0</v>
      </c>
      <c r="G15" s="33">
        <f t="shared" si="1"/>
        <v>0</v>
      </c>
    </row>
    <row r="16" spans="1:7" x14ac:dyDescent="0.45">
      <c r="A16" s="38">
        <v>12</v>
      </c>
      <c r="B16" s="41" t="str">
        <f>IF(Master!$B$3="","",Master!$B$3+(11*7))</f>
        <v/>
      </c>
      <c r="C16" s="41" t="str">
        <f>IF(B16="","",MIN(B16+6,Master!$B$3+364))</f>
        <v/>
      </c>
      <c r="D16" s="33">
        <f>IF(B16="",0,SUMPRODUCT(('Activity Plan'!$K$2:$K$135&lt;=C16)*('Activity Plan'!$L$2:$L$135&gt;=B16)*'Activity Plan'!$N$2:$N$135))</f>
        <v>0</v>
      </c>
      <c r="E16" s="33">
        <f>IF(B16="",0,IFERROR(INDEX('Monthly Cost Summary'!$E$2:$E$13,MATCH(TEXT(B16,"yyyymm"),TEXT('Monthly Cost Summary'!$B$2:$B$13,"yyyymm"),0))/COUNTIFS('Weekly Cash Flow'!$B$5:$B$57,"&gt;="&amp;EOMONTH(B16,-1)+1,'Weekly Cash Flow'!$B$5:$B$57,"&lt;="&amp;EOMONTH(B16,0)),0))</f>
        <v>0</v>
      </c>
      <c r="F16" s="40">
        <f t="shared" si="0"/>
        <v>0</v>
      </c>
      <c r="G16" s="33">
        <f t="shared" si="1"/>
        <v>0</v>
      </c>
    </row>
    <row r="17" spans="1:7" x14ac:dyDescent="0.45">
      <c r="A17" s="38">
        <v>13</v>
      </c>
      <c r="B17" s="41" t="str">
        <f>IF(Master!$B$3="","",Master!$B$3+(12*7))</f>
        <v/>
      </c>
      <c r="C17" s="41" t="str">
        <f>IF(B17="","",MIN(B17+6,Master!$B$3+364))</f>
        <v/>
      </c>
      <c r="D17" s="33">
        <f>IF(B17="",0,SUMPRODUCT(('Activity Plan'!$K$2:$K$135&lt;=C17)*('Activity Plan'!$L$2:$L$135&gt;=B17)*'Activity Plan'!$N$2:$N$135))</f>
        <v>0</v>
      </c>
      <c r="E17" s="33">
        <f>IF(B17="",0,IFERROR(INDEX('Monthly Cost Summary'!$E$2:$E$13,MATCH(TEXT(B17,"yyyymm"),TEXT('Monthly Cost Summary'!$B$2:$B$13,"yyyymm"),0))/COUNTIFS('Weekly Cash Flow'!$B$5:$B$57,"&gt;="&amp;EOMONTH(B17,-1)+1,'Weekly Cash Flow'!$B$5:$B$57,"&lt;="&amp;EOMONTH(B17,0)),0))</f>
        <v>0</v>
      </c>
      <c r="F17" s="40">
        <f t="shared" si="0"/>
        <v>0</v>
      </c>
      <c r="G17" s="33">
        <f t="shared" si="1"/>
        <v>0</v>
      </c>
    </row>
    <row r="18" spans="1:7" x14ac:dyDescent="0.45">
      <c r="A18" s="38">
        <v>14</v>
      </c>
      <c r="B18" s="41" t="str">
        <f>IF(Master!$B$3="","",Master!$B$3+(13*7))</f>
        <v/>
      </c>
      <c r="C18" s="41" t="str">
        <f>IF(B18="","",MIN(B18+6,Master!$B$3+364))</f>
        <v/>
      </c>
      <c r="D18" s="33">
        <f>IF(B18="",0,SUMPRODUCT(('Activity Plan'!$K$2:$K$135&lt;=C18)*('Activity Plan'!$L$2:$L$135&gt;=B18)*'Activity Plan'!$N$2:$N$135))</f>
        <v>0</v>
      </c>
      <c r="E18" s="33">
        <f>IF(B18="",0,IFERROR(INDEX('Monthly Cost Summary'!$E$2:$E$13,MATCH(TEXT(B18,"yyyymm"),TEXT('Monthly Cost Summary'!$B$2:$B$13,"yyyymm"),0))/COUNTIFS('Weekly Cash Flow'!$B$5:$B$57,"&gt;="&amp;EOMONTH(B18,-1)+1,'Weekly Cash Flow'!$B$5:$B$57,"&lt;="&amp;EOMONTH(B18,0)),0))</f>
        <v>0</v>
      </c>
      <c r="F18" s="40">
        <f t="shared" si="0"/>
        <v>0</v>
      </c>
      <c r="G18" s="33">
        <f t="shared" si="1"/>
        <v>0</v>
      </c>
    </row>
    <row r="19" spans="1:7" x14ac:dyDescent="0.45">
      <c r="A19" s="38">
        <v>15</v>
      </c>
      <c r="B19" s="41" t="str">
        <f>IF(Master!$B$3="","",Master!$B$3+(14*7))</f>
        <v/>
      </c>
      <c r="C19" s="41" t="str">
        <f>IF(B19="","",MIN(B19+6,Master!$B$3+364))</f>
        <v/>
      </c>
      <c r="D19" s="33">
        <f>IF(B19="",0,SUMPRODUCT(('Activity Plan'!$K$2:$K$135&lt;=C19)*('Activity Plan'!$L$2:$L$135&gt;=B19)*'Activity Plan'!$N$2:$N$135))</f>
        <v>0</v>
      </c>
      <c r="E19" s="33">
        <f>IF(B19="",0,IFERROR(INDEX('Monthly Cost Summary'!$E$2:$E$13,MATCH(TEXT(B19,"yyyymm"),TEXT('Monthly Cost Summary'!$B$2:$B$13,"yyyymm"),0))/COUNTIFS('Weekly Cash Flow'!$B$5:$B$57,"&gt;="&amp;EOMONTH(B19,-1)+1,'Weekly Cash Flow'!$B$5:$B$57,"&lt;="&amp;EOMONTH(B19,0)),0))</f>
        <v>0</v>
      </c>
      <c r="F19" s="40">
        <f t="shared" si="0"/>
        <v>0</v>
      </c>
      <c r="G19" s="33">
        <f t="shared" si="1"/>
        <v>0</v>
      </c>
    </row>
    <row r="20" spans="1:7" x14ac:dyDescent="0.45">
      <c r="A20" s="38">
        <v>16</v>
      </c>
      <c r="B20" s="41" t="str">
        <f>IF(Master!$B$3="","",Master!$B$3+(15*7))</f>
        <v/>
      </c>
      <c r="C20" s="41" t="str">
        <f>IF(B20="","",MIN(B20+6,Master!$B$3+364))</f>
        <v/>
      </c>
      <c r="D20" s="33">
        <f>IF(B20="",0,SUMPRODUCT(('Activity Plan'!$K$2:$K$135&lt;=C20)*('Activity Plan'!$L$2:$L$135&gt;=B20)*'Activity Plan'!$N$2:$N$135))</f>
        <v>0</v>
      </c>
      <c r="E20" s="33">
        <f>IF(B20="",0,IFERROR(INDEX('Monthly Cost Summary'!$E$2:$E$13,MATCH(TEXT(B20,"yyyymm"),TEXT('Monthly Cost Summary'!$B$2:$B$13,"yyyymm"),0))/COUNTIFS('Weekly Cash Flow'!$B$5:$B$57,"&gt;="&amp;EOMONTH(B20,-1)+1,'Weekly Cash Flow'!$B$5:$B$57,"&lt;="&amp;EOMONTH(B20,0)),0))</f>
        <v>0</v>
      </c>
      <c r="F20" s="40">
        <f t="shared" si="0"/>
        <v>0</v>
      </c>
      <c r="G20" s="33">
        <f t="shared" si="1"/>
        <v>0</v>
      </c>
    </row>
    <row r="21" spans="1:7" x14ac:dyDescent="0.45">
      <c r="A21" s="38">
        <v>17</v>
      </c>
      <c r="B21" s="41" t="str">
        <f>IF(Master!$B$3="","",Master!$B$3+(16*7))</f>
        <v/>
      </c>
      <c r="C21" s="41" t="str">
        <f>IF(B21="","",MIN(B21+6,Master!$B$3+364))</f>
        <v/>
      </c>
      <c r="D21" s="33">
        <f>IF(B21="",0,SUMPRODUCT(('Activity Plan'!$K$2:$K$135&lt;=C21)*('Activity Plan'!$L$2:$L$135&gt;=B21)*'Activity Plan'!$N$2:$N$135))</f>
        <v>0</v>
      </c>
      <c r="E21" s="33">
        <f>IF(B21="",0,IFERROR(INDEX('Monthly Cost Summary'!$E$2:$E$13,MATCH(TEXT(B21,"yyyymm"),TEXT('Monthly Cost Summary'!$B$2:$B$13,"yyyymm"),0))/COUNTIFS('Weekly Cash Flow'!$B$5:$B$57,"&gt;="&amp;EOMONTH(B21,-1)+1,'Weekly Cash Flow'!$B$5:$B$57,"&lt;="&amp;EOMONTH(B21,0)),0))</f>
        <v>0</v>
      </c>
      <c r="F21" s="40">
        <f t="shared" si="0"/>
        <v>0</v>
      </c>
      <c r="G21" s="33">
        <f t="shared" si="1"/>
        <v>0</v>
      </c>
    </row>
    <row r="22" spans="1:7" x14ac:dyDescent="0.45">
      <c r="A22" s="38">
        <v>18</v>
      </c>
      <c r="B22" s="41" t="str">
        <f>IF(Master!$B$3="","",Master!$B$3+(17*7))</f>
        <v/>
      </c>
      <c r="C22" s="41" t="str">
        <f>IF(B22="","",MIN(B22+6,Master!$B$3+364))</f>
        <v/>
      </c>
      <c r="D22" s="33">
        <f>IF(B22="",0,SUMPRODUCT(('Activity Plan'!$K$2:$K$135&lt;=C22)*('Activity Plan'!$L$2:$L$135&gt;=B22)*'Activity Plan'!$N$2:$N$135))</f>
        <v>0</v>
      </c>
      <c r="E22" s="33">
        <f>IF(B22="",0,IFERROR(INDEX('Monthly Cost Summary'!$E$2:$E$13,MATCH(TEXT(B22,"yyyymm"),TEXT('Monthly Cost Summary'!$B$2:$B$13,"yyyymm"),0))/COUNTIFS('Weekly Cash Flow'!$B$5:$B$57,"&gt;="&amp;EOMONTH(B22,-1)+1,'Weekly Cash Flow'!$B$5:$B$57,"&lt;="&amp;EOMONTH(B22,0)),0))</f>
        <v>0</v>
      </c>
      <c r="F22" s="40">
        <f t="shared" si="0"/>
        <v>0</v>
      </c>
      <c r="G22" s="33">
        <f t="shared" si="1"/>
        <v>0</v>
      </c>
    </row>
    <row r="23" spans="1:7" x14ac:dyDescent="0.45">
      <c r="A23" s="38">
        <v>19</v>
      </c>
      <c r="B23" s="41" t="str">
        <f>IF(Master!$B$3="","",Master!$B$3+(18*7))</f>
        <v/>
      </c>
      <c r="C23" s="41" t="str">
        <f>IF(B23="","",MIN(B23+6,Master!$B$3+364))</f>
        <v/>
      </c>
      <c r="D23" s="33">
        <f>IF(B23="",0,SUMPRODUCT(('Activity Plan'!$K$2:$K$135&lt;=C23)*('Activity Plan'!$L$2:$L$135&gt;=B23)*'Activity Plan'!$N$2:$N$135))</f>
        <v>0</v>
      </c>
      <c r="E23" s="33">
        <f>IF(B23="",0,IFERROR(INDEX('Monthly Cost Summary'!$E$2:$E$13,MATCH(TEXT(B23,"yyyymm"),TEXT('Monthly Cost Summary'!$B$2:$B$13,"yyyymm"),0))/COUNTIFS('Weekly Cash Flow'!$B$5:$B$57,"&gt;="&amp;EOMONTH(B23,-1)+1,'Weekly Cash Flow'!$B$5:$B$57,"&lt;="&amp;EOMONTH(B23,0)),0))</f>
        <v>0</v>
      </c>
      <c r="F23" s="40">
        <f t="shared" si="0"/>
        <v>0</v>
      </c>
      <c r="G23" s="33">
        <f t="shared" si="1"/>
        <v>0</v>
      </c>
    </row>
    <row r="24" spans="1:7" x14ac:dyDescent="0.45">
      <c r="A24" s="38">
        <v>20</v>
      </c>
      <c r="B24" s="41" t="str">
        <f>IF(Master!$B$3="","",Master!$B$3+(19*7))</f>
        <v/>
      </c>
      <c r="C24" s="41" t="str">
        <f>IF(B24="","",MIN(B24+6,Master!$B$3+364))</f>
        <v/>
      </c>
      <c r="D24" s="33">
        <f>IF(B24="",0,SUMPRODUCT(('Activity Plan'!$K$2:$K$135&lt;=C24)*('Activity Plan'!$L$2:$L$135&gt;=B24)*'Activity Plan'!$N$2:$N$135))</f>
        <v>0</v>
      </c>
      <c r="E24" s="33">
        <f>IF(B24="",0,IFERROR(INDEX('Monthly Cost Summary'!$E$2:$E$13,MATCH(TEXT(B24,"yyyymm"),TEXT('Monthly Cost Summary'!$B$2:$B$13,"yyyymm"),0))/COUNTIFS('Weekly Cash Flow'!$B$5:$B$57,"&gt;="&amp;EOMONTH(B24,-1)+1,'Weekly Cash Flow'!$B$5:$B$57,"&lt;="&amp;EOMONTH(B24,0)),0))</f>
        <v>0</v>
      </c>
      <c r="F24" s="40">
        <f t="shared" si="0"/>
        <v>0</v>
      </c>
      <c r="G24" s="33">
        <f t="shared" si="1"/>
        <v>0</v>
      </c>
    </row>
    <row r="25" spans="1:7" x14ac:dyDescent="0.45">
      <c r="A25" s="38">
        <v>21</v>
      </c>
      <c r="B25" s="41" t="str">
        <f>IF(Master!$B$3="","",Master!$B$3+(20*7))</f>
        <v/>
      </c>
      <c r="C25" s="41" t="str">
        <f>IF(B25="","",MIN(B25+6,Master!$B$3+364))</f>
        <v/>
      </c>
      <c r="D25" s="33">
        <f>IF(B25="",0,SUMPRODUCT(('Activity Plan'!$K$2:$K$135&lt;=C25)*('Activity Plan'!$L$2:$L$135&gt;=B25)*'Activity Plan'!$N$2:$N$135))</f>
        <v>0</v>
      </c>
      <c r="E25" s="33">
        <f>IF(B25="",0,IFERROR(INDEX('Monthly Cost Summary'!$E$2:$E$13,MATCH(TEXT(B25,"yyyymm"),TEXT('Monthly Cost Summary'!$B$2:$B$13,"yyyymm"),0))/COUNTIFS('Weekly Cash Flow'!$B$5:$B$57,"&gt;="&amp;EOMONTH(B25,-1)+1,'Weekly Cash Flow'!$B$5:$B$57,"&lt;="&amp;EOMONTH(B25,0)),0))</f>
        <v>0</v>
      </c>
      <c r="F25" s="40">
        <f t="shared" si="0"/>
        <v>0</v>
      </c>
      <c r="G25" s="33">
        <f t="shared" si="1"/>
        <v>0</v>
      </c>
    </row>
    <row r="26" spans="1:7" x14ac:dyDescent="0.45">
      <c r="A26" s="38">
        <v>22</v>
      </c>
      <c r="B26" s="41" t="str">
        <f>IF(Master!$B$3="","",Master!$B$3+(21*7))</f>
        <v/>
      </c>
      <c r="C26" s="41" t="str">
        <f>IF(B26="","",MIN(B26+6,Master!$B$3+364))</f>
        <v/>
      </c>
      <c r="D26" s="33">
        <f>IF(B26="",0,SUMPRODUCT(('Activity Plan'!$K$2:$K$135&lt;=C26)*('Activity Plan'!$L$2:$L$135&gt;=B26)*'Activity Plan'!$N$2:$N$135))</f>
        <v>0</v>
      </c>
      <c r="E26" s="33">
        <f>IF(B26="",0,IFERROR(INDEX('Monthly Cost Summary'!$E$2:$E$13,MATCH(TEXT(B26,"yyyymm"),TEXT('Monthly Cost Summary'!$B$2:$B$13,"yyyymm"),0))/COUNTIFS('Weekly Cash Flow'!$B$5:$B$57,"&gt;="&amp;EOMONTH(B26,-1)+1,'Weekly Cash Flow'!$B$5:$B$57,"&lt;="&amp;EOMONTH(B26,0)),0))</f>
        <v>0</v>
      </c>
      <c r="F26" s="40">
        <f t="shared" si="0"/>
        <v>0</v>
      </c>
      <c r="G26" s="33">
        <f t="shared" si="1"/>
        <v>0</v>
      </c>
    </row>
    <row r="27" spans="1:7" x14ac:dyDescent="0.45">
      <c r="A27" s="38">
        <v>23</v>
      </c>
      <c r="B27" s="41" t="str">
        <f>IF(Master!$B$3="","",Master!$B$3+(22*7))</f>
        <v/>
      </c>
      <c r="C27" s="41" t="str">
        <f>IF(B27="","",MIN(B27+6,Master!$B$3+364))</f>
        <v/>
      </c>
      <c r="D27" s="33">
        <f>IF(B27="",0,SUMPRODUCT(('Activity Plan'!$K$2:$K$135&lt;=C27)*('Activity Plan'!$L$2:$L$135&gt;=B27)*'Activity Plan'!$N$2:$N$135))</f>
        <v>0</v>
      </c>
      <c r="E27" s="33">
        <f>IF(B27="",0,IFERROR(INDEX('Monthly Cost Summary'!$E$2:$E$13,MATCH(TEXT(B27,"yyyymm"),TEXT('Monthly Cost Summary'!$B$2:$B$13,"yyyymm"),0))/COUNTIFS('Weekly Cash Flow'!$B$5:$B$57,"&gt;="&amp;EOMONTH(B27,-1)+1,'Weekly Cash Flow'!$B$5:$B$57,"&lt;="&amp;EOMONTH(B27,0)),0))</f>
        <v>0</v>
      </c>
      <c r="F27" s="40">
        <f t="shared" si="0"/>
        <v>0</v>
      </c>
      <c r="G27" s="33">
        <f t="shared" si="1"/>
        <v>0</v>
      </c>
    </row>
    <row r="28" spans="1:7" x14ac:dyDescent="0.45">
      <c r="A28" s="38">
        <v>24</v>
      </c>
      <c r="B28" s="41" t="str">
        <f>IF(Master!$B$3="","",Master!$B$3+(23*7))</f>
        <v/>
      </c>
      <c r="C28" s="41" t="str">
        <f>IF(B28="","",MIN(B28+6,Master!$B$3+364))</f>
        <v/>
      </c>
      <c r="D28" s="33">
        <f>IF(B28="",0,SUMPRODUCT(('Activity Plan'!$K$2:$K$135&lt;=C28)*('Activity Plan'!$L$2:$L$135&gt;=B28)*'Activity Plan'!$N$2:$N$135))</f>
        <v>0</v>
      </c>
      <c r="E28" s="33">
        <f>IF(B28="",0,IFERROR(INDEX('Monthly Cost Summary'!$E$2:$E$13,MATCH(TEXT(B28,"yyyymm"),TEXT('Monthly Cost Summary'!$B$2:$B$13,"yyyymm"),0))/COUNTIFS('Weekly Cash Flow'!$B$5:$B$57,"&gt;="&amp;EOMONTH(B28,-1)+1,'Weekly Cash Flow'!$B$5:$B$57,"&lt;="&amp;EOMONTH(B28,0)),0))</f>
        <v>0</v>
      </c>
      <c r="F28" s="40">
        <f t="shared" si="0"/>
        <v>0</v>
      </c>
      <c r="G28" s="33">
        <f t="shared" si="1"/>
        <v>0</v>
      </c>
    </row>
    <row r="29" spans="1:7" x14ac:dyDescent="0.45">
      <c r="A29" s="38">
        <v>25</v>
      </c>
      <c r="B29" s="41" t="str">
        <f>IF(Master!$B$3="","",Master!$B$3+(24*7))</f>
        <v/>
      </c>
      <c r="C29" s="41" t="str">
        <f>IF(B29="","",MIN(B29+6,Master!$B$3+364))</f>
        <v/>
      </c>
      <c r="D29" s="33">
        <f>IF(B29="",0,SUMPRODUCT(('Activity Plan'!$K$2:$K$135&lt;=C29)*('Activity Plan'!$L$2:$L$135&gt;=B29)*'Activity Plan'!$N$2:$N$135))</f>
        <v>0</v>
      </c>
      <c r="E29" s="33">
        <f>IF(B29="",0,IFERROR(INDEX('Monthly Cost Summary'!$E$2:$E$13,MATCH(TEXT(B29,"yyyymm"),TEXT('Monthly Cost Summary'!$B$2:$B$13,"yyyymm"),0))/COUNTIFS('Weekly Cash Flow'!$B$5:$B$57,"&gt;="&amp;EOMONTH(B29,-1)+1,'Weekly Cash Flow'!$B$5:$B$57,"&lt;="&amp;EOMONTH(B29,0)),0))</f>
        <v>0</v>
      </c>
      <c r="F29" s="40">
        <f t="shared" si="0"/>
        <v>0</v>
      </c>
      <c r="G29" s="33">
        <f t="shared" si="1"/>
        <v>0</v>
      </c>
    </row>
    <row r="30" spans="1:7" x14ac:dyDescent="0.45">
      <c r="A30" s="38">
        <v>26</v>
      </c>
      <c r="B30" s="41" t="str">
        <f>IF(Master!$B$3="","",Master!$B$3+(25*7))</f>
        <v/>
      </c>
      <c r="C30" s="41" t="str">
        <f>IF(B30="","",MIN(B30+6,Master!$B$3+364))</f>
        <v/>
      </c>
      <c r="D30" s="33">
        <f>IF(B30="",0,SUMPRODUCT(('Activity Plan'!$K$2:$K$135&lt;=C30)*('Activity Plan'!$L$2:$L$135&gt;=B30)*'Activity Plan'!$N$2:$N$135))</f>
        <v>0</v>
      </c>
      <c r="E30" s="33">
        <f>IF(B30="",0,IFERROR(INDEX('Monthly Cost Summary'!$E$2:$E$13,MATCH(TEXT(B30,"yyyymm"),TEXT('Monthly Cost Summary'!$B$2:$B$13,"yyyymm"),0))/COUNTIFS('Weekly Cash Flow'!$B$5:$B$57,"&gt;="&amp;EOMONTH(B30,-1)+1,'Weekly Cash Flow'!$B$5:$B$57,"&lt;="&amp;EOMONTH(B30,0)),0))</f>
        <v>0</v>
      </c>
      <c r="F30" s="40">
        <f t="shared" si="0"/>
        <v>0</v>
      </c>
      <c r="G30" s="33">
        <f t="shared" si="1"/>
        <v>0</v>
      </c>
    </row>
    <row r="31" spans="1:7" x14ac:dyDescent="0.45">
      <c r="A31" s="38">
        <v>27</v>
      </c>
      <c r="B31" s="41" t="str">
        <f>IF(Master!$B$3="","",Master!$B$3+(26*7))</f>
        <v/>
      </c>
      <c r="C31" s="41" t="str">
        <f>IF(B31="","",MIN(B31+6,Master!$B$3+364))</f>
        <v/>
      </c>
      <c r="D31" s="33">
        <f>IF(B31="",0,SUMPRODUCT(('Activity Plan'!$K$2:$K$135&lt;=C31)*('Activity Plan'!$L$2:$L$135&gt;=B31)*'Activity Plan'!$N$2:$N$135))</f>
        <v>0</v>
      </c>
      <c r="E31" s="33">
        <f>IF(B31="",0,IFERROR(INDEX('Monthly Cost Summary'!$E$2:$E$13,MATCH(TEXT(B31,"yyyymm"),TEXT('Monthly Cost Summary'!$B$2:$B$13,"yyyymm"),0))/COUNTIFS('Weekly Cash Flow'!$B$5:$B$57,"&gt;="&amp;EOMONTH(B31,-1)+1,'Weekly Cash Flow'!$B$5:$B$57,"&lt;="&amp;EOMONTH(B31,0)),0))</f>
        <v>0</v>
      </c>
      <c r="F31" s="40">
        <f t="shared" si="0"/>
        <v>0</v>
      </c>
      <c r="G31" s="33">
        <f t="shared" si="1"/>
        <v>0</v>
      </c>
    </row>
    <row r="32" spans="1:7" x14ac:dyDescent="0.45">
      <c r="A32" s="38">
        <v>28</v>
      </c>
      <c r="B32" s="41" t="str">
        <f>IF(Master!$B$3="","",Master!$B$3+(27*7))</f>
        <v/>
      </c>
      <c r="C32" s="41" t="str">
        <f>IF(B32="","",MIN(B32+6,Master!$B$3+364))</f>
        <v/>
      </c>
      <c r="D32" s="33">
        <f>IF(B32="",0,SUMPRODUCT(('Activity Plan'!$K$2:$K$135&lt;=C32)*('Activity Plan'!$L$2:$L$135&gt;=B32)*'Activity Plan'!$N$2:$N$135))</f>
        <v>0</v>
      </c>
      <c r="E32" s="33">
        <f>IF(B32="",0,IFERROR(INDEX('Monthly Cost Summary'!$E$2:$E$13,MATCH(TEXT(B32,"yyyymm"),TEXT('Monthly Cost Summary'!$B$2:$B$13,"yyyymm"),0))/COUNTIFS('Weekly Cash Flow'!$B$5:$B$57,"&gt;="&amp;EOMONTH(B32,-1)+1,'Weekly Cash Flow'!$B$5:$B$57,"&lt;="&amp;EOMONTH(B32,0)),0))</f>
        <v>0</v>
      </c>
      <c r="F32" s="40">
        <f t="shared" si="0"/>
        <v>0</v>
      </c>
      <c r="G32" s="33">
        <f t="shared" si="1"/>
        <v>0</v>
      </c>
    </row>
    <row r="33" spans="1:7" x14ac:dyDescent="0.45">
      <c r="A33" s="38">
        <v>29</v>
      </c>
      <c r="B33" s="41" t="str">
        <f>IF(Master!$B$3="","",Master!$B$3+(28*7))</f>
        <v/>
      </c>
      <c r="C33" s="41" t="str">
        <f>IF(B33="","",MIN(B33+6,Master!$B$3+364))</f>
        <v/>
      </c>
      <c r="D33" s="33">
        <f>IF(B33="",0,SUMPRODUCT(('Activity Plan'!$K$2:$K$135&lt;=C33)*('Activity Plan'!$L$2:$L$135&gt;=B33)*'Activity Plan'!$N$2:$N$135))</f>
        <v>0</v>
      </c>
      <c r="E33" s="33">
        <f>IF(B33="",0,IFERROR(INDEX('Monthly Cost Summary'!$E$2:$E$13,MATCH(TEXT(B33,"yyyymm"),TEXT('Monthly Cost Summary'!$B$2:$B$13,"yyyymm"),0))/COUNTIFS('Weekly Cash Flow'!$B$5:$B$57,"&gt;="&amp;EOMONTH(B33,-1)+1,'Weekly Cash Flow'!$B$5:$B$57,"&lt;="&amp;EOMONTH(B33,0)),0))</f>
        <v>0</v>
      </c>
      <c r="F33" s="40">
        <f t="shared" si="0"/>
        <v>0</v>
      </c>
      <c r="G33" s="33">
        <f t="shared" si="1"/>
        <v>0</v>
      </c>
    </row>
    <row r="34" spans="1:7" x14ac:dyDescent="0.45">
      <c r="A34" s="38">
        <v>30</v>
      </c>
      <c r="B34" s="41" t="str">
        <f>IF(Master!$B$3="","",Master!$B$3+(29*7))</f>
        <v/>
      </c>
      <c r="C34" s="41" t="str">
        <f>IF(B34="","",MIN(B34+6,Master!$B$3+364))</f>
        <v/>
      </c>
      <c r="D34" s="33">
        <f>IF(B34="",0,SUMPRODUCT(('Activity Plan'!$K$2:$K$135&lt;=C34)*('Activity Plan'!$L$2:$L$135&gt;=B34)*'Activity Plan'!$N$2:$N$135))</f>
        <v>0</v>
      </c>
      <c r="E34" s="33">
        <f>IF(B34="",0,IFERROR(INDEX('Monthly Cost Summary'!$E$2:$E$13,MATCH(TEXT(B34,"yyyymm"),TEXT('Monthly Cost Summary'!$B$2:$B$13,"yyyymm"),0))/COUNTIFS('Weekly Cash Flow'!$B$5:$B$57,"&gt;="&amp;EOMONTH(B34,-1)+1,'Weekly Cash Flow'!$B$5:$B$57,"&lt;="&amp;EOMONTH(B34,0)),0))</f>
        <v>0</v>
      </c>
      <c r="F34" s="40">
        <f t="shared" si="0"/>
        <v>0</v>
      </c>
      <c r="G34" s="33">
        <f t="shared" si="1"/>
        <v>0</v>
      </c>
    </row>
    <row r="35" spans="1:7" x14ac:dyDescent="0.45">
      <c r="A35" s="38">
        <v>31</v>
      </c>
      <c r="B35" s="41" t="str">
        <f>IF(Master!$B$3="","",Master!$B$3+(30*7))</f>
        <v/>
      </c>
      <c r="C35" s="41" t="str">
        <f>IF(B35="","",MIN(B35+6,Master!$B$3+364))</f>
        <v/>
      </c>
      <c r="D35" s="33">
        <f>IF(B35="",0,SUMPRODUCT(('Activity Plan'!$K$2:$K$135&lt;=C35)*('Activity Plan'!$L$2:$L$135&gt;=B35)*'Activity Plan'!$N$2:$N$135))</f>
        <v>0</v>
      </c>
      <c r="E35" s="33">
        <f>IF(B35="",0,IFERROR(INDEX('Monthly Cost Summary'!$E$2:$E$13,MATCH(TEXT(B35,"yyyymm"),TEXT('Monthly Cost Summary'!$B$2:$B$13,"yyyymm"),0))/COUNTIFS('Weekly Cash Flow'!$B$5:$B$57,"&gt;="&amp;EOMONTH(B35,-1)+1,'Weekly Cash Flow'!$B$5:$B$57,"&lt;="&amp;EOMONTH(B35,0)),0))</f>
        <v>0</v>
      </c>
      <c r="F35" s="40">
        <f t="shared" si="0"/>
        <v>0</v>
      </c>
      <c r="G35" s="33">
        <f t="shared" si="1"/>
        <v>0</v>
      </c>
    </row>
    <row r="36" spans="1:7" x14ac:dyDescent="0.45">
      <c r="A36" s="38">
        <v>32</v>
      </c>
      <c r="B36" s="41" t="str">
        <f>IF(Master!$B$3="","",Master!$B$3+(31*7))</f>
        <v/>
      </c>
      <c r="C36" s="41" t="str">
        <f>IF(B36="","",MIN(B36+6,Master!$B$3+364))</f>
        <v/>
      </c>
      <c r="D36" s="33">
        <f>IF(B36="",0,SUMPRODUCT(('Activity Plan'!$K$2:$K$135&lt;=C36)*('Activity Plan'!$L$2:$L$135&gt;=B36)*'Activity Plan'!$N$2:$N$135))</f>
        <v>0</v>
      </c>
      <c r="E36" s="33">
        <f>IF(B36="",0,IFERROR(INDEX('Monthly Cost Summary'!$E$2:$E$13,MATCH(TEXT(B36,"yyyymm"),TEXT('Monthly Cost Summary'!$B$2:$B$13,"yyyymm"),0))/COUNTIFS('Weekly Cash Flow'!$B$5:$B$57,"&gt;="&amp;EOMONTH(B36,-1)+1,'Weekly Cash Flow'!$B$5:$B$57,"&lt;="&amp;EOMONTH(B36,0)),0))</f>
        <v>0</v>
      </c>
      <c r="F36" s="40">
        <f t="shared" si="0"/>
        <v>0</v>
      </c>
      <c r="G36" s="33">
        <f t="shared" si="1"/>
        <v>0</v>
      </c>
    </row>
    <row r="37" spans="1:7" x14ac:dyDescent="0.45">
      <c r="A37" s="38">
        <v>33</v>
      </c>
      <c r="B37" s="41" t="str">
        <f>IF(Master!$B$3="","",Master!$B$3+(32*7))</f>
        <v/>
      </c>
      <c r="C37" s="41" t="str">
        <f>IF(B37="","",MIN(B37+6,Master!$B$3+364))</f>
        <v/>
      </c>
      <c r="D37" s="33">
        <f>IF(B37="",0,SUMPRODUCT(('Activity Plan'!$K$2:$K$135&lt;=C37)*('Activity Plan'!$L$2:$L$135&gt;=B37)*'Activity Plan'!$N$2:$N$135))</f>
        <v>0</v>
      </c>
      <c r="E37" s="33">
        <f>IF(B37="",0,IFERROR(INDEX('Monthly Cost Summary'!$E$2:$E$13,MATCH(TEXT(B37,"yyyymm"),TEXT('Monthly Cost Summary'!$B$2:$B$13,"yyyymm"),0))/COUNTIFS('Weekly Cash Flow'!$B$5:$B$57,"&gt;="&amp;EOMONTH(B37,-1)+1,'Weekly Cash Flow'!$B$5:$B$57,"&lt;="&amp;EOMONTH(B37,0)),0))</f>
        <v>0</v>
      </c>
      <c r="F37" s="40">
        <f t="shared" ref="F37:F68" si="2">D37+E37</f>
        <v>0</v>
      </c>
      <c r="G37" s="33">
        <f t="shared" si="1"/>
        <v>0</v>
      </c>
    </row>
    <row r="38" spans="1:7" x14ac:dyDescent="0.45">
      <c r="A38" s="38">
        <v>34</v>
      </c>
      <c r="B38" s="41" t="str">
        <f>IF(Master!$B$3="","",Master!$B$3+(33*7))</f>
        <v/>
      </c>
      <c r="C38" s="41" t="str">
        <f>IF(B38="","",MIN(B38+6,Master!$B$3+364))</f>
        <v/>
      </c>
      <c r="D38" s="33">
        <f>IF(B38="",0,SUMPRODUCT(('Activity Plan'!$K$2:$K$135&lt;=C38)*('Activity Plan'!$L$2:$L$135&gt;=B38)*'Activity Plan'!$N$2:$N$135))</f>
        <v>0</v>
      </c>
      <c r="E38" s="33">
        <f>IF(B38="",0,IFERROR(INDEX('Monthly Cost Summary'!$E$2:$E$13,MATCH(TEXT(B38,"yyyymm"),TEXT('Monthly Cost Summary'!$B$2:$B$13,"yyyymm"),0))/COUNTIFS('Weekly Cash Flow'!$B$5:$B$57,"&gt;="&amp;EOMONTH(B38,-1)+1,'Weekly Cash Flow'!$B$5:$B$57,"&lt;="&amp;EOMONTH(B38,0)),0))</f>
        <v>0</v>
      </c>
      <c r="F38" s="40">
        <f t="shared" si="2"/>
        <v>0</v>
      </c>
      <c r="G38" s="33">
        <f t="shared" ref="G38:G69" si="3">G37+F38</f>
        <v>0</v>
      </c>
    </row>
    <row r="39" spans="1:7" x14ac:dyDescent="0.45">
      <c r="A39" s="38">
        <v>35</v>
      </c>
      <c r="B39" s="41" t="str">
        <f>IF(Master!$B$3="","",Master!$B$3+(34*7))</f>
        <v/>
      </c>
      <c r="C39" s="41" t="str">
        <f>IF(B39="","",MIN(B39+6,Master!$B$3+364))</f>
        <v/>
      </c>
      <c r="D39" s="33">
        <f>IF(B39="",0,SUMPRODUCT(('Activity Plan'!$K$2:$K$135&lt;=C39)*('Activity Plan'!$L$2:$L$135&gt;=B39)*'Activity Plan'!$N$2:$N$135))</f>
        <v>0</v>
      </c>
      <c r="E39" s="33">
        <f>IF(B39="",0,IFERROR(INDEX('Monthly Cost Summary'!$E$2:$E$13,MATCH(TEXT(B39,"yyyymm"),TEXT('Monthly Cost Summary'!$B$2:$B$13,"yyyymm"),0))/COUNTIFS('Weekly Cash Flow'!$B$5:$B$57,"&gt;="&amp;EOMONTH(B39,-1)+1,'Weekly Cash Flow'!$B$5:$B$57,"&lt;="&amp;EOMONTH(B39,0)),0))</f>
        <v>0</v>
      </c>
      <c r="F39" s="40">
        <f t="shared" si="2"/>
        <v>0</v>
      </c>
      <c r="G39" s="33">
        <f t="shared" si="3"/>
        <v>0</v>
      </c>
    </row>
    <row r="40" spans="1:7" x14ac:dyDescent="0.45">
      <c r="A40" s="38">
        <v>36</v>
      </c>
      <c r="B40" s="41" t="str">
        <f>IF(Master!$B$3="","",Master!$B$3+(35*7))</f>
        <v/>
      </c>
      <c r="C40" s="41" t="str">
        <f>IF(B40="","",MIN(B40+6,Master!$B$3+364))</f>
        <v/>
      </c>
      <c r="D40" s="33">
        <f>IF(B40="",0,SUMPRODUCT(('Activity Plan'!$K$2:$K$135&lt;=C40)*('Activity Plan'!$L$2:$L$135&gt;=B40)*'Activity Plan'!$N$2:$N$135))</f>
        <v>0</v>
      </c>
      <c r="E40" s="33">
        <f>IF(B40="",0,IFERROR(INDEX('Monthly Cost Summary'!$E$2:$E$13,MATCH(TEXT(B40,"yyyymm"),TEXT('Monthly Cost Summary'!$B$2:$B$13,"yyyymm"),0))/COUNTIFS('Weekly Cash Flow'!$B$5:$B$57,"&gt;="&amp;EOMONTH(B40,-1)+1,'Weekly Cash Flow'!$B$5:$B$57,"&lt;="&amp;EOMONTH(B40,0)),0))</f>
        <v>0</v>
      </c>
      <c r="F40" s="40">
        <f t="shared" si="2"/>
        <v>0</v>
      </c>
      <c r="G40" s="33">
        <f t="shared" si="3"/>
        <v>0</v>
      </c>
    </row>
    <row r="41" spans="1:7" x14ac:dyDescent="0.45">
      <c r="A41" s="38">
        <v>37</v>
      </c>
      <c r="B41" s="41" t="str">
        <f>IF(Master!$B$3="","",Master!$B$3+(36*7))</f>
        <v/>
      </c>
      <c r="C41" s="41" t="str">
        <f>IF(B41="","",MIN(B41+6,Master!$B$3+364))</f>
        <v/>
      </c>
      <c r="D41" s="33">
        <f>IF(B41="",0,SUMPRODUCT(('Activity Plan'!$K$2:$K$135&lt;=C41)*('Activity Plan'!$L$2:$L$135&gt;=B41)*'Activity Plan'!$N$2:$N$135))</f>
        <v>0</v>
      </c>
      <c r="E41" s="33">
        <f>IF(B41="",0,IFERROR(INDEX('Monthly Cost Summary'!$E$2:$E$13,MATCH(TEXT(B41,"yyyymm"),TEXT('Monthly Cost Summary'!$B$2:$B$13,"yyyymm"),0))/COUNTIFS('Weekly Cash Flow'!$B$5:$B$57,"&gt;="&amp;EOMONTH(B41,-1)+1,'Weekly Cash Flow'!$B$5:$B$57,"&lt;="&amp;EOMONTH(B41,0)),0))</f>
        <v>0</v>
      </c>
      <c r="F41" s="40">
        <f t="shared" si="2"/>
        <v>0</v>
      </c>
      <c r="G41" s="33">
        <f t="shared" si="3"/>
        <v>0</v>
      </c>
    </row>
    <row r="42" spans="1:7" x14ac:dyDescent="0.45">
      <c r="A42" s="38">
        <v>38</v>
      </c>
      <c r="B42" s="41" t="str">
        <f>IF(Master!$B$3="","",Master!$B$3+(37*7))</f>
        <v/>
      </c>
      <c r="C42" s="41" t="str">
        <f>IF(B42="","",MIN(B42+6,Master!$B$3+364))</f>
        <v/>
      </c>
      <c r="D42" s="33">
        <f>IF(B42="",0,SUMPRODUCT(('Activity Plan'!$K$2:$K$135&lt;=C42)*('Activity Plan'!$L$2:$L$135&gt;=B42)*'Activity Plan'!$N$2:$N$135))</f>
        <v>0</v>
      </c>
      <c r="E42" s="33">
        <f>IF(B42="",0,IFERROR(INDEX('Monthly Cost Summary'!$E$2:$E$13,MATCH(TEXT(B42,"yyyymm"),TEXT('Monthly Cost Summary'!$B$2:$B$13,"yyyymm"),0))/COUNTIFS('Weekly Cash Flow'!$B$5:$B$57,"&gt;="&amp;EOMONTH(B42,-1)+1,'Weekly Cash Flow'!$B$5:$B$57,"&lt;="&amp;EOMONTH(B42,0)),0))</f>
        <v>0</v>
      </c>
      <c r="F42" s="40">
        <f t="shared" si="2"/>
        <v>0</v>
      </c>
      <c r="G42" s="33">
        <f t="shared" si="3"/>
        <v>0</v>
      </c>
    </row>
    <row r="43" spans="1:7" x14ac:dyDescent="0.45">
      <c r="A43" s="38">
        <v>39</v>
      </c>
      <c r="B43" s="41" t="str">
        <f>IF(Master!$B$3="","",Master!$B$3+(38*7))</f>
        <v/>
      </c>
      <c r="C43" s="41" t="str">
        <f>IF(B43="","",MIN(B43+6,Master!$B$3+364))</f>
        <v/>
      </c>
      <c r="D43" s="33">
        <f>IF(B43="",0,SUMPRODUCT(('Activity Plan'!$K$2:$K$135&lt;=C43)*('Activity Plan'!$L$2:$L$135&gt;=B43)*'Activity Plan'!$N$2:$N$135))</f>
        <v>0</v>
      </c>
      <c r="E43" s="33">
        <f>IF(B43="",0,IFERROR(INDEX('Monthly Cost Summary'!$E$2:$E$13,MATCH(TEXT(B43,"yyyymm"),TEXT('Monthly Cost Summary'!$B$2:$B$13,"yyyymm"),0))/COUNTIFS('Weekly Cash Flow'!$B$5:$B$57,"&gt;="&amp;EOMONTH(B43,-1)+1,'Weekly Cash Flow'!$B$5:$B$57,"&lt;="&amp;EOMONTH(B43,0)),0))</f>
        <v>0</v>
      </c>
      <c r="F43" s="40">
        <f t="shared" si="2"/>
        <v>0</v>
      </c>
      <c r="G43" s="33">
        <f t="shared" si="3"/>
        <v>0</v>
      </c>
    </row>
    <row r="44" spans="1:7" x14ac:dyDescent="0.45">
      <c r="A44" s="38">
        <v>40</v>
      </c>
      <c r="B44" s="41" t="str">
        <f>IF(Master!$B$3="","",Master!$B$3+(39*7))</f>
        <v/>
      </c>
      <c r="C44" s="41" t="str">
        <f>IF(B44="","",MIN(B44+6,Master!$B$3+364))</f>
        <v/>
      </c>
      <c r="D44" s="33">
        <f>IF(B44="",0,SUMPRODUCT(('Activity Plan'!$K$2:$K$135&lt;=C44)*('Activity Plan'!$L$2:$L$135&gt;=B44)*'Activity Plan'!$N$2:$N$135))</f>
        <v>0</v>
      </c>
      <c r="E44" s="33">
        <f>IF(B44="",0,IFERROR(INDEX('Monthly Cost Summary'!$E$2:$E$13,MATCH(TEXT(B44,"yyyymm"),TEXT('Monthly Cost Summary'!$B$2:$B$13,"yyyymm"),0))/COUNTIFS('Weekly Cash Flow'!$B$5:$B$57,"&gt;="&amp;EOMONTH(B44,-1)+1,'Weekly Cash Flow'!$B$5:$B$57,"&lt;="&amp;EOMONTH(B44,0)),0))</f>
        <v>0</v>
      </c>
      <c r="F44" s="40">
        <f t="shared" si="2"/>
        <v>0</v>
      </c>
      <c r="G44" s="33">
        <f t="shared" si="3"/>
        <v>0</v>
      </c>
    </row>
    <row r="45" spans="1:7" x14ac:dyDescent="0.45">
      <c r="A45" s="38">
        <v>41</v>
      </c>
      <c r="B45" s="41" t="str">
        <f>IF(Master!$B$3="","",Master!$B$3+(40*7))</f>
        <v/>
      </c>
      <c r="C45" s="41" t="str">
        <f>IF(B45="","",MIN(B45+6,Master!$B$3+364))</f>
        <v/>
      </c>
      <c r="D45" s="33">
        <f>IF(B45="",0,SUMPRODUCT(('Activity Plan'!$K$2:$K$135&lt;=C45)*('Activity Plan'!$L$2:$L$135&gt;=B45)*'Activity Plan'!$N$2:$N$135))</f>
        <v>0</v>
      </c>
      <c r="E45" s="33">
        <f>IF(B45="",0,IFERROR(INDEX('Monthly Cost Summary'!$E$2:$E$13,MATCH(TEXT(B45,"yyyymm"),TEXT('Monthly Cost Summary'!$B$2:$B$13,"yyyymm"),0))/COUNTIFS('Weekly Cash Flow'!$B$5:$B$57,"&gt;="&amp;EOMONTH(B45,-1)+1,'Weekly Cash Flow'!$B$5:$B$57,"&lt;="&amp;EOMONTH(B45,0)),0))</f>
        <v>0</v>
      </c>
      <c r="F45" s="40">
        <f t="shared" si="2"/>
        <v>0</v>
      </c>
      <c r="G45" s="33">
        <f t="shared" si="3"/>
        <v>0</v>
      </c>
    </row>
    <row r="46" spans="1:7" x14ac:dyDescent="0.45">
      <c r="A46" s="38">
        <v>42</v>
      </c>
      <c r="B46" s="41" t="str">
        <f>IF(Master!$B$3="","",Master!$B$3+(41*7))</f>
        <v/>
      </c>
      <c r="C46" s="41" t="str">
        <f>IF(B46="","",MIN(B46+6,Master!$B$3+364))</f>
        <v/>
      </c>
      <c r="D46" s="33">
        <f>IF(B46="",0,SUMPRODUCT(('Activity Plan'!$K$2:$K$135&lt;=C46)*('Activity Plan'!$L$2:$L$135&gt;=B46)*'Activity Plan'!$N$2:$N$135))</f>
        <v>0</v>
      </c>
      <c r="E46" s="33">
        <f>IF(B46="",0,IFERROR(INDEX('Monthly Cost Summary'!$E$2:$E$13,MATCH(TEXT(B46,"yyyymm"),TEXT('Monthly Cost Summary'!$B$2:$B$13,"yyyymm"),0))/COUNTIFS('Weekly Cash Flow'!$B$5:$B$57,"&gt;="&amp;EOMONTH(B46,-1)+1,'Weekly Cash Flow'!$B$5:$B$57,"&lt;="&amp;EOMONTH(B46,0)),0))</f>
        <v>0</v>
      </c>
      <c r="F46" s="40">
        <f t="shared" si="2"/>
        <v>0</v>
      </c>
      <c r="G46" s="33">
        <f t="shared" si="3"/>
        <v>0</v>
      </c>
    </row>
    <row r="47" spans="1:7" x14ac:dyDescent="0.45">
      <c r="A47" s="38">
        <v>43</v>
      </c>
      <c r="B47" s="41" t="str">
        <f>IF(Master!$B$3="","",Master!$B$3+(42*7))</f>
        <v/>
      </c>
      <c r="C47" s="41" t="str">
        <f>IF(B47="","",MIN(B47+6,Master!$B$3+364))</f>
        <v/>
      </c>
      <c r="D47" s="33">
        <f>IF(B47="",0,SUMPRODUCT(('Activity Plan'!$K$2:$K$135&lt;=C47)*('Activity Plan'!$L$2:$L$135&gt;=B47)*'Activity Plan'!$N$2:$N$135))</f>
        <v>0</v>
      </c>
      <c r="E47" s="33">
        <f>IF(B47="",0,IFERROR(INDEX('Monthly Cost Summary'!$E$2:$E$13,MATCH(TEXT(B47,"yyyymm"),TEXT('Monthly Cost Summary'!$B$2:$B$13,"yyyymm"),0))/COUNTIFS('Weekly Cash Flow'!$B$5:$B$57,"&gt;="&amp;EOMONTH(B47,-1)+1,'Weekly Cash Flow'!$B$5:$B$57,"&lt;="&amp;EOMONTH(B47,0)),0))</f>
        <v>0</v>
      </c>
      <c r="F47" s="40">
        <f t="shared" si="2"/>
        <v>0</v>
      </c>
      <c r="G47" s="33">
        <f t="shared" si="3"/>
        <v>0</v>
      </c>
    </row>
    <row r="48" spans="1:7" x14ac:dyDescent="0.45">
      <c r="A48" s="38">
        <v>44</v>
      </c>
      <c r="B48" s="41" t="str">
        <f>IF(Master!$B$3="","",Master!$B$3+(43*7))</f>
        <v/>
      </c>
      <c r="C48" s="41" t="str">
        <f>IF(B48="","",MIN(B48+6,Master!$B$3+364))</f>
        <v/>
      </c>
      <c r="D48" s="33">
        <f>IF(B48="",0,SUMPRODUCT(('Activity Plan'!$K$2:$K$135&lt;=C48)*('Activity Plan'!$L$2:$L$135&gt;=B48)*'Activity Plan'!$N$2:$N$135))</f>
        <v>0</v>
      </c>
      <c r="E48" s="33">
        <f>IF(B48="",0,IFERROR(INDEX('Monthly Cost Summary'!$E$2:$E$13,MATCH(TEXT(B48,"yyyymm"),TEXT('Monthly Cost Summary'!$B$2:$B$13,"yyyymm"),0))/COUNTIFS('Weekly Cash Flow'!$B$5:$B$57,"&gt;="&amp;EOMONTH(B48,-1)+1,'Weekly Cash Flow'!$B$5:$B$57,"&lt;="&amp;EOMONTH(B48,0)),0))</f>
        <v>0</v>
      </c>
      <c r="F48" s="40">
        <f t="shared" si="2"/>
        <v>0</v>
      </c>
      <c r="G48" s="33">
        <f t="shared" si="3"/>
        <v>0</v>
      </c>
    </row>
    <row r="49" spans="1:7" x14ac:dyDescent="0.45">
      <c r="A49" s="38">
        <v>45</v>
      </c>
      <c r="B49" s="41" t="str">
        <f>IF(Master!$B$3="","",Master!$B$3+(44*7))</f>
        <v/>
      </c>
      <c r="C49" s="41" t="str">
        <f>IF(B49="","",MIN(B49+6,Master!$B$3+364))</f>
        <v/>
      </c>
      <c r="D49" s="33">
        <f>IF(B49="",0,SUMPRODUCT(('Activity Plan'!$K$2:$K$135&lt;=C49)*('Activity Plan'!$L$2:$L$135&gt;=B49)*'Activity Plan'!$N$2:$N$135))</f>
        <v>0</v>
      </c>
      <c r="E49" s="33">
        <f>IF(B49="",0,IFERROR(INDEX('Monthly Cost Summary'!$E$2:$E$13,MATCH(TEXT(B49,"yyyymm"),TEXT('Monthly Cost Summary'!$B$2:$B$13,"yyyymm"),0))/COUNTIFS('Weekly Cash Flow'!$B$5:$B$57,"&gt;="&amp;EOMONTH(B49,-1)+1,'Weekly Cash Flow'!$B$5:$B$57,"&lt;="&amp;EOMONTH(B49,0)),0))</f>
        <v>0</v>
      </c>
      <c r="F49" s="40">
        <f t="shared" si="2"/>
        <v>0</v>
      </c>
      <c r="G49" s="33">
        <f t="shared" si="3"/>
        <v>0</v>
      </c>
    </row>
    <row r="50" spans="1:7" x14ac:dyDescent="0.45">
      <c r="A50" s="38">
        <v>46</v>
      </c>
      <c r="B50" s="41" t="str">
        <f>IF(Master!$B$3="","",Master!$B$3+(45*7))</f>
        <v/>
      </c>
      <c r="C50" s="41" t="str">
        <f>IF(B50="","",MIN(B50+6,Master!$B$3+364))</f>
        <v/>
      </c>
      <c r="D50" s="33">
        <f>IF(B50="",0,SUMPRODUCT(('Activity Plan'!$K$2:$K$135&lt;=C50)*('Activity Plan'!$L$2:$L$135&gt;=B50)*'Activity Plan'!$N$2:$N$135))</f>
        <v>0</v>
      </c>
      <c r="E50" s="33">
        <f>IF(B50="",0,IFERROR(INDEX('Monthly Cost Summary'!$E$2:$E$13,MATCH(TEXT(B50,"yyyymm"),TEXT('Monthly Cost Summary'!$B$2:$B$13,"yyyymm"),0))/COUNTIFS('Weekly Cash Flow'!$B$5:$B$57,"&gt;="&amp;EOMONTH(B50,-1)+1,'Weekly Cash Flow'!$B$5:$B$57,"&lt;="&amp;EOMONTH(B50,0)),0))</f>
        <v>0</v>
      </c>
      <c r="F50" s="40">
        <f t="shared" si="2"/>
        <v>0</v>
      </c>
      <c r="G50" s="33">
        <f t="shared" si="3"/>
        <v>0</v>
      </c>
    </row>
    <row r="51" spans="1:7" x14ac:dyDescent="0.45">
      <c r="A51" s="38">
        <v>47</v>
      </c>
      <c r="B51" s="41" t="str">
        <f>IF(Master!$B$3="","",Master!$B$3+(46*7))</f>
        <v/>
      </c>
      <c r="C51" s="41" t="str">
        <f>IF(B51="","",MIN(B51+6,Master!$B$3+364))</f>
        <v/>
      </c>
      <c r="D51" s="33">
        <f>IF(B51="",0,SUMPRODUCT(('Activity Plan'!$K$2:$K$135&lt;=C51)*('Activity Plan'!$L$2:$L$135&gt;=B51)*'Activity Plan'!$N$2:$N$135))</f>
        <v>0</v>
      </c>
      <c r="E51" s="33">
        <f>IF(B51="",0,IFERROR(INDEX('Monthly Cost Summary'!$E$2:$E$13,MATCH(TEXT(B51,"yyyymm"),TEXT('Monthly Cost Summary'!$B$2:$B$13,"yyyymm"),0))/COUNTIFS('Weekly Cash Flow'!$B$5:$B$57,"&gt;="&amp;EOMONTH(B51,-1)+1,'Weekly Cash Flow'!$B$5:$B$57,"&lt;="&amp;EOMONTH(B51,0)),0))</f>
        <v>0</v>
      </c>
      <c r="F51" s="40">
        <f t="shared" si="2"/>
        <v>0</v>
      </c>
      <c r="G51" s="33">
        <f t="shared" si="3"/>
        <v>0</v>
      </c>
    </row>
    <row r="52" spans="1:7" x14ac:dyDescent="0.45">
      <c r="A52" s="38">
        <v>48</v>
      </c>
      <c r="B52" s="41" t="str">
        <f>IF(Master!$B$3="","",Master!$B$3+(47*7))</f>
        <v/>
      </c>
      <c r="C52" s="41" t="str">
        <f>IF(B52="","",MIN(B52+6,Master!$B$3+364))</f>
        <v/>
      </c>
      <c r="D52" s="33">
        <f>IF(B52="",0,SUMPRODUCT(('Activity Plan'!$K$2:$K$135&lt;=C52)*('Activity Plan'!$L$2:$L$135&gt;=B52)*'Activity Plan'!$N$2:$N$135))</f>
        <v>0</v>
      </c>
      <c r="E52" s="33">
        <f>IF(B52="",0,IFERROR(INDEX('Monthly Cost Summary'!$E$2:$E$13,MATCH(TEXT(B52,"yyyymm"),TEXT('Monthly Cost Summary'!$B$2:$B$13,"yyyymm"),0))/COUNTIFS('Weekly Cash Flow'!$B$5:$B$57,"&gt;="&amp;EOMONTH(B52,-1)+1,'Weekly Cash Flow'!$B$5:$B$57,"&lt;="&amp;EOMONTH(B52,0)),0))</f>
        <v>0</v>
      </c>
      <c r="F52" s="40">
        <f t="shared" si="2"/>
        <v>0</v>
      </c>
      <c r="G52" s="33">
        <f t="shared" si="3"/>
        <v>0</v>
      </c>
    </row>
    <row r="53" spans="1:7" x14ac:dyDescent="0.45">
      <c r="A53" s="38">
        <v>49</v>
      </c>
      <c r="B53" s="41" t="str">
        <f>IF(Master!$B$3="","",Master!$B$3+(48*7))</f>
        <v/>
      </c>
      <c r="C53" s="41" t="str">
        <f>IF(B53="","",MIN(B53+6,Master!$B$3+364))</f>
        <v/>
      </c>
      <c r="D53" s="33">
        <f>IF(B53="",0,SUMPRODUCT(('Activity Plan'!$K$2:$K$135&lt;=C53)*('Activity Plan'!$L$2:$L$135&gt;=B53)*'Activity Plan'!$N$2:$N$135))</f>
        <v>0</v>
      </c>
      <c r="E53" s="33">
        <f>IF(B53="",0,IFERROR(INDEX('Monthly Cost Summary'!$E$2:$E$13,MATCH(TEXT(B53,"yyyymm"),TEXT('Monthly Cost Summary'!$B$2:$B$13,"yyyymm"),0))/COUNTIFS('Weekly Cash Flow'!$B$5:$B$57,"&gt;="&amp;EOMONTH(B53,-1)+1,'Weekly Cash Flow'!$B$5:$B$57,"&lt;="&amp;EOMONTH(B53,0)),0))</f>
        <v>0</v>
      </c>
      <c r="F53" s="40">
        <f t="shared" si="2"/>
        <v>0</v>
      </c>
      <c r="G53" s="33">
        <f t="shared" si="3"/>
        <v>0</v>
      </c>
    </row>
    <row r="54" spans="1:7" x14ac:dyDescent="0.45">
      <c r="A54" s="38">
        <v>50</v>
      </c>
      <c r="B54" s="41" t="str">
        <f>IF(Master!$B$3="","",Master!$B$3+(49*7))</f>
        <v/>
      </c>
      <c r="C54" s="41" t="str">
        <f>IF(B54="","",MIN(B54+6,Master!$B$3+364))</f>
        <v/>
      </c>
      <c r="D54" s="33">
        <f>IF(B54="",0,SUMPRODUCT(('Activity Plan'!$K$2:$K$135&lt;=C54)*('Activity Plan'!$L$2:$L$135&gt;=B54)*'Activity Plan'!$N$2:$N$135))</f>
        <v>0</v>
      </c>
      <c r="E54" s="33">
        <f>IF(B54="",0,IFERROR(INDEX('Monthly Cost Summary'!$E$2:$E$13,MATCH(TEXT(B54,"yyyymm"),TEXT('Monthly Cost Summary'!$B$2:$B$13,"yyyymm"),0))/COUNTIFS('Weekly Cash Flow'!$B$5:$B$57,"&gt;="&amp;EOMONTH(B54,-1)+1,'Weekly Cash Flow'!$B$5:$B$57,"&lt;="&amp;EOMONTH(B54,0)),0))</f>
        <v>0</v>
      </c>
      <c r="F54" s="40">
        <f t="shared" si="2"/>
        <v>0</v>
      </c>
      <c r="G54" s="33">
        <f t="shared" si="3"/>
        <v>0</v>
      </c>
    </row>
    <row r="55" spans="1:7" x14ac:dyDescent="0.45">
      <c r="A55" s="38">
        <v>51</v>
      </c>
      <c r="B55" s="41" t="str">
        <f>IF(Master!$B$3="","",Master!$B$3+(50*7))</f>
        <v/>
      </c>
      <c r="C55" s="41" t="str">
        <f>IF(B55="","",MIN(B55+6,Master!$B$3+364))</f>
        <v/>
      </c>
      <c r="D55" s="33">
        <f>IF(B55="",0,SUMPRODUCT(('Activity Plan'!$K$2:$K$135&lt;=C55)*('Activity Plan'!$L$2:$L$135&gt;=B55)*'Activity Plan'!$N$2:$N$135))</f>
        <v>0</v>
      </c>
      <c r="E55" s="33">
        <f>IF(B55="",0,IFERROR(INDEX('Monthly Cost Summary'!$E$2:$E$13,MATCH(TEXT(B55,"yyyymm"),TEXT('Monthly Cost Summary'!$B$2:$B$13,"yyyymm"),0))/COUNTIFS('Weekly Cash Flow'!$B$5:$B$57,"&gt;="&amp;EOMONTH(B55,-1)+1,'Weekly Cash Flow'!$B$5:$B$57,"&lt;="&amp;EOMONTH(B55,0)),0))</f>
        <v>0</v>
      </c>
      <c r="F55" s="40">
        <f t="shared" si="2"/>
        <v>0</v>
      </c>
      <c r="G55" s="33">
        <f t="shared" si="3"/>
        <v>0</v>
      </c>
    </row>
    <row r="56" spans="1:7" x14ac:dyDescent="0.45">
      <c r="A56" s="38">
        <v>52</v>
      </c>
      <c r="B56" s="41" t="str">
        <f>IF(Master!$B$3="","",Master!$B$3+(51*7))</f>
        <v/>
      </c>
      <c r="C56" s="41" t="str">
        <f>IF(B56="","",MIN(B56+6,Master!$B$3+364))</f>
        <v/>
      </c>
      <c r="D56" s="33">
        <f>IF(B56="",0,SUMPRODUCT(('Activity Plan'!$K$2:$K$135&lt;=C56)*('Activity Plan'!$L$2:$L$135&gt;=B56)*'Activity Plan'!$N$2:$N$135))</f>
        <v>0</v>
      </c>
      <c r="E56" s="33">
        <f>IF(B56="",0,IFERROR(INDEX('Monthly Cost Summary'!$E$2:$E$13,MATCH(TEXT(B56,"yyyymm"),TEXT('Monthly Cost Summary'!$B$2:$B$13,"yyyymm"),0))/COUNTIFS('Weekly Cash Flow'!$B$5:$B$57,"&gt;="&amp;EOMONTH(B56,-1)+1,'Weekly Cash Flow'!$B$5:$B$57,"&lt;="&amp;EOMONTH(B56,0)),0))</f>
        <v>0</v>
      </c>
      <c r="F56" s="40">
        <f t="shared" si="2"/>
        <v>0</v>
      </c>
      <c r="G56" s="33">
        <f t="shared" si="3"/>
        <v>0</v>
      </c>
    </row>
    <row r="57" spans="1:7" x14ac:dyDescent="0.45">
      <c r="A57" s="38">
        <v>53</v>
      </c>
      <c r="B57" s="41" t="str">
        <f>IF(Master!$B$3="","",Master!$B$3+(52*7))</f>
        <v/>
      </c>
      <c r="C57" s="41" t="str">
        <f>IF(B57="","",MIN(B57+6,Master!$B$3+364))</f>
        <v/>
      </c>
      <c r="D57" s="33">
        <f>IF(B57="",0,SUMPRODUCT(('Activity Plan'!$K$2:$K$135&lt;=C57)*('Activity Plan'!$L$2:$L$135&gt;=B57)*'Activity Plan'!$N$2:$N$135))</f>
        <v>0</v>
      </c>
      <c r="E57" s="33">
        <f>IF(B57="",0,IFERROR(INDEX('Monthly Cost Summary'!$E$2:$E$13,MATCH(TEXT(B57,"yyyymm"),TEXT('Monthly Cost Summary'!$B$2:$B$13,"yyyymm"),0))/COUNTIFS('Weekly Cash Flow'!$B$5:$B$57,"&gt;="&amp;EOMONTH(B57,-1)+1,'Weekly Cash Flow'!$B$5:$B$57,"&lt;="&amp;EOMONTH(B57,0)),0))</f>
        <v>0</v>
      </c>
      <c r="F57" s="40">
        <f t="shared" si="2"/>
        <v>0</v>
      </c>
      <c r="G57" s="33">
        <f t="shared" si="3"/>
        <v>0</v>
      </c>
    </row>
    <row r="59" spans="1:7" ht="43.5" customHeight="1" x14ac:dyDescent="0.45">
      <c r="A59" s="5" t="s">
        <v>491</v>
      </c>
      <c r="B59" s="5"/>
      <c r="C59" s="5"/>
      <c r="D59" s="5"/>
      <c r="E59" s="5"/>
      <c r="F59" s="5"/>
      <c r="G59" s="5"/>
    </row>
  </sheetData>
  <mergeCells count="2">
    <mergeCell ref="A2:G2"/>
    <mergeCell ref="A59:G59"/>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5"/>
  <sheetViews>
    <sheetView zoomScaleNormal="100" workbookViewId="0"/>
  </sheetViews>
  <sheetFormatPr defaultColWidth="8.6640625" defaultRowHeight="14.25" x14ac:dyDescent="0.45"/>
  <cols>
    <col min="1" max="1" width="12" customWidth="1"/>
    <col min="2" max="2" width="30" customWidth="1"/>
    <col min="3" max="5" width="20" customWidth="1"/>
    <col min="6" max="6" width="22" customWidth="1"/>
  </cols>
  <sheetData>
    <row r="1" spans="1:6" ht="17.649999999999999" x14ac:dyDescent="0.5">
      <c r="A1" s="4" t="s">
        <v>30</v>
      </c>
      <c r="B1" s="4"/>
      <c r="C1" s="4"/>
      <c r="D1" s="4"/>
      <c r="E1" s="4"/>
      <c r="F1" s="4"/>
    </row>
    <row r="3" spans="1:6" ht="30" customHeight="1" x14ac:dyDescent="0.45">
      <c r="A3" s="15" t="s">
        <v>360</v>
      </c>
      <c r="B3" s="15" t="s">
        <v>361</v>
      </c>
      <c r="C3" s="15" t="s">
        <v>492</v>
      </c>
      <c r="D3" s="15" t="s">
        <v>493</v>
      </c>
      <c r="E3" s="15" t="s">
        <v>494</v>
      </c>
      <c r="F3" s="15" t="s">
        <v>495</v>
      </c>
    </row>
    <row r="4" spans="1:6" x14ac:dyDescent="0.45">
      <c r="A4" s="27">
        <f>Master!A$6</f>
        <v>0</v>
      </c>
      <c r="B4" s="27">
        <f>Master!B$6</f>
        <v>0</v>
      </c>
      <c r="C4" s="34">
        <f>'Labor Budget'!F2</f>
        <v>0</v>
      </c>
      <c r="D4" s="33">
        <f>SUMIFS('Material Budget'!$I$2:$I$11,'Material Budget'!$A$2:$A$11,A4)</f>
        <v>0</v>
      </c>
      <c r="E4" s="33">
        <f>SUMIFS('Service Budget'!$I$2:$I$11,'Service Budget'!$A$2:$A$11,A4)</f>
        <v>0</v>
      </c>
      <c r="F4" s="40">
        <f>SUM(C4:E4)</f>
        <v>0</v>
      </c>
    </row>
    <row r="5" spans="1:6" x14ac:dyDescent="0.45">
      <c r="B5" s="48" t="s">
        <v>462</v>
      </c>
      <c r="C5" s="40">
        <f>SUM(C4:C4)</f>
        <v>0</v>
      </c>
      <c r="D5" s="40">
        <f>SUM(D4:D4)</f>
        <v>0</v>
      </c>
      <c r="E5" s="40">
        <f>SUM(E4:E4)</f>
        <v>0</v>
      </c>
      <c r="F5" s="40">
        <f>SUM(F4:F4)</f>
        <v>0</v>
      </c>
    </row>
    <row r="8" spans="1:6" x14ac:dyDescent="0.45">
      <c r="A8" s="10" t="s">
        <v>496</v>
      </c>
    </row>
    <row r="9" spans="1:6" ht="30" customHeight="1" x14ac:dyDescent="0.45">
      <c r="A9" s="15" t="s">
        <v>47</v>
      </c>
      <c r="B9" s="15" t="s">
        <v>492</v>
      </c>
      <c r="C9" s="15" t="s">
        <v>493</v>
      </c>
      <c r="D9" s="15" t="s">
        <v>494</v>
      </c>
      <c r="E9" s="15" t="s">
        <v>497</v>
      </c>
      <c r="F9" s="15"/>
    </row>
    <row r="10" spans="1:6" x14ac:dyDescent="0.45">
      <c r="A10" s="16" t="s">
        <v>54</v>
      </c>
      <c r="B10" s="34">
        <f>'Labor Budget'!C2</f>
        <v>0</v>
      </c>
      <c r="C10" s="33">
        <f>SUMIFS('Material Budget'!$I$2:$I$11,'Material Budget'!$B$2:$B$11,"T1-*")</f>
        <v>0</v>
      </c>
      <c r="D10" s="33">
        <f>SUMIFS('Service Budget'!$I$2:$I$11,'Service Budget'!$B$2:$B$11,"T1-*")</f>
        <v>0</v>
      </c>
      <c r="E10" s="40">
        <f>SUM(B10:D10)</f>
        <v>0</v>
      </c>
    </row>
    <row r="11" spans="1:6" x14ac:dyDescent="0.45">
      <c r="A11" s="16" t="s">
        <v>177</v>
      </c>
      <c r="B11" s="34">
        <f>'Labor Budget'!D2</f>
        <v>0</v>
      </c>
      <c r="C11" s="33">
        <f>SUMIFS('Material Budget'!$I$2:$I$11,'Material Budget'!$B$2:$B$11,"T2-*")</f>
        <v>0</v>
      </c>
      <c r="D11" s="33">
        <f>SUMIFS('Service Budget'!$I$2:$I$11,'Service Budget'!$B$2:$B$11,"T2-*")</f>
        <v>0</v>
      </c>
      <c r="E11" s="40">
        <f>SUM(B11:D11)</f>
        <v>0</v>
      </c>
    </row>
    <row r="12" spans="1:6" x14ac:dyDescent="0.45">
      <c r="A12" s="16" t="s">
        <v>280</v>
      </c>
      <c r="B12" s="34">
        <f>'Labor Budget'!E2</f>
        <v>0</v>
      </c>
      <c r="C12" s="33">
        <f>SUMIFS('Material Budget'!$I$2:$I$11,'Material Budget'!$B$2:$B$11,"T3-*")</f>
        <v>0</v>
      </c>
      <c r="D12" s="33">
        <f>SUMIFS('Service Budget'!$I$2:$I$11,'Service Budget'!$B$2:$B$11,"T3-*")</f>
        <v>0</v>
      </c>
      <c r="E12" s="40">
        <f>SUM(B12:D12)</f>
        <v>0</v>
      </c>
    </row>
    <row r="13" spans="1:6" x14ac:dyDescent="0.45">
      <c r="A13" s="48" t="s">
        <v>498</v>
      </c>
      <c r="B13" s="40">
        <f>SUM(B10:B12)</f>
        <v>0</v>
      </c>
      <c r="C13" s="40">
        <f>SUM(C10:C12)</f>
        <v>0</v>
      </c>
      <c r="D13" s="40">
        <f>SUM(D10:D12)</f>
        <v>0</v>
      </c>
      <c r="E13" s="40">
        <f>SUM(E10:E12)</f>
        <v>0</v>
      </c>
    </row>
    <row r="15" spans="1:6" ht="30" customHeight="1" x14ac:dyDescent="0.45">
      <c r="A15" s="5" t="s">
        <v>499</v>
      </c>
      <c r="B15" s="5"/>
      <c r="C15" s="5"/>
      <c r="D15" s="5"/>
      <c r="E15" s="5"/>
      <c r="F15" s="5"/>
    </row>
  </sheetData>
  <mergeCells count="2">
    <mergeCell ref="A1:F1"/>
    <mergeCell ref="A15:F15"/>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E140"/>
  <sheetViews>
    <sheetView zoomScaleNormal="100" workbookViewId="0">
      <pane xSplit="4" ySplit="4" topLeftCell="E5" activePane="bottomRight" state="frozen"/>
      <selection pane="topRight" activeCell="E1" sqref="E1"/>
      <selection pane="bottomLeft" activeCell="A5" sqref="A5"/>
      <selection pane="bottomRight"/>
    </sheetView>
  </sheetViews>
  <sheetFormatPr defaultColWidth="8.6640625" defaultRowHeight="14.25" x14ac:dyDescent="0.45"/>
  <cols>
    <col min="1" max="2" width="10" customWidth="1"/>
    <col min="3" max="3" width="30" customWidth="1"/>
    <col min="4" max="4" width="40" customWidth="1"/>
    <col min="5" max="369" width="2.59765625" customWidth="1"/>
  </cols>
  <sheetData>
    <row r="1" spans="1:369" ht="17.649999999999999" x14ac:dyDescent="0.5">
      <c r="A1" s="7" t="s">
        <v>500</v>
      </c>
    </row>
    <row r="2" spans="1:369" ht="30" customHeight="1" x14ac:dyDescent="0.45">
      <c r="A2" s="5" t="s">
        <v>501</v>
      </c>
      <c r="B2" s="5"/>
      <c r="C2" s="5"/>
      <c r="D2" s="5"/>
    </row>
    <row r="4" spans="1:369" ht="13.5" customHeight="1" x14ac:dyDescent="0.45">
      <c r="A4" s="15" t="s">
        <v>360</v>
      </c>
      <c r="B4" s="15" t="s">
        <v>46</v>
      </c>
      <c r="C4" s="15" t="s">
        <v>49</v>
      </c>
      <c r="D4" s="15" t="s">
        <v>48</v>
      </c>
      <c r="E4" s="51">
        <f>Master!$B$3+0</f>
        <v>0</v>
      </c>
      <c r="F4" s="51">
        <f>Master!$B$3+1</f>
        <v>1</v>
      </c>
      <c r="G4" s="51">
        <f>Master!$B$3+2</f>
        <v>2</v>
      </c>
      <c r="H4" s="51">
        <f>Master!$B$3+3</f>
        <v>3</v>
      </c>
      <c r="I4" s="51">
        <f>Master!$B$3+4</f>
        <v>4</v>
      </c>
      <c r="J4" s="51">
        <f>Master!$B$3+5</f>
        <v>5</v>
      </c>
      <c r="K4" s="51">
        <f>Master!$B$3+6</f>
        <v>6</v>
      </c>
      <c r="L4" s="51">
        <f>Master!$B$3+7</f>
        <v>7</v>
      </c>
      <c r="M4" s="51">
        <f>Master!$B$3+8</f>
        <v>8</v>
      </c>
      <c r="N4" s="51">
        <f>Master!$B$3+9</f>
        <v>9</v>
      </c>
      <c r="O4" s="51">
        <f>Master!$B$3+10</f>
        <v>10</v>
      </c>
      <c r="P4" s="51">
        <f>Master!$B$3+11</f>
        <v>11</v>
      </c>
      <c r="Q4" s="51">
        <f>Master!$B$3+12</f>
        <v>12</v>
      </c>
      <c r="R4" s="51">
        <f>Master!$B$3+13</f>
        <v>13</v>
      </c>
      <c r="S4" s="51">
        <f>Master!$B$3+14</f>
        <v>14</v>
      </c>
      <c r="T4" s="51">
        <f>Master!$B$3+15</f>
        <v>15</v>
      </c>
      <c r="U4" s="51">
        <f>Master!$B$3+16</f>
        <v>16</v>
      </c>
      <c r="V4" s="51">
        <f>Master!$B$3+17</f>
        <v>17</v>
      </c>
      <c r="W4" s="51">
        <f>Master!$B$3+18</f>
        <v>18</v>
      </c>
      <c r="X4" s="51">
        <f>Master!$B$3+19</f>
        <v>19</v>
      </c>
      <c r="Y4" s="51">
        <f>Master!$B$3+20</f>
        <v>20</v>
      </c>
      <c r="Z4" s="51">
        <f>Master!$B$3+21</f>
        <v>21</v>
      </c>
      <c r="AA4" s="51">
        <f>Master!$B$3+22</f>
        <v>22</v>
      </c>
      <c r="AB4" s="51">
        <f>Master!$B$3+23</f>
        <v>23</v>
      </c>
      <c r="AC4" s="51">
        <f>Master!$B$3+24</f>
        <v>24</v>
      </c>
      <c r="AD4" s="51">
        <f>Master!$B$3+25</f>
        <v>25</v>
      </c>
      <c r="AE4" s="51">
        <f>Master!$B$3+26</f>
        <v>26</v>
      </c>
      <c r="AF4" s="51">
        <f>Master!$B$3+27</f>
        <v>27</v>
      </c>
      <c r="AG4" s="51">
        <f>Master!$B$3+28</f>
        <v>28</v>
      </c>
      <c r="AH4" s="51">
        <f>Master!$B$3+29</f>
        <v>29</v>
      </c>
      <c r="AI4" s="51">
        <f>Master!$B$3+30</f>
        <v>30</v>
      </c>
      <c r="AJ4" s="51">
        <f>Master!$B$3+31</f>
        <v>31</v>
      </c>
      <c r="AK4" s="51">
        <f>Master!$B$3+32</f>
        <v>32</v>
      </c>
      <c r="AL4" s="51">
        <f>Master!$B$3+33</f>
        <v>33</v>
      </c>
      <c r="AM4" s="51">
        <f>Master!$B$3+34</f>
        <v>34</v>
      </c>
      <c r="AN4" s="51">
        <f>Master!$B$3+35</f>
        <v>35</v>
      </c>
      <c r="AO4" s="51">
        <f>Master!$B$3+36</f>
        <v>36</v>
      </c>
      <c r="AP4" s="51">
        <f>Master!$B$3+37</f>
        <v>37</v>
      </c>
      <c r="AQ4" s="51">
        <f>Master!$B$3+38</f>
        <v>38</v>
      </c>
      <c r="AR4" s="51">
        <f>Master!$B$3+39</f>
        <v>39</v>
      </c>
      <c r="AS4" s="51">
        <f>Master!$B$3+40</f>
        <v>40</v>
      </c>
      <c r="AT4" s="51">
        <f>Master!$B$3+41</f>
        <v>41</v>
      </c>
      <c r="AU4" s="51">
        <f>Master!$B$3+42</f>
        <v>42</v>
      </c>
      <c r="AV4" s="51">
        <f>Master!$B$3+43</f>
        <v>43</v>
      </c>
      <c r="AW4" s="51">
        <f>Master!$B$3+44</f>
        <v>44</v>
      </c>
      <c r="AX4" s="51">
        <f>Master!$B$3+45</f>
        <v>45</v>
      </c>
      <c r="AY4" s="51">
        <f>Master!$B$3+46</f>
        <v>46</v>
      </c>
      <c r="AZ4" s="51">
        <f>Master!$B$3+47</f>
        <v>47</v>
      </c>
      <c r="BA4" s="51">
        <f>Master!$B$3+48</f>
        <v>48</v>
      </c>
      <c r="BB4" s="51">
        <f>Master!$B$3+49</f>
        <v>49</v>
      </c>
      <c r="BC4" s="51">
        <f>Master!$B$3+50</f>
        <v>50</v>
      </c>
      <c r="BD4" s="51">
        <f>Master!$B$3+51</f>
        <v>51</v>
      </c>
      <c r="BE4" s="51">
        <f>Master!$B$3+52</f>
        <v>52</v>
      </c>
      <c r="BF4" s="51">
        <f>Master!$B$3+53</f>
        <v>53</v>
      </c>
      <c r="BG4" s="51">
        <f>Master!$B$3+54</f>
        <v>54</v>
      </c>
      <c r="BH4" s="51">
        <f>Master!$B$3+55</f>
        <v>55</v>
      </c>
      <c r="BI4" s="51">
        <f>Master!$B$3+56</f>
        <v>56</v>
      </c>
      <c r="BJ4" s="51">
        <f>Master!$B$3+57</f>
        <v>57</v>
      </c>
      <c r="BK4" s="51">
        <f>Master!$B$3+58</f>
        <v>58</v>
      </c>
      <c r="BL4" s="51">
        <f>Master!$B$3+59</f>
        <v>59</v>
      </c>
      <c r="BM4" s="51">
        <f>Master!$B$3+60</f>
        <v>60</v>
      </c>
      <c r="BN4" s="51">
        <f>Master!$B$3+61</f>
        <v>61</v>
      </c>
      <c r="BO4" s="51">
        <f>Master!$B$3+62</f>
        <v>62</v>
      </c>
      <c r="BP4" s="51">
        <f>Master!$B$3+63</f>
        <v>63</v>
      </c>
      <c r="BQ4" s="51">
        <f>Master!$B$3+64</f>
        <v>64</v>
      </c>
      <c r="BR4" s="51">
        <f>Master!$B$3+65</f>
        <v>65</v>
      </c>
      <c r="BS4" s="51">
        <f>Master!$B$3+66</f>
        <v>66</v>
      </c>
      <c r="BT4" s="51">
        <f>Master!$B$3+67</f>
        <v>67</v>
      </c>
      <c r="BU4" s="51">
        <f>Master!$B$3+68</f>
        <v>68</v>
      </c>
      <c r="BV4" s="51">
        <f>Master!$B$3+69</f>
        <v>69</v>
      </c>
      <c r="BW4" s="51">
        <f>Master!$B$3+70</f>
        <v>70</v>
      </c>
      <c r="BX4" s="51">
        <f>Master!$B$3+71</f>
        <v>71</v>
      </c>
      <c r="BY4" s="51">
        <f>Master!$B$3+72</f>
        <v>72</v>
      </c>
      <c r="BZ4" s="51">
        <f>Master!$B$3+73</f>
        <v>73</v>
      </c>
      <c r="CA4" s="51">
        <f>Master!$B$3+74</f>
        <v>74</v>
      </c>
      <c r="CB4" s="51">
        <f>Master!$B$3+75</f>
        <v>75</v>
      </c>
      <c r="CC4" s="51">
        <f>Master!$B$3+76</f>
        <v>76</v>
      </c>
      <c r="CD4" s="51">
        <f>Master!$B$3+77</f>
        <v>77</v>
      </c>
      <c r="CE4" s="51">
        <f>Master!$B$3+78</f>
        <v>78</v>
      </c>
      <c r="CF4" s="51">
        <f>Master!$B$3+79</f>
        <v>79</v>
      </c>
      <c r="CG4" s="51">
        <f>Master!$B$3+80</f>
        <v>80</v>
      </c>
      <c r="CH4" s="51">
        <f>Master!$B$3+81</f>
        <v>81</v>
      </c>
      <c r="CI4" s="51">
        <f>Master!$B$3+82</f>
        <v>82</v>
      </c>
      <c r="CJ4" s="51">
        <f>Master!$B$3+83</f>
        <v>83</v>
      </c>
      <c r="CK4" s="51">
        <f>Master!$B$3+84</f>
        <v>84</v>
      </c>
      <c r="CL4" s="51">
        <f>Master!$B$3+85</f>
        <v>85</v>
      </c>
      <c r="CM4" s="51">
        <f>Master!$B$3+86</f>
        <v>86</v>
      </c>
      <c r="CN4" s="51">
        <f>Master!$B$3+87</f>
        <v>87</v>
      </c>
      <c r="CO4" s="51">
        <f>Master!$B$3+88</f>
        <v>88</v>
      </c>
      <c r="CP4" s="51">
        <f>Master!$B$3+89</f>
        <v>89</v>
      </c>
      <c r="CQ4" s="51">
        <f>Master!$B$3+90</f>
        <v>90</v>
      </c>
      <c r="CR4" s="51">
        <f>Master!$B$3+91</f>
        <v>91</v>
      </c>
      <c r="CS4" s="51">
        <f>Master!$B$3+92</f>
        <v>92</v>
      </c>
      <c r="CT4" s="51">
        <f>Master!$B$3+93</f>
        <v>93</v>
      </c>
      <c r="CU4" s="51">
        <f>Master!$B$3+94</f>
        <v>94</v>
      </c>
      <c r="CV4" s="51">
        <f>Master!$B$3+95</f>
        <v>95</v>
      </c>
      <c r="CW4" s="51">
        <f>Master!$B$3+96</f>
        <v>96</v>
      </c>
      <c r="CX4" s="51">
        <f>Master!$B$3+97</f>
        <v>97</v>
      </c>
      <c r="CY4" s="51">
        <f>Master!$B$3+98</f>
        <v>98</v>
      </c>
      <c r="CZ4" s="51">
        <f>Master!$B$3+99</f>
        <v>99</v>
      </c>
      <c r="DA4" s="51">
        <f>Master!$B$3+100</f>
        <v>100</v>
      </c>
      <c r="DB4" s="51">
        <f>Master!$B$3+101</f>
        <v>101</v>
      </c>
      <c r="DC4" s="51">
        <f>Master!$B$3+102</f>
        <v>102</v>
      </c>
      <c r="DD4" s="51">
        <f>Master!$B$3+103</f>
        <v>103</v>
      </c>
      <c r="DE4" s="51">
        <f>Master!$B$3+104</f>
        <v>104</v>
      </c>
      <c r="DF4" s="51">
        <f>Master!$B$3+105</f>
        <v>105</v>
      </c>
      <c r="DG4" s="51">
        <f>Master!$B$3+106</f>
        <v>106</v>
      </c>
      <c r="DH4" s="51">
        <f>Master!$B$3+107</f>
        <v>107</v>
      </c>
      <c r="DI4" s="51">
        <f>Master!$B$3+108</f>
        <v>108</v>
      </c>
      <c r="DJ4" s="51">
        <f>Master!$B$3+109</f>
        <v>109</v>
      </c>
      <c r="DK4" s="51">
        <f>Master!$B$3+110</f>
        <v>110</v>
      </c>
      <c r="DL4" s="51">
        <f>Master!$B$3+111</f>
        <v>111</v>
      </c>
      <c r="DM4" s="51">
        <f>Master!$B$3+112</f>
        <v>112</v>
      </c>
      <c r="DN4" s="51">
        <f>Master!$B$3+113</f>
        <v>113</v>
      </c>
      <c r="DO4" s="51">
        <f>Master!$B$3+114</f>
        <v>114</v>
      </c>
      <c r="DP4" s="51">
        <f>Master!$B$3+115</f>
        <v>115</v>
      </c>
      <c r="DQ4" s="51">
        <f>Master!$B$3+116</f>
        <v>116</v>
      </c>
      <c r="DR4" s="51">
        <f>Master!$B$3+117</f>
        <v>117</v>
      </c>
      <c r="DS4" s="51">
        <f>Master!$B$3+118</f>
        <v>118</v>
      </c>
      <c r="DT4" s="51">
        <f>Master!$B$3+119</f>
        <v>119</v>
      </c>
      <c r="DU4" s="51">
        <f>Master!$B$3+120</f>
        <v>120</v>
      </c>
      <c r="DV4" s="51">
        <f>Master!$B$3+121</f>
        <v>121</v>
      </c>
      <c r="DW4" s="51">
        <f>Master!$B$3+122</f>
        <v>122</v>
      </c>
      <c r="DX4" s="51">
        <f>Master!$B$3+123</f>
        <v>123</v>
      </c>
      <c r="DY4" s="51">
        <f>Master!$B$3+124</f>
        <v>124</v>
      </c>
      <c r="DZ4" s="51">
        <f>Master!$B$3+125</f>
        <v>125</v>
      </c>
      <c r="EA4" s="51">
        <f>Master!$B$3+126</f>
        <v>126</v>
      </c>
      <c r="EB4" s="51">
        <f>Master!$B$3+127</f>
        <v>127</v>
      </c>
      <c r="EC4" s="51">
        <f>Master!$B$3+128</f>
        <v>128</v>
      </c>
      <c r="ED4" s="51">
        <f>Master!$B$3+129</f>
        <v>129</v>
      </c>
      <c r="EE4" s="51">
        <f>Master!$B$3+130</f>
        <v>130</v>
      </c>
      <c r="EF4" s="51">
        <f>Master!$B$3+131</f>
        <v>131</v>
      </c>
      <c r="EG4" s="51">
        <f>Master!$B$3+132</f>
        <v>132</v>
      </c>
      <c r="EH4" s="51">
        <f>Master!$B$3+133</f>
        <v>133</v>
      </c>
      <c r="EI4" s="51">
        <f>Master!$B$3+134</f>
        <v>134</v>
      </c>
      <c r="EJ4" s="51">
        <f>Master!$B$3+135</f>
        <v>135</v>
      </c>
      <c r="EK4" s="51">
        <f>Master!$B$3+136</f>
        <v>136</v>
      </c>
      <c r="EL4" s="51">
        <f>Master!$B$3+137</f>
        <v>137</v>
      </c>
      <c r="EM4" s="51">
        <f>Master!$B$3+138</f>
        <v>138</v>
      </c>
      <c r="EN4" s="51">
        <f>Master!$B$3+139</f>
        <v>139</v>
      </c>
      <c r="EO4" s="51">
        <f>Master!$B$3+140</f>
        <v>140</v>
      </c>
      <c r="EP4" s="51">
        <f>Master!$B$3+141</f>
        <v>141</v>
      </c>
      <c r="EQ4" s="51">
        <f>Master!$B$3+142</f>
        <v>142</v>
      </c>
      <c r="ER4" s="51">
        <f>Master!$B$3+143</f>
        <v>143</v>
      </c>
      <c r="ES4" s="51">
        <f>Master!$B$3+144</f>
        <v>144</v>
      </c>
      <c r="ET4" s="51">
        <f>Master!$B$3+145</f>
        <v>145</v>
      </c>
      <c r="EU4" s="51">
        <f>Master!$B$3+146</f>
        <v>146</v>
      </c>
      <c r="EV4" s="51">
        <f>Master!$B$3+147</f>
        <v>147</v>
      </c>
      <c r="EW4" s="51">
        <f>Master!$B$3+148</f>
        <v>148</v>
      </c>
      <c r="EX4" s="51">
        <f>Master!$B$3+149</f>
        <v>149</v>
      </c>
      <c r="EY4" s="51">
        <f>Master!$B$3+150</f>
        <v>150</v>
      </c>
      <c r="EZ4" s="51">
        <f>Master!$B$3+151</f>
        <v>151</v>
      </c>
      <c r="FA4" s="51">
        <f>Master!$B$3+152</f>
        <v>152</v>
      </c>
      <c r="FB4" s="51">
        <f>Master!$B$3+153</f>
        <v>153</v>
      </c>
      <c r="FC4" s="51">
        <f>Master!$B$3+154</f>
        <v>154</v>
      </c>
      <c r="FD4" s="51">
        <f>Master!$B$3+155</f>
        <v>155</v>
      </c>
      <c r="FE4" s="51">
        <f>Master!$B$3+156</f>
        <v>156</v>
      </c>
      <c r="FF4" s="51">
        <f>Master!$B$3+157</f>
        <v>157</v>
      </c>
      <c r="FG4" s="51">
        <f>Master!$B$3+158</f>
        <v>158</v>
      </c>
      <c r="FH4" s="51">
        <f>Master!$B$3+159</f>
        <v>159</v>
      </c>
      <c r="FI4" s="51">
        <f>Master!$B$3+160</f>
        <v>160</v>
      </c>
      <c r="FJ4" s="51">
        <f>Master!$B$3+161</f>
        <v>161</v>
      </c>
      <c r="FK4" s="51">
        <f>Master!$B$3+162</f>
        <v>162</v>
      </c>
      <c r="FL4" s="51">
        <f>Master!$B$3+163</f>
        <v>163</v>
      </c>
      <c r="FM4" s="51">
        <f>Master!$B$3+164</f>
        <v>164</v>
      </c>
      <c r="FN4" s="51">
        <f>Master!$B$3+165</f>
        <v>165</v>
      </c>
      <c r="FO4" s="51">
        <f>Master!$B$3+166</f>
        <v>166</v>
      </c>
      <c r="FP4" s="51">
        <f>Master!$B$3+167</f>
        <v>167</v>
      </c>
      <c r="FQ4" s="51">
        <f>Master!$B$3+168</f>
        <v>168</v>
      </c>
      <c r="FR4" s="51">
        <f>Master!$B$3+169</f>
        <v>169</v>
      </c>
      <c r="FS4" s="51">
        <f>Master!$B$3+170</f>
        <v>170</v>
      </c>
      <c r="FT4" s="51">
        <f>Master!$B$3+171</f>
        <v>171</v>
      </c>
      <c r="FU4" s="51">
        <f>Master!$B$3+172</f>
        <v>172</v>
      </c>
      <c r="FV4" s="51">
        <f>Master!$B$3+173</f>
        <v>173</v>
      </c>
      <c r="FW4" s="51">
        <f>Master!$B$3+174</f>
        <v>174</v>
      </c>
      <c r="FX4" s="51">
        <f>Master!$B$3+175</f>
        <v>175</v>
      </c>
      <c r="FY4" s="51">
        <f>Master!$B$3+176</f>
        <v>176</v>
      </c>
      <c r="FZ4" s="51">
        <f>Master!$B$3+177</f>
        <v>177</v>
      </c>
      <c r="GA4" s="51">
        <f>Master!$B$3+178</f>
        <v>178</v>
      </c>
      <c r="GB4" s="51">
        <f>Master!$B$3+179</f>
        <v>179</v>
      </c>
      <c r="GC4" s="51">
        <f>Master!$B$3+180</f>
        <v>180</v>
      </c>
      <c r="GD4" s="51">
        <f>Master!$B$3+181</f>
        <v>181</v>
      </c>
      <c r="GE4" s="51">
        <f>Master!$B$3+182</f>
        <v>182</v>
      </c>
      <c r="GF4" s="51">
        <f>Master!$B$3+183</f>
        <v>183</v>
      </c>
      <c r="GG4" s="51">
        <f>Master!$B$3+184</f>
        <v>184</v>
      </c>
      <c r="GH4" s="51">
        <f>Master!$B$3+185</f>
        <v>185</v>
      </c>
      <c r="GI4" s="51">
        <f>Master!$B$3+186</f>
        <v>186</v>
      </c>
      <c r="GJ4" s="51">
        <f>Master!$B$3+187</f>
        <v>187</v>
      </c>
      <c r="GK4" s="51">
        <f>Master!$B$3+188</f>
        <v>188</v>
      </c>
      <c r="GL4" s="51">
        <f>Master!$B$3+189</f>
        <v>189</v>
      </c>
      <c r="GM4" s="51">
        <f>Master!$B$3+190</f>
        <v>190</v>
      </c>
      <c r="GN4" s="51">
        <f>Master!$B$3+191</f>
        <v>191</v>
      </c>
      <c r="GO4" s="51">
        <f>Master!$B$3+192</f>
        <v>192</v>
      </c>
      <c r="GP4" s="51">
        <f>Master!$B$3+193</f>
        <v>193</v>
      </c>
      <c r="GQ4" s="51">
        <f>Master!$B$3+194</f>
        <v>194</v>
      </c>
      <c r="GR4" s="51">
        <f>Master!$B$3+195</f>
        <v>195</v>
      </c>
      <c r="GS4" s="51">
        <f>Master!$B$3+196</f>
        <v>196</v>
      </c>
      <c r="GT4" s="51">
        <f>Master!$B$3+197</f>
        <v>197</v>
      </c>
      <c r="GU4" s="51">
        <f>Master!$B$3+198</f>
        <v>198</v>
      </c>
      <c r="GV4" s="51">
        <f>Master!$B$3+199</f>
        <v>199</v>
      </c>
      <c r="GW4" s="51">
        <f>Master!$B$3+200</f>
        <v>200</v>
      </c>
      <c r="GX4" s="51">
        <f>Master!$B$3+201</f>
        <v>201</v>
      </c>
      <c r="GY4" s="51">
        <f>Master!$B$3+202</f>
        <v>202</v>
      </c>
      <c r="GZ4" s="51">
        <f>Master!$B$3+203</f>
        <v>203</v>
      </c>
      <c r="HA4" s="51">
        <f>Master!$B$3+204</f>
        <v>204</v>
      </c>
      <c r="HB4" s="51">
        <f>Master!$B$3+205</f>
        <v>205</v>
      </c>
      <c r="HC4" s="51">
        <f>Master!$B$3+206</f>
        <v>206</v>
      </c>
      <c r="HD4" s="51">
        <f>Master!$B$3+207</f>
        <v>207</v>
      </c>
      <c r="HE4" s="51">
        <f>Master!$B$3+208</f>
        <v>208</v>
      </c>
      <c r="HF4" s="51">
        <f>Master!$B$3+209</f>
        <v>209</v>
      </c>
      <c r="HG4" s="51">
        <f>Master!$B$3+210</f>
        <v>210</v>
      </c>
      <c r="HH4" s="51">
        <f>Master!$B$3+211</f>
        <v>211</v>
      </c>
      <c r="HI4" s="51">
        <f>Master!$B$3+212</f>
        <v>212</v>
      </c>
      <c r="HJ4" s="51">
        <f>Master!$B$3+213</f>
        <v>213</v>
      </c>
      <c r="HK4" s="51">
        <f>Master!$B$3+214</f>
        <v>214</v>
      </c>
      <c r="HL4" s="51">
        <f>Master!$B$3+215</f>
        <v>215</v>
      </c>
      <c r="HM4" s="51">
        <f>Master!$B$3+216</f>
        <v>216</v>
      </c>
      <c r="HN4" s="51">
        <f>Master!$B$3+217</f>
        <v>217</v>
      </c>
      <c r="HO4" s="51">
        <f>Master!$B$3+218</f>
        <v>218</v>
      </c>
      <c r="HP4" s="51">
        <f>Master!$B$3+219</f>
        <v>219</v>
      </c>
      <c r="HQ4" s="51">
        <f>Master!$B$3+220</f>
        <v>220</v>
      </c>
      <c r="HR4" s="51">
        <f>Master!$B$3+221</f>
        <v>221</v>
      </c>
      <c r="HS4" s="51">
        <f>Master!$B$3+222</f>
        <v>222</v>
      </c>
      <c r="HT4" s="51">
        <f>Master!$B$3+223</f>
        <v>223</v>
      </c>
      <c r="HU4" s="51">
        <f>Master!$B$3+224</f>
        <v>224</v>
      </c>
      <c r="HV4" s="51">
        <f>Master!$B$3+225</f>
        <v>225</v>
      </c>
      <c r="HW4" s="51">
        <f>Master!$B$3+226</f>
        <v>226</v>
      </c>
      <c r="HX4" s="51">
        <f>Master!$B$3+227</f>
        <v>227</v>
      </c>
      <c r="HY4" s="51">
        <f>Master!$B$3+228</f>
        <v>228</v>
      </c>
      <c r="HZ4" s="51">
        <f>Master!$B$3+229</f>
        <v>229</v>
      </c>
      <c r="IA4" s="51">
        <f>Master!$B$3+230</f>
        <v>230</v>
      </c>
      <c r="IB4" s="51">
        <f>Master!$B$3+231</f>
        <v>231</v>
      </c>
      <c r="IC4" s="51">
        <f>Master!$B$3+232</f>
        <v>232</v>
      </c>
      <c r="ID4" s="51">
        <f>Master!$B$3+233</f>
        <v>233</v>
      </c>
      <c r="IE4" s="51">
        <f>Master!$B$3+234</f>
        <v>234</v>
      </c>
      <c r="IF4" s="51">
        <f>Master!$B$3+235</f>
        <v>235</v>
      </c>
      <c r="IG4" s="51">
        <f>Master!$B$3+236</f>
        <v>236</v>
      </c>
      <c r="IH4" s="51">
        <f>Master!$B$3+237</f>
        <v>237</v>
      </c>
      <c r="II4" s="51">
        <f>Master!$B$3+238</f>
        <v>238</v>
      </c>
      <c r="IJ4" s="51">
        <f>Master!$B$3+239</f>
        <v>239</v>
      </c>
      <c r="IK4" s="51">
        <f>Master!$B$3+240</f>
        <v>240</v>
      </c>
      <c r="IL4" s="51">
        <f>Master!$B$3+241</f>
        <v>241</v>
      </c>
      <c r="IM4" s="51">
        <f>Master!$B$3+242</f>
        <v>242</v>
      </c>
      <c r="IN4" s="51">
        <f>Master!$B$3+243</f>
        <v>243</v>
      </c>
      <c r="IO4" s="51">
        <f>Master!$B$3+244</f>
        <v>244</v>
      </c>
      <c r="IP4" s="51">
        <f>Master!$B$3+245</f>
        <v>245</v>
      </c>
      <c r="IQ4" s="51">
        <f>Master!$B$3+246</f>
        <v>246</v>
      </c>
      <c r="IR4" s="51">
        <f>Master!$B$3+247</f>
        <v>247</v>
      </c>
      <c r="IS4" s="51">
        <f>Master!$B$3+248</f>
        <v>248</v>
      </c>
      <c r="IT4" s="51">
        <f>Master!$B$3+249</f>
        <v>249</v>
      </c>
      <c r="IU4" s="51">
        <f>Master!$B$3+250</f>
        <v>250</v>
      </c>
      <c r="IV4" s="51">
        <f>Master!$B$3+251</f>
        <v>251</v>
      </c>
      <c r="IW4" s="51">
        <f>Master!$B$3+252</f>
        <v>252</v>
      </c>
      <c r="IX4" s="51">
        <f>Master!$B$3+253</f>
        <v>253</v>
      </c>
      <c r="IY4" s="51">
        <f>Master!$B$3+254</f>
        <v>254</v>
      </c>
      <c r="IZ4" s="51">
        <f>Master!$B$3+255</f>
        <v>255</v>
      </c>
      <c r="JA4" s="51">
        <f>Master!$B$3+256</f>
        <v>256</v>
      </c>
      <c r="JB4" s="51">
        <f>Master!$B$3+257</f>
        <v>257</v>
      </c>
      <c r="JC4" s="51">
        <f>Master!$B$3+258</f>
        <v>258</v>
      </c>
      <c r="JD4" s="51">
        <f>Master!$B$3+259</f>
        <v>259</v>
      </c>
      <c r="JE4" s="51">
        <f>Master!$B$3+260</f>
        <v>260</v>
      </c>
      <c r="JF4" s="51">
        <f>Master!$B$3+261</f>
        <v>261</v>
      </c>
      <c r="JG4" s="51">
        <f>Master!$B$3+262</f>
        <v>262</v>
      </c>
      <c r="JH4" s="51">
        <f>Master!$B$3+263</f>
        <v>263</v>
      </c>
      <c r="JI4" s="51">
        <f>Master!$B$3+264</f>
        <v>264</v>
      </c>
      <c r="JJ4" s="51">
        <f>Master!$B$3+265</f>
        <v>265</v>
      </c>
      <c r="JK4" s="51">
        <f>Master!$B$3+266</f>
        <v>266</v>
      </c>
      <c r="JL4" s="51">
        <f>Master!$B$3+267</f>
        <v>267</v>
      </c>
      <c r="JM4" s="51">
        <f>Master!$B$3+268</f>
        <v>268</v>
      </c>
      <c r="JN4" s="51">
        <f>Master!$B$3+269</f>
        <v>269</v>
      </c>
      <c r="JO4" s="51">
        <f>Master!$B$3+270</f>
        <v>270</v>
      </c>
      <c r="JP4" s="51">
        <f>Master!$B$3+271</f>
        <v>271</v>
      </c>
      <c r="JQ4" s="51">
        <f>Master!$B$3+272</f>
        <v>272</v>
      </c>
      <c r="JR4" s="51">
        <f>Master!$B$3+273</f>
        <v>273</v>
      </c>
      <c r="JS4" s="51">
        <f>Master!$B$3+274</f>
        <v>274</v>
      </c>
      <c r="JT4" s="51">
        <f>Master!$B$3+275</f>
        <v>275</v>
      </c>
      <c r="JU4" s="51">
        <f>Master!$B$3+276</f>
        <v>276</v>
      </c>
      <c r="JV4" s="51">
        <f>Master!$B$3+277</f>
        <v>277</v>
      </c>
      <c r="JW4" s="51">
        <f>Master!$B$3+278</f>
        <v>278</v>
      </c>
      <c r="JX4" s="51">
        <f>Master!$B$3+279</f>
        <v>279</v>
      </c>
      <c r="JY4" s="51">
        <f>Master!$B$3+280</f>
        <v>280</v>
      </c>
      <c r="JZ4" s="51">
        <f>Master!$B$3+281</f>
        <v>281</v>
      </c>
      <c r="KA4" s="51">
        <f>Master!$B$3+282</f>
        <v>282</v>
      </c>
      <c r="KB4" s="51">
        <f>Master!$B$3+283</f>
        <v>283</v>
      </c>
      <c r="KC4" s="51">
        <f>Master!$B$3+284</f>
        <v>284</v>
      </c>
      <c r="KD4" s="51">
        <f>Master!$B$3+285</f>
        <v>285</v>
      </c>
      <c r="KE4" s="51">
        <f>Master!$B$3+286</f>
        <v>286</v>
      </c>
      <c r="KF4" s="51">
        <f>Master!$B$3+287</f>
        <v>287</v>
      </c>
      <c r="KG4" s="51">
        <f>Master!$B$3+288</f>
        <v>288</v>
      </c>
      <c r="KH4" s="51">
        <f>Master!$B$3+289</f>
        <v>289</v>
      </c>
      <c r="KI4" s="51">
        <f>Master!$B$3+290</f>
        <v>290</v>
      </c>
      <c r="KJ4" s="51">
        <f>Master!$B$3+291</f>
        <v>291</v>
      </c>
      <c r="KK4" s="51">
        <f>Master!$B$3+292</f>
        <v>292</v>
      </c>
      <c r="KL4" s="51">
        <f>Master!$B$3+293</f>
        <v>293</v>
      </c>
      <c r="KM4" s="51">
        <f>Master!$B$3+294</f>
        <v>294</v>
      </c>
      <c r="KN4" s="51">
        <f>Master!$B$3+295</f>
        <v>295</v>
      </c>
      <c r="KO4" s="51">
        <f>Master!$B$3+296</f>
        <v>296</v>
      </c>
      <c r="KP4" s="51">
        <f>Master!$B$3+297</f>
        <v>297</v>
      </c>
      <c r="KQ4" s="51">
        <f>Master!$B$3+298</f>
        <v>298</v>
      </c>
      <c r="KR4" s="51">
        <f>Master!$B$3+299</f>
        <v>299</v>
      </c>
      <c r="KS4" s="51">
        <f>Master!$B$3+300</f>
        <v>300</v>
      </c>
      <c r="KT4" s="51">
        <f>Master!$B$3+301</f>
        <v>301</v>
      </c>
      <c r="KU4" s="51">
        <f>Master!$B$3+302</f>
        <v>302</v>
      </c>
      <c r="KV4" s="51">
        <f>Master!$B$3+303</f>
        <v>303</v>
      </c>
      <c r="KW4" s="51">
        <f>Master!$B$3+304</f>
        <v>304</v>
      </c>
      <c r="KX4" s="51">
        <f>Master!$B$3+305</f>
        <v>305</v>
      </c>
      <c r="KY4" s="51">
        <f>Master!$B$3+306</f>
        <v>306</v>
      </c>
      <c r="KZ4" s="51">
        <f>Master!$B$3+307</f>
        <v>307</v>
      </c>
      <c r="LA4" s="51">
        <f>Master!$B$3+308</f>
        <v>308</v>
      </c>
      <c r="LB4" s="51">
        <f>Master!$B$3+309</f>
        <v>309</v>
      </c>
      <c r="LC4" s="51">
        <f>Master!$B$3+310</f>
        <v>310</v>
      </c>
      <c r="LD4" s="51">
        <f>Master!$B$3+311</f>
        <v>311</v>
      </c>
      <c r="LE4" s="51">
        <f>Master!$B$3+312</f>
        <v>312</v>
      </c>
      <c r="LF4" s="51">
        <f>Master!$B$3+313</f>
        <v>313</v>
      </c>
      <c r="LG4" s="51">
        <f>Master!$B$3+314</f>
        <v>314</v>
      </c>
      <c r="LH4" s="51">
        <f>Master!$B$3+315</f>
        <v>315</v>
      </c>
      <c r="LI4" s="51">
        <f>Master!$B$3+316</f>
        <v>316</v>
      </c>
      <c r="LJ4" s="51">
        <f>Master!$B$3+317</f>
        <v>317</v>
      </c>
      <c r="LK4" s="51">
        <f>Master!$B$3+318</f>
        <v>318</v>
      </c>
      <c r="LL4" s="51">
        <f>Master!$B$3+319</f>
        <v>319</v>
      </c>
      <c r="LM4" s="51">
        <f>Master!$B$3+320</f>
        <v>320</v>
      </c>
      <c r="LN4" s="51">
        <f>Master!$B$3+321</f>
        <v>321</v>
      </c>
      <c r="LO4" s="51">
        <f>Master!$B$3+322</f>
        <v>322</v>
      </c>
      <c r="LP4" s="51">
        <f>Master!$B$3+323</f>
        <v>323</v>
      </c>
      <c r="LQ4" s="51">
        <f>Master!$B$3+324</f>
        <v>324</v>
      </c>
      <c r="LR4" s="51">
        <f>Master!$B$3+325</f>
        <v>325</v>
      </c>
      <c r="LS4" s="51">
        <f>Master!$B$3+326</f>
        <v>326</v>
      </c>
      <c r="LT4" s="51">
        <f>Master!$B$3+327</f>
        <v>327</v>
      </c>
      <c r="LU4" s="51">
        <f>Master!$B$3+328</f>
        <v>328</v>
      </c>
      <c r="LV4" s="51">
        <f>Master!$B$3+329</f>
        <v>329</v>
      </c>
      <c r="LW4" s="51">
        <f>Master!$B$3+330</f>
        <v>330</v>
      </c>
      <c r="LX4" s="51">
        <f>Master!$B$3+331</f>
        <v>331</v>
      </c>
      <c r="LY4" s="51">
        <f>Master!$B$3+332</f>
        <v>332</v>
      </c>
      <c r="LZ4" s="51">
        <f>Master!$B$3+333</f>
        <v>333</v>
      </c>
      <c r="MA4" s="51">
        <f>Master!$B$3+334</f>
        <v>334</v>
      </c>
      <c r="MB4" s="51">
        <f>Master!$B$3+335</f>
        <v>335</v>
      </c>
      <c r="MC4" s="51">
        <f>Master!$B$3+336</f>
        <v>336</v>
      </c>
      <c r="MD4" s="51">
        <f>Master!$B$3+337</f>
        <v>337</v>
      </c>
      <c r="ME4" s="51">
        <f>Master!$B$3+338</f>
        <v>338</v>
      </c>
      <c r="MF4" s="51">
        <f>Master!$B$3+339</f>
        <v>339</v>
      </c>
      <c r="MG4" s="51">
        <f>Master!$B$3+340</f>
        <v>340</v>
      </c>
      <c r="MH4" s="51">
        <f>Master!$B$3+341</f>
        <v>341</v>
      </c>
      <c r="MI4" s="51">
        <f>Master!$B$3+342</f>
        <v>342</v>
      </c>
      <c r="MJ4" s="51">
        <f>Master!$B$3+343</f>
        <v>343</v>
      </c>
      <c r="MK4" s="51">
        <f>Master!$B$3+344</f>
        <v>344</v>
      </c>
      <c r="ML4" s="51">
        <f>Master!$B$3+345</f>
        <v>345</v>
      </c>
      <c r="MM4" s="51">
        <f>Master!$B$3+346</f>
        <v>346</v>
      </c>
      <c r="MN4" s="51">
        <f>Master!$B$3+347</f>
        <v>347</v>
      </c>
      <c r="MO4" s="51">
        <f>Master!$B$3+348</f>
        <v>348</v>
      </c>
      <c r="MP4" s="51">
        <f>Master!$B$3+349</f>
        <v>349</v>
      </c>
      <c r="MQ4" s="51">
        <f>Master!$B$3+350</f>
        <v>350</v>
      </c>
      <c r="MR4" s="51">
        <f>Master!$B$3+351</f>
        <v>351</v>
      </c>
      <c r="MS4" s="51">
        <f>Master!$B$3+352</f>
        <v>352</v>
      </c>
      <c r="MT4" s="51">
        <f>Master!$B$3+353</f>
        <v>353</v>
      </c>
      <c r="MU4" s="51">
        <f>Master!$B$3+354</f>
        <v>354</v>
      </c>
      <c r="MV4" s="51">
        <f>Master!$B$3+355</f>
        <v>355</v>
      </c>
      <c r="MW4" s="51">
        <f>Master!$B$3+356</f>
        <v>356</v>
      </c>
      <c r="MX4" s="51">
        <f>Master!$B$3+357</f>
        <v>357</v>
      </c>
      <c r="MY4" s="51">
        <f>Master!$B$3+358</f>
        <v>358</v>
      </c>
      <c r="MZ4" s="51">
        <f>Master!$B$3+359</f>
        <v>359</v>
      </c>
      <c r="NA4" s="51">
        <f>Master!$B$3+360</f>
        <v>360</v>
      </c>
      <c r="NB4" s="51">
        <f>Master!$B$3+361</f>
        <v>361</v>
      </c>
      <c r="NC4" s="51">
        <f>Master!$B$3+362</f>
        <v>362</v>
      </c>
      <c r="ND4" s="51">
        <f>Master!$B$3+363</f>
        <v>363</v>
      </c>
      <c r="NE4" s="51">
        <f>Master!$B$3+364</f>
        <v>364</v>
      </c>
    </row>
    <row r="5" spans="1:369" x14ac:dyDescent="0.45">
      <c r="A5" s="52">
        <f>Master!A$6</f>
        <v>0</v>
      </c>
      <c r="B5" s="52" t="str">
        <f>'Activity List'!A2</f>
        <v>T1-001</v>
      </c>
      <c r="C5" s="52" t="str">
        <f>'Activity List'!D2</f>
        <v>Land Clearing</v>
      </c>
      <c r="D5" s="52" t="str">
        <f>'Activity List'!C2</f>
        <v>Nursery</v>
      </c>
    </row>
    <row r="6" spans="1:369" x14ac:dyDescent="0.45">
      <c r="A6" s="52">
        <f>Master!A$6</f>
        <v>0</v>
      </c>
      <c r="B6" s="52" t="str">
        <f>'Activity List'!A3</f>
        <v>T1-002</v>
      </c>
      <c r="C6" s="52" t="str">
        <f>'Activity List'!D3</f>
        <v>Tree Felling</v>
      </c>
      <c r="D6" s="52" t="str">
        <f>'Activity List'!C3</f>
        <v>Nursery</v>
      </c>
    </row>
    <row r="7" spans="1:369" x14ac:dyDescent="0.45">
      <c r="A7" s="52">
        <f>Master!A$6</f>
        <v>0</v>
      </c>
      <c r="B7" s="52" t="str">
        <f>'Activity List'!A4</f>
        <v>T1-003</v>
      </c>
      <c r="C7" s="52" t="str">
        <f>'Activity List'!D4</f>
        <v>Soil Heaping</v>
      </c>
      <c r="D7" s="52" t="str">
        <f>'Activity List'!C4</f>
        <v>Nursery</v>
      </c>
    </row>
    <row r="8" spans="1:369" x14ac:dyDescent="0.45">
      <c r="A8" s="52">
        <f>Master!A$6</f>
        <v>0</v>
      </c>
      <c r="B8" s="52" t="str">
        <f>'Activity List'!A5</f>
        <v>T1-004</v>
      </c>
      <c r="C8" s="52" t="str">
        <f>'Activity List'!D5</f>
        <v>Polytube Cutting</v>
      </c>
      <c r="D8" s="52" t="str">
        <f>'Activity List'!C5</f>
        <v>Nursery</v>
      </c>
    </row>
    <row r="9" spans="1:369" x14ac:dyDescent="0.45">
      <c r="A9" s="52">
        <f>Master!A$6</f>
        <v>0</v>
      </c>
      <c r="B9" s="52" t="str">
        <f>'Activity List'!A6</f>
        <v>T1-005</v>
      </c>
      <c r="C9" s="52" t="str">
        <f>'Activity List'!D6</f>
        <v>Polytube Filling</v>
      </c>
      <c r="D9" s="52" t="str">
        <f>'Activity List'!C6</f>
        <v>Nursery</v>
      </c>
    </row>
    <row r="10" spans="1:369" x14ac:dyDescent="0.45">
      <c r="A10" s="52">
        <f>Master!A$6</f>
        <v>0</v>
      </c>
      <c r="B10" s="52" t="str">
        <f>'Activity List'!A7</f>
        <v>T1-006</v>
      </c>
      <c r="C10" s="52" t="str">
        <f>'Activity List'!D7</f>
        <v>Seedbed Preparation</v>
      </c>
      <c r="D10" s="52" t="str">
        <f>'Activity List'!C7</f>
        <v>Nursery</v>
      </c>
    </row>
    <row r="11" spans="1:369" x14ac:dyDescent="0.45">
      <c r="A11" s="52">
        <f>Master!A$6</f>
        <v>0</v>
      </c>
      <c r="B11" s="52" t="str">
        <f>'Activity List'!A8</f>
        <v>T1-007</v>
      </c>
      <c r="C11" s="52" t="str">
        <f>'Activity List'!D8</f>
        <v>Polytube Arranging</v>
      </c>
      <c r="D11" s="52" t="str">
        <f>'Activity List'!C8</f>
        <v>Nursery</v>
      </c>
    </row>
    <row r="12" spans="1:369" x14ac:dyDescent="0.45">
      <c r="A12" s="52">
        <f>Master!A$6</f>
        <v>0</v>
      </c>
      <c r="B12" s="52" t="str">
        <f>'Activity List'!A9</f>
        <v>T1-008</v>
      </c>
      <c r="C12" s="52" t="str">
        <f>'Activity List'!D9</f>
        <v>Seed Sowing</v>
      </c>
      <c r="D12" s="52" t="str">
        <f>'Activity List'!C9</f>
        <v>Nursery</v>
      </c>
    </row>
    <row r="13" spans="1:369" x14ac:dyDescent="0.45">
      <c r="A13" s="52">
        <f>Master!A$6</f>
        <v>0</v>
      </c>
      <c r="B13" s="52" t="str">
        <f>'Activity List'!A10</f>
        <v>T1-009</v>
      </c>
      <c r="C13" s="52" t="str">
        <f>'Activity List'!D10</f>
        <v>Mulch Material Preparation</v>
      </c>
      <c r="D13" s="52" t="str">
        <f>'Activity List'!C10</f>
        <v>Nursery</v>
      </c>
    </row>
    <row r="14" spans="1:369" x14ac:dyDescent="0.45">
      <c r="A14" s="52">
        <f>Master!A$6</f>
        <v>0</v>
      </c>
      <c r="B14" s="52" t="str">
        <f>'Activity List'!A11</f>
        <v>T1-010</v>
      </c>
      <c r="C14" s="52" t="str">
        <f>'Activity List'!D11</f>
        <v>Mulch Application</v>
      </c>
      <c r="D14" s="52" t="str">
        <f>'Activity List'!C11</f>
        <v>Nursery</v>
      </c>
    </row>
    <row r="15" spans="1:369" x14ac:dyDescent="0.45">
      <c r="A15" s="52">
        <f>Master!A$6</f>
        <v>0</v>
      </c>
      <c r="B15" s="52" t="str">
        <f>'Activity List'!A12</f>
        <v>T1-011</v>
      </c>
      <c r="C15" s="52" t="str">
        <f>'Activity List'!D12</f>
        <v>Shade Material Preparation</v>
      </c>
      <c r="D15" s="52" t="str">
        <f>'Activity List'!C12</f>
        <v>Nursery</v>
      </c>
    </row>
    <row r="16" spans="1:369" x14ac:dyDescent="0.45">
      <c r="A16" s="52">
        <f>Master!A$6</f>
        <v>0</v>
      </c>
      <c r="B16" s="52" t="str">
        <f>'Activity List'!A13</f>
        <v>T1-012</v>
      </c>
      <c r="C16" s="52" t="str">
        <f>'Activity List'!D13</f>
        <v>Shade Construction</v>
      </c>
      <c r="D16" s="52" t="str">
        <f>'Activity List'!C13</f>
        <v>Nursery</v>
      </c>
    </row>
    <row r="17" spans="1:4" x14ac:dyDescent="0.45">
      <c r="A17" s="52">
        <f>Master!A$6</f>
        <v>0</v>
      </c>
      <c r="B17" s="52" t="str">
        <f>'Activity List'!A14</f>
        <v>T1-013</v>
      </c>
      <c r="C17" s="52" t="str">
        <f>'Activity List'!D14</f>
        <v>Mulch Removal</v>
      </c>
      <c r="D17" s="52" t="str">
        <f>'Activity List'!C14</f>
        <v>Nursery</v>
      </c>
    </row>
    <row r="18" spans="1:4" x14ac:dyDescent="0.45">
      <c r="A18" s="52">
        <f>Master!A$6</f>
        <v>0</v>
      </c>
      <c r="B18" s="52" t="str">
        <f>'Activity List'!A15</f>
        <v>T1-014</v>
      </c>
      <c r="C18" s="52" t="str">
        <f>'Activity List'!D15</f>
        <v>Nursery Weeding</v>
      </c>
      <c r="D18" s="52" t="str">
        <f>'Activity List'!C15</f>
        <v>Nursery</v>
      </c>
    </row>
    <row r="19" spans="1:4" x14ac:dyDescent="0.45">
      <c r="A19" s="52">
        <f>Master!A$6</f>
        <v>0</v>
      </c>
      <c r="B19" s="52" t="str">
        <f>'Activity List'!A16</f>
        <v>T1-015</v>
      </c>
      <c r="C19" s="52" t="str">
        <f>'Activity List'!D16</f>
        <v>Shade Thinning</v>
      </c>
      <c r="D19" s="52" t="str">
        <f>'Activity List'!C16</f>
        <v>Nursery</v>
      </c>
    </row>
    <row r="20" spans="1:4" x14ac:dyDescent="0.45">
      <c r="A20" s="52">
        <f>Master!A$6</f>
        <v>0</v>
      </c>
      <c r="B20" s="52" t="str">
        <f>'Activity List'!A17</f>
        <v>T1-016</v>
      </c>
      <c r="C20" s="52" t="str">
        <f>'Activity List'!D17</f>
        <v>Shade Removal</v>
      </c>
      <c r="D20" s="52" t="str">
        <f>'Activity List'!C17</f>
        <v>Nursery</v>
      </c>
    </row>
    <row r="21" spans="1:4" x14ac:dyDescent="0.45">
      <c r="A21" s="52">
        <f>Master!A$6</f>
        <v>0</v>
      </c>
      <c r="B21" s="52" t="str">
        <f>'Activity List'!A18</f>
        <v>T1-017</v>
      </c>
      <c r="C21" s="52" t="str">
        <f>'Activity List'!D18</f>
        <v>Hoeing (Young Coffee)</v>
      </c>
      <c r="D21" s="52" t="str">
        <f>'Activity List'!C18</f>
        <v>Young Coffee</v>
      </c>
    </row>
    <row r="22" spans="1:4" x14ac:dyDescent="0.45">
      <c r="A22" s="52">
        <f>Master!A$6</f>
        <v>0</v>
      </c>
      <c r="B22" s="52" t="str">
        <f>'Activity List'!A19</f>
        <v>T1-018</v>
      </c>
      <c r="C22" s="52" t="str">
        <f>'Activity List'!D19</f>
        <v>Fertilizing (Young Coffee)</v>
      </c>
      <c r="D22" s="52" t="str">
        <f>'Activity List'!C19</f>
        <v>Young Coffee</v>
      </c>
    </row>
    <row r="23" spans="1:4" x14ac:dyDescent="0.45">
      <c r="A23" s="52">
        <f>Master!A$6</f>
        <v>0</v>
      </c>
      <c r="B23" s="52" t="str">
        <f>'Activity List'!A20</f>
        <v>T1-019</v>
      </c>
      <c r="C23" s="52" t="str">
        <f>'Activity List'!D20</f>
        <v>Ring Weeding of Seedlings</v>
      </c>
      <c r="D23" s="52" t="str">
        <f>'Activity List'!C20</f>
        <v>Young Coffee</v>
      </c>
    </row>
    <row r="24" spans="1:4" x14ac:dyDescent="0.45">
      <c r="A24" s="52">
        <f>Master!A$6</f>
        <v>0</v>
      </c>
      <c r="B24" s="52" t="str">
        <f>'Activity List'!A21</f>
        <v>T1-020</v>
      </c>
      <c r="C24" s="52" t="str">
        <f>'Activity List'!D21</f>
        <v>Shade Tree Regulation</v>
      </c>
      <c r="D24" s="52" t="str">
        <f>'Activity List'!C21</f>
        <v>Young Coffee</v>
      </c>
    </row>
    <row r="25" spans="1:4" x14ac:dyDescent="0.45">
      <c r="A25" s="52">
        <f>Master!A$6</f>
        <v>0</v>
      </c>
      <c r="B25" s="52" t="str">
        <f>'Activity List'!A22</f>
        <v>T1-021</v>
      </c>
      <c r="C25" s="52" t="str">
        <f>'Activity List'!D22</f>
        <v>Compost Preparation</v>
      </c>
      <c r="D25" s="52" t="str">
        <f>'Activity List'!C22</f>
        <v>Young Coffee</v>
      </c>
    </row>
    <row r="26" spans="1:4" x14ac:dyDescent="0.45">
      <c r="A26" s="52">
        <f>Master!A$6</f>
        <v>0</v>
      </c>
      <c r="B26" s="52" t="str">
        <f>'Activity List'!A23</f>
        <v>T1-022</v>
      </c>
      <c r="C26" s="52" t="str">
        <f>'Activity List'!D23</f>
        <v>Ridge Construction</v>
      </c>
      <c r="D26" s="52" t="str">
        <f>'Activity List'!C23</f>
        <v>Young Coffee</v>
      </c>
    </row>
    <row r="27" spans="1:4" x14ac:dyDescent="0.45">
      <c r="A27" s="52">
        <f>Master!A$6</f>
        <v>0</v>
      </c>
      <c r="B27" s="52" t="str">
        <f>'Activity List'!A24</f>
        <v>T1-023</v>
      </c>
      <c r="C27" s="52" t="str">
        <f>'Activity List'!D24</f>
        <v>Manual Weeding</v>
      </c>
      <c r="D27" s="52" t="str">
        <f>'Activity List'!C24</f>
        <v>Matured Coffee</v>
      </c>
    </row>
    <row r="28" spans="1:4" x14ac:dyDescent="0.45">
      <c r="A28" s="52">
        <f>Master!A$6</f>
        <v>0</v>
      </c>
      <c r="B28" s="52" t="str">
        <f>'Activity List'!A25</f>
        <v>T1-024</v>
      </c>
      <c r="C28" s="52" t="str">
        <f>'Activity List'!D25</f>
        <v>Chemical Weeding</v>
      </c>
      <c r="D28" s="52" t="str">
        <f>'Activity List'!C25</f>
        <v>Matured Coffee</v>
      </c>
    </row>
    <row r="29" spans="1:4" x14ac:dyDescent="0.45">
      <c r="A29" s="52">
        <f>Master!A$6</f>
        <v>0</v>
      </c>
      <c r="B29" s="52" t="str">
        <f>'Activity List'!A26</f>
        <v>T1-025</v>
      </c>
      <c r="C29" s="52" t="str">
        <f>'Activity List'!D26</f>
        <v>Pruning (Matured Coffee)</v>
      </c>
      <c r="D29" s="52" t="str">
        <f>'Activity List'!C26</f>
        <v>Matured Coffee</v>
      </c>
    </row>
    <row r="30" spans="1:4" x14ac:dyDescent="0.45">
      <c r="A30" s="52">
        <f>Master!A$6</f>
        <v>0</v>
      </c>
      <c r="B30" s="52" t="str">
        <f>'Activity List'!A27</f>
        <v>T1-026</v>
      </c>
      <c r="C30" s="52" t="str">
        <f>'Activity List'!D27</f>
        <v>Topping (Matured Coffee)</v>
      </c>
      <c r="D30" s="52" t="str">
        <f>'Activity List'!C27</f>
        <v>Matured Coffee</v>
      </c>
    </row>
    <row r="31" spans="1:4" x14ac:dyDescent="0.45">
      <c r="A31" s="52">
        <f>Master!A$6</f>
        <v>0</v>
      </c>
      <c r="B31" s="52" t="str">
        <f>'Activity List'!A28</f>
        <v>T1-027</v>
      </c>
      <c r="C31" s="52" t="str">
        <f>'Activity List'!D28</f>
        <v>Handling and Desuckering</v>
      </c>
      <c r="D31" s="52" t="str">
        <f>'Activity List'!C28</f>
        <v>Matured Coffee</v>
      </c>
    </row>
    <row r="32" spans="1:4" x14ac:dyDescent="0.45">
      <c r="A32" s="52">
        <f>Master!A$6</f>
        <v>0</v>
      </c>
      <c r="B32" s="52" t="str">
        <f>'Activity List'!A29</f>
        <v>T1-028</v>
      </c>
      <c r="C32" s="52" t="str">
        <f>'Activity List'!D29</f>
        <v>Coffee Tree Support/Staking</v>
      </c>
      <c r="D32" s="52" t="str">
        <f>'Activity List'!C29</f>
        <v>Matured Coffee</v>
      </c>
    </row>
    <row r="33" spans="1:4" x14ac:dyDescent="0.45">
      <c r="A33" s="52">
        <f>Master!A$6</f>
        <v>0</v>
      </c>
      <c r="B33" s="52" t="str">
        <f>'Activity List'!A30</f>
        <v>T1-029</v>
      </c>
      <c r="C33" s="52" t="str">
        <f>'Activity List'!D30</f>
        <v>Watchman Tower (Matured Block)</v>
      </c>
      <c r="D33" s="52" t="str">
        <f>'Activity List'!C30</f>
        <v>Matured Coffee</v>
      </c>
    </row>
    <row r="34" spans="1:4" x14ac:dyDescent="0.45">
      <c r="A34" s="52">
        <f>Master!A$6</f>
        <v>0</v>
      </c>
      <c r="B34" s="52" t="str">
        <f>'Activity List'!A31</f>
        <v>T1-030</v>
      </c>
      <c r="C34" s="52" t="str">
        <f>'Activity List'!D31</f>
        <v>Infill Peg Preparation</v>
      </c>
      <c r="D34" s="52" t="str">
        <f>'Activity List'!C31</f>
        <v>Infilling</v>
      </c>
    </row>
    <row r="35" spans="1:4" x14ac:dyDescent="0.45">
      <c r="A35" s="52">
        <f>Master!A$6</f>
        <v>0</v>
      </c>
      <c r="B35" s="52" t="str">
        <f>'Activity List'!A32</f>
        <v>T1-031</v>
      </c>
      <c r="C35" s="52" t="str">
        <f>'Activity List'!D32</f>
        <v>Infill Layout and Pegging</v>
      </c>
      <c r="D35" s="52" t="str">
        <f>'Activity List'!C32</f>
        <v>Infilling</v>
      </c>
    </row>
    <row r="36" spans="1:4" x14ac:dyDescent="0.45">
      <c r="A36" s="52">
        <f>Master!A$6</f>
        <v>0</v>
      </c>
      <c r="B36" s="52" t="str">
        <f>'Activity List'!A33</f>
        <v>T1-032</v>
      </c>
      <c r="C36" s="52" t="str">
        <f>'Activity List'!D33</f>
        <v>Infill Hole Digging</v>
      </c>
      <c r="D36" s="52" t="str">
        <f>'Activity List'!C33</f>
        <v>Infilling</v>
      </c>
    </row>
    <row r="37" spans="1:4" x14ac:dyDescent="0.45">
      <c r="A37" s="52">
        <f>Master!A$6</f>
        <v>0</v>
      </c>
      <c r="B37" s="52" t="str">
        <f>'Activity List'!A34</f>
        <v>T1-033</v>
      </c>
      <c r="C37" s="52" t="str">
        <f>'Activity List'!D34</f>
        <v>Infill Hole Refilling</v>
      </c>
      <c r="D37" s="52" t="str">
        <f>'Activity List'!C34</f>
        <v>Infilling</v>
      </c>
    </row>
    <row r="38" spans="1:4" x14ac:dyDescent="0.45">
      <c r="A38" s="52">
        <f>Master!A$6</f>
        <v>0</v>
      </c>
      <c r="B38" s="52" t="str">
        <f>'Activity List'!A35</f>
        <v>T1-034</v>
      </c>
      <c r="C38" s="52" t="str">
        <f>'Activity List'!D35</f>
        <v>Infill Watchman Tower Prep</v>
      </c>
      <c r="D38" s="52" t="str">
        <f>'Activity List'!C35</f>
        <v>Infilling</v>
      </c>
    </row>
    <row r="39" spans="1:4" x14ac:dyDescent="0.45">
      <c r="A39" s="52">
        <f>Master!A$6</f>
        <v>0</v>
      </c>
      <c r="B39" s="52" t="str">
        <f>'Activity List'!A36</f>
        <v>T1-035</v>
      </c>
      <c r="C39" s="52" t="str">
        <f>'Activity List'!D36</f>
        <v>Infill Seedling Transport</v>
      </c>
      <c r="D39" s="52" t="str">
        <f>'Activity List'!C36</f>
        <v>Infilling</v>
      </c>
    </row>
    <row r="40" spans="1:4" x14ac:dyDescent="0.45">
      <c r="A40" s="52">
        <f>Master!A$6</f>
        <v>0</v>
      </c>
      <c r="B40" s="52" t="str">
        <f>'Activity List'!A37</f>
        <v>T1-036</v>
      </c>
      <c r="C40" s="52" t="str">
        <f>'Activity List'!D37</f>
        <v>Infill Planting</v>
      </c>
      <c r="D40" s="52" t="str">
        <f>'Activity List'!C37</f>
        <v>Infilling</v>
      </c>
    </row>
    <row r="41" spans="1:4" x14ac:dyDescent="0.45">
      <c r="A41" s="52">
        <f>Master!A$6</f>
        <v>0</v>
      </c>
      <c r="B41" s="52" t="str">
        <f>'Activity List'!A38</f>
        <v>T1-037</v>
      </c>
      <c r="C41" s="52" t="str">
        <f>'Activity List'!D38</f>
        <v>Harvest Watchman Tower Prep</v>
      </c>
      <c r="D41" s="52" t="str">
        <f>'Activity List'!C38</f>
        <v>Picking &amp; Related</v>
      </c>
    </row>
    <row r="42" spans="1:4" x14ac:dyDescent="0.45">
      <c r="A42" s="52">
        <f>Master!A$6</f>
        <v>0</v>
      </c>
      <c r="B42" s="52" t="str">
        <f>'Activity List'!A39</f>
        <v>T1-038</v>
      </c>
      <c r="C42" s="52" t="str">
        <f>'Activity List'!D39</f>
        <v>Drying Bed Material Prep and Transport</v>
      </c>
      <c r="D42" s="52" t="str">
        <f>'Activity List'!C39</f>
        <v>Picking &amp; Related</v>
      </c>
    </row>
    <row r="43" spans="1:4" x14ac:dyDescent="0.45">
      <c r="A43" s="52">
        <f>Master!A$6</f>
        <v>0</v>
      </c>
      <c r="B43" s="52" t="str">
        <f>'Activity List'!A40</f>
        <v>T1-039</v>
      </c>
      <c r="C43" s="52" t="str">
        <f>'Activity List'!D40</f>
        <v>Drying Bed Site Cleaning</v>
      </c>
      <c r="D43" s="52" t="str">
        <f>'Activity List'!C40</f>
        <v>Picking &amp; Related</v>
      </c>
    </row>
    <row r="44" spans="1:4" x14ac:dyDescent="0.45">
      <c r="A44" s="52">
        <f>Master!A$6</f>
        <v>0</v>
      </c>
      <c r="B44" s="52" t="str">
        <f>'Activity List'!A41</f>
        <v>T1-040</v>
      </c>
      <c r="C44" s="52" t="str">
        <f>'Activity List'!D41</f>
        <v>Drying Bed Construction</v>
      </c>
      <c r="D44" s="52" t="str">
        <f>'Activity List'!C41</f>
        <v>Picking &amp; Related</v>
      </c>
    </row>
    <row r="45" spans="1:4" x14ac:dyDescent="0.45">
      <c r="A45" s="52">
        <f>Master!A$6</f>
        <v>0</v>
      </c>
      <c r="B45" s="52" t="str">
        <f>'Activity List'!A42</f>
        <v>T1-041</v>
      </c>
      <c r="C45" s="52" t="str">
        <f>'Activity List'!D42</f>
        <v>Selective Picking, Red Cherry</v>
      </c>
      <c r="D45" s="52" t="str">
        <f>'Activity List'!C42</f>
        <v>Picking &amp; Related</v>
      </c>
    </row>
    <row r="46" spans="1:4" x14ac:dyDescent="0.45">
      <c r="A46" s="52">
        <f>Master!A$6</f>
        <v>0</v>
      </c>
      <c r="B46" s="52" t="str">
        <f>'Activity List'!A43</f>
        <v>T1-042</v>
      </c>
      <c r="C46" s="52" t="str">
        <f>'Activity List'!D43</f>
        <v>Cherry Drying on Bed</v>
      </c>
      <c r="D46" s="52" t="str">
        <f>'Activity List'!C43</f>
        <v>Picking &amp; Related</v>
      </c>
    </row>
    <row r="47" spans="1:4" x14ac:dyDescent="0.45">
      <c r="A47" s="52">
        <f>Master!A$6</f>
        <v>0</v>
      </c>
      <c r="B47" s="52" t="str">
        <f>'Activity List'!A44</f>
        <v>T1-043</v>
      </c>
      <c r="C47" s="52" t="str">
        <f>'Activity List'!D44</f>
        <v>Drying Bed Maintenance</v>
      </c>
      <c r="D47" s="52" t="str">
        <f>'Activity List'!C44</f>
        <v>Picking &amp; Related</v>
      </c>
    </row>
    <row r="48" spans="1:4" x14ac:dyDescent="0.45">
      <c r="A48" s="52">
        <f>Master!A$6</f>
        <v>0</v>
      </c>
      <c r="B48" s="52" t="str">
        <f>'Activity List'!A45</f>
        <v>T1-044</v>
      </c>
      <c r="C48" s="52" t="str">
        <f>'Activity List'!D45</f>
        <v>Weighing and Arranging Dry Coffee</v>
      </c>
      <c r="D48" s="52" t="str">
        <f>'Activity List'!C45</f>
        <v>Picking &amp; Related</v>
      </c>
    </row>
    <row r="49" spans="1:4" x14ac:dyDescent="0.45">
      <c r="A49" s="52">
        <f>Master!A$6</f>
        <v>0</v>
      </c>
      <c r="B49" s="52" t="str">
        <f>'Activity List'!A46</f>
        <v>T1-045</v>
      </c>
      <c r="C49" s="52" t="str">
        <f>'Activity List'!D46</f>
        <v>Loading Dry Coffee, Farm 1 to 2</v>
      </c>
      <c r="D49" s="52" t="str">
        <f>'Activity List'!C46</f>
        <v>Picking &amp; Related</v>
      </c>
    </row>
    <row r="50" spans="1:4" x14ac:dyDescent="0.45">
      <c r="A50" s="52">
        <f>Master!A$6</f>
        <v>0</v>
      </c>
      <c r="B50" s="52" t="str">
        <f>'Activity List'!A47</f>
        <v>T1-046</v>
      </c>
      <c r="C50" s="52" t="str">
        <f>'Activity List'!D47</f>
        <v>Loading Dry Coffee, Farm to Hulling</v>
      </c>
      <c r="D50" s="52" t="str">
        <f>'Activity List'!C47</f>
        <v>Picking &amp; Related</v>
      </c>
    </row>
    <row r="51" spans="1:4" x14ac:dyDescent="0.45">
      <c r="A51" s="52">
        <f>Master!A$6</f>
        <v>0</v>
      </c>
      <c r="B51" s="52" t="str">
        <f>'Activity List'!A48</f>
        <v>T1-047</v>
      </c>
      <c r="C51" s="52" t="str">
        <f>'Activity List'!D48</f>
        <v>Transport Vehicle Rental</v>
      </c>
      <c r="D51" s="52" t="str">
        <f>'Activity List'!C48</f>
        <v>Picking &amp; Related</v>
      </c>
    </row>
    <row r="52" spans="1:4" x14ac:dyDescent="0.45">
      <c r="A52" s="52">
        <f>Master!A$6</f>
        <v>0</v>
      </c>
      <c r="B52" s="52" t="str">
        <f>'Activity List'!A49</f>
        <v>T1-048</v>
      </c>
      <c r="C52" s="52" t="str">
        <f>'Activity List'!D49</f>
        <v>Unloading Dry Coffee at Hulling</v>
      </c>
      <c r="D52" s="52" t="str">
        <f>'Activity List'!C49</f>
        <v>Picking &amp; Related</v>
      </c>
    </row>
    <row r="53" spans="1:4" x14ac:dyDescent="0.45">
      <c r="A53" s="52">
        <f>Master!A$6</f>
        <v>0</v>
      </c>
      <c r="B53" s="52" t="str">
        <f>'Activity List'!A50</f>
        <v>T1-049</v>
      </c>
      <c r="C53" s="52" t="str">
        <f>'Activity List'!D50</f>
        <v>Hulling of Dry Coffee (incl. VAT)</v>
      </c>
      <c r="D53" s="52" t="str">
        <f>'Activity List'!C50</f>
        <v>Picking &amp; Related</v>
      </c>
    </row>
    <row r="54" spans="1:4" x14ac:dyDescent="0.45">
      <c r="A54" s="52">
        <f>Master!A$6</f>
        <v>0</v>
      </c>
      <c r="B54" s="52" t="str">
        <f>'Activity List'!A51</f>
        <v>T1-050</v>
      </c>
      <c r="C54" s="52" t="str">
        <f>'Activity List'!D51</f>
        <v>Unloading at Warehouse</v>
      </c>
      <c r="D54" s="52" t="str">
        <f>'Activity List'!C51</f>
        <v>Picking &amp; Related</v>
      </c>
    </row>
    <row r="55" spans="1:4" x14ac:dyDescent="0.45">
      <c r="A55" s="52">
        <f>Master!A$6</f>
        <v>0</v>
      </c>
      <c r="B55" s="52" t="str">
        <f>'Activity List'!A52</f>
        <v>T1-051</v>
      </c>
      <c r="C55" s="52" t="str">
        <f>'Activity List'!D52</f>
        <v>Transport Clean Coffee to Addis Ababa</v>
      </c>
      <c r="D55" s="52" t="str">
        <f>'Activity List'!C52</f>
        <v>Picking &amp; Related</v>
      </c>
    </row>
    <row r="56" spans="1:4" x14ac:dyDescent="0.45">
      <c r="A56" s="52">
        <f>Master!A$6</f>
        <v>0</v>
      </c>
      <c r="B56" s="52" t="str">
        <f>'Activity List'!A53</f>
        <v>T1-052</v>
      </c>
      <c r="C56" s="52" t="str">
        <f>'Activity List'!D53</f>
        <v>Drying Bed Removal</v>
      </c>
      <c r="D56" s="52" t="str">
        <f>'Activity List'!C53</f>
        <v>Picking &amp; Related</v>
      </c>
    </row>
    <row r="57" spans="1:4" x14ac:dyDescent="0.45">
      <c r="A57" s="52">
        <f>Master!A$6</f>
        <v>0</v>
      </c>
      <c r="B57" s="52" t="str">
        <f>'Activity List'!A54</f>
        <v>T2-001</v>
      </c>
      <c r="C57" s="52" t="str">
        <f>'Activity List'!D54</f>
        <v>Harvest Planning</v>
      </c>
      <c r="D57" s="52" t="str">
        <f>'Activity List'!C54</f>
        <v>A. Annual Harvest Management</v>
      </c>
    </row>
    <row r="58" spans="1:4" x14ac:dyDescent="0.45">
      <c r="A58" s="52">
        <f>Master!A$6</f>
        <v>0</v>
      </c>
      <c r="B58" s="52" t="str">
        <f>'Activity List'!A55</f>
        <v>T2-002</v>
      </c>
      <c r="C58" s="52" t="str">
        <f>'Activity List'!D55</f>
        <v>Labour Mobilisation</v>
      </c>
      <c r="D58" s="52" t="str">
        <f>'Activity List'!C55</f>
        <v>A. Annual Harvest Management</v>
      </c>
    </row>
    <row r="59" spans="1:4" x14ac:dyDescent="0.45">
      <c r="A59" s="52">
        <f>Master!A$6</f>
        <v>0</v>
      </c>
      <c r="B59" s="52" t="str">
        <f>'Activity List'!A56</f>
        <v>T2-003</v>
      </c>
      <c r="C59" s="52" t="str">
        <f>'Activity List'!D56</f>
        <v>Harvest Supervision</v>
      </c>
      <c r="D59" s="52" t="str">
        <f>'Activity List'!C56</f>
        <v>A. Annual Harvest Management</v>
      </c>
    </row>
    <row r="60" spans="1:4" x14ac:dyDescent="0.45">
      <c r="A60" s="52">
        <f>Master!A$6</f>
        <v>0</v>
      </c>
      <c r="B60" s="52" t="str">
        <f>'Activity List'!A57</f>
        <v>T2-004</v>
      </c>
      <c r="C60" s="52" t="str">
        <f>'Activity List'!D57</f>
        <v>Daily Production Monitoring</v>
      </c>
      <c r="D60" s="52" t="str">
        <f>'Activity List'!C57</f>
        <v>A. Annual Harvest Management</v>
      </c>
    </row>
    <row r="61" spans="1:4" x14ac:dyDescent="0.45">
      <c r="A61" s="52">
        <f>Master!A$6</f>
        <v>0</v>
      </c>
      <c r="B61" s="52" t="str">
        <f>'Activity List'!A58</f>
        <v>T2-005</v>
      </c>
      <c r="C61" s="52" t="str">
        <f>'Activity List'!D58</f>
        <v>Quality Monitoring (Harvest)</v>
      </c>
      <c r="D61" s="52" t="str">
        <f>'Activity List'!C58</f>
        <v>A. Annual Harvest Management</v>
      </c>
    </row>
    <row r="62" spans="1:4" x14ac:dyDescent="0.45">
      <c r="A62" s="52">
        <f>Master!A$6</f>
        <v>0</v>
      </c>
      <c r="B62" s="52" t="str">
        <f>'Activity List'!A59</f>
        <v>T2-006</v>
      </c>
      <c r="C62" s="52" t="str">
        <f>'Activity List'!D59</f>
        <v>Cherry Movement Coordination</v>
      </c>
      <c r="D62" s="52" t="str">
        <f>'Activity List'!C59</f>
        <v>A. Annual Harvest Management</v>
      </c>
    </row>
    <row r="63" spans="1:4" x14ac:dyDescent="0.45">
      <c r="A63" s="52">
        <f>Master!A$6</f>
        <v>0</v>
      </c>
      <c r="B63" s="52" t="str">
        <f>'Activity List'!A60</f>
        <v>T2-007</v>
      </c>
      <c r="C63" s="52" t="str">
        <f>'Activity List'!D60</f>
        <v>Daily Harvest Reporting</v>
      </c>
      <c r="D63" s="52" t="str">
        <f>'Activity List'!C60</f>
        <v>A. Annual Harvest Management</v>
      </c>
    </row>
    <row r="64" spans="1:4" x14ac:dyDescent="0.45">
      <c r="A64" s="52">
        <f>Master!A$6</f>
        <v>0</v>
      </c>
      <c r="B64" s="52" t="str">
        <f>'Activity List'!A61</f>
        <v>T2-008</v>
      </c>
      <c r="C64" s="52" t="str">
        <f>'Activity List'!D61</f>
        <v>Yield Reconciliation</v>
      </c>
      <c r="D64" s="52" t="str">
        <f>'Activity List'!C61</f>
        <v>A. Annual Harvest Management</v>
      </c>
    </row>
    <row r="65" spans="1:4" x14ac:dyDescent="0.45">
      <c r="A65" s="52">
        <f>Master!A$6</f>
        <v>0</v>
      </c>
      <c r="B65" s="52" t="str">
        <f>'Activity List'!A62</f>
        <v>T2-009</v>
      </c>
      <c r="C65" s="52" t="str">
        <f>'Activity List'!D62</f>
        <v>Harvest Close-Out</v>
      </c>
      <c r="D65" s="52" t="str">
        <f>'Activity List'!C62</f>
        <v>A. Annual Harvest Management</v>
      </c>
    </row>
    <row r="66" spans="1:4" x14ac:dyDescent="0.45">
      <c r="A66" s="52">
        <f>Master!A$6</f>
        <v>0</v>
      </c>
      <c r="B66" s="52" t="str">
        <f>'Activity List'!A63</f>
        <v>T2-010</v>
      </c>
      <c r="C66" s="52" t="str">
        <f>'Activity List'!D63</f>
        <v>Cherry Reception</v>
      </c>
      <c r="D66" s="52" t="str">
        <f>'Activity List'!C63</f>
        <v>B. Coffee Operations</v>
      </c>
    </row>
    <row r="67" spans="1:4" x14ac:dyDescent="0.45">
      <c r="A67" s="52">
        <f>Master!A$6</f>
        <v>0</v>
      </c>
      <c r="B67" s="52" t="str">
        <f>'Activity List'!A64</f>
        <v>T2-011</v>
      </c>
      <c r="C67" s="52" t="str">
        <f>'Activity List'!D64</f>
        <v>Washing Supervision</v>
      </c>
      <c r="D67" s="52" t="str">
        <f>'Activity List'!C64</f>
        <v>B. Coffee Operations</v>
      </c>
    </row>
    <row r="68" spans="1:4" x14ac:dyDescent="0.45">
      <c r="A68" s="52">
        <f>Master!A$6</f>
        <v>0</v>
      </c>
      <c r="B68" s="52" t="str">
        <f>'Activity List'!A65</f>
        <v>T2-012</v>
      </c>
      <c r="C68" s="52" t="str">
        <f>'Activity List'!D65</f>
        <v>Fermentation Supervision</v>
      </c>
      <c r="D68" s="52" t="str">
        <f>'Activity List'!C65</f>
        <v>B. Coffee Operations</v>
      </c>
    </row>
    <row r="69" spans="1:4" x14ac:dyDescent="0.45">
      <c r="A69" s="52">
        <f>Master!A$6</f>
        <v>0</v>
      </c>
      <c r="B69" s="52" t="str">
        <f>'Activity List'!A66</f>
        <v>T2-013</v>
      </c>
      <c r="C69" s="52" t="str">
        <f>'Activity List'!D66</f>
        <v>Drying Supervision</v>
      </c>
      <c r="D69" s="52" t="str">
        <f>'Activity List'!C66</f>
        <v>B. Coffee Operations</v>
      </c>
    </row>
    <row r="70" spans="1:4" x14ac:dyDescent="0.45">
      <c r="A70" s="52">
        <f>Master!A$6</f>
        <v>0</v>
      </c>
      <c r="B70" s="52" t="str">
        <f>'Activity List'!A67</f>
        <v>T2-014</v>
      </c>
      <c r="C70" s="52" t="str">
        <f>'Activity List'!D67</f>
        <v>Moisture Management</v>
      </c>
      <c r="D70" s="52" t="str">
        <f>'Activity List'!C67</f>
        <v>B. Coffee Operations</v>
      </c>
    </row>
    <row r="71" spans="1:4" x14ac:dyDescent="0.45">
      <c r="A71" s="52">
        <f>Master!A$6</f>
        <v>0</v>
      </c>
      <c r="B71" s="52" t="str">
        <f>'Activity List'!A68</f>
        <v>T2-015</v>
      </c>
      <c r="C71" s="52" t="str">
        <f>'Activity List'!D68</f>
        <v>Parchment Storage</v>
      </c>
      <c r="D71" s="52" t="str">
        <f>'Activity List'!C68</f>
        <v>B. Coffee Operations</v>
      </c>
    </row>
    <row r="72" spans="1:4" x14ac:dyDescent="0.45">
      <c r="A72" s="52">
        <f>Master!A$6</f>
        <v>0</v>
      </c>
      <c r="B72" s="52" t="str">
        <f>'Activity List'!A69</f>
        <v>T2-016</v>
      </c>
      <c r="C72" s="52" t="str">
        <f>'Activity List'!D69</f>
        <v>Warehouse Management</v>
      </c>
      <c r="D72" s="52" t="str">
        <f>'Activity List'!C69</f>
        <v>B. Coffee Operations</v>
      </c>
    </row>
    <row r="73" spans="1:4" x14ac:dyDescent="0.45">
      <c r="A73" s="52">
        <f>Master!A$6</f>
        <v>0</v>
      </c>
      <c r="B73" s="52" t="str">
        <f>'Activity List'!A70</f>
        <v>T2-017</v>
      </c>
      <c r="C73" s="52" t="str">
        <f>'Activity List'!D70</f>
        <v>Inventory Reconciliation</v>
      </c>
      <c r="D73" s="52" t="str">
        <f>'Activity List'!C70</f>
        <v>B. Coffee Operations</v>
      </c>
    </row>
    <row r="74" spans="1:4" x14ac:dyDescent="0.45">
      <c r="A74" s="52">
        <f>Master!A$6</f>
        <v>0</v>
      </c>
      <c r="B74" s="52" t="str">
        <f>'Activity List'!A71</f>
        <v>T2-018</v>
      </c>
      <c r="C74" s="52" t="str">
        <f>'Activity List'!D71</f>
        <v>Internal Transport Coordination</v>
      </c>
      <c r="D74" s="52" t="str">
        <f>'Activity List'!C71</f>
        <v>B. Coffee Operations</v>
      </c>
    </row>
    <row r="75" spans="1:4" x14ac:dyDescent="0.45">
      <c r="A75" s="52">
        <f>Master!A$6</f>
        <v>0</v>
      </c>
      <c r="B75" s="52" t="str">
        <f>'Activity List'!A72</f>
        <v>T2-019</v>
      </c>
      <c r="C75" s="52" t="str">
        <f>'Activity List'!D72</f>
        <v>Hulling Supervision</v>
      </c>
      <c r="D75" s="52" t="str">
        <f>'Activity List'!C72</f>
        <v>B. Coffee Operations</v>
      </c>
    </row>
    <row r="76" spans="1:4" x14ac:dyDescent="0.45">
      <c r="A76" s="52">
        <f>Master!A$6</f>
        <v>0</v>
      </c>
      <c r="B76" s="52" t="str">
        <f>'Activity List'!A73</f>
        <v>T2-020</v>
      </c>
      <c r="C76" s="52" t="str">
        <f>'Activity List'!D73</f>
        <v>Stock Management</v>
      </c>
      <c r="D76" s="52" t="str">
        <f>'Activity List'!C73</f>
        <v>B. Coffee Operations</v>
      </c>
    </row>
    <row r="77" spans="1:4" x14ac:dyDescent="0.45">
      <c r="A77" s="52">
        <f>Master!A$6</f>
        <v>0</v>
      </c>
      <c r="B77" s="52" t="str">
        <f>'Activity List'!A74</f>
        <v>T2-021</v>
      </c>
      <c r="C77" s="52" t="str">
        <f>'Activity List'!D74</f>
        <v>Loss Control</v>
      </c>
      <c r="D77" s="52" t="str">
        <f>'Activity List'!C74</f>
        <v>B. Coffee Operations</v>
      </c>
    </row>
    <row r="78" spans="1:4" x14ac:dyDescent="0.45">
      <c r="A78" s="52">
        <f>Master!A$6</f>
        <v>0</v>
      </c>
      <c r="B78" s="52" t="str">
        <f>'Activity List'!A75</f>
        <v>T2-022</v>
      </c>
      <c r="C78" s="52" t="str">
        <f>'Activity List'!D75</f>
        <v>Export Grading Coordination</v>
      </c>
      <c r="D78" s="52" t="str">
        <f>'Activity List'!C75</f>
        <v>C. Export &amp; Commercial Operations</v>
      </c>
    </row>
    <row r="79" spans="1:4" x14ac:dyDescent="0.45">
      <c r="A79" s="52">
        <f>Master!A$6</f>
        <v>0</v>
      </c>
      <c r="B79" s="52" t="str">
        <f>'Activity List'!A76</f>
        <v>T2-023</v>
      </c>
      <c r="C79" s="52" t="str">
        <f>'Activity List'!D76</f>
        <v>Quality Inspection Coordination</v>
      </c>
      <c r="D79" s="52" t="str">
        <f>'Activity List'!C76</f>
        <v>C. Export &amp; Commercial Operations</v>
      </c>
    </row>
    <row r="80" spans="1:4" x14ac:dyDescent="0.45">
      <c r="A80" s="52">
        <f>Master!A$6</f>
        <v>0</v>
      </c>
      <c r="B80" s="52" t="str">
        <f>'Activity List'!A77</f>
        <v>T2-024</v>
      </c>
      <c r="C80" s="52" t="str">
        <f>'Activity List'!D77</f>
        <v>Sample Preparation</v>
      </c>
      <c r="D80" s="52" t="str">
        <f>'Activity List'!C77</f>
        <v>C. Export &amp; Commercial Operations</v>
      </c>
    </row>
    <row r="81" spans="1:4" x14ac:dyDescent="0.45">
      <c r="A81" s="52">
        <f>Master!A$6</f>
        <v>0</v>
      </c>
      <c r="B81" s="52" t="str">
        <f>'Activity List'!A78</f>
        <v>T2-025</v>
      </c>
      <c r="C81" s="52" t="str">
        <f>'Activity List'!D78</f>
        <v>Client Correspondence</v>
      </c>
      <c r="D81" s="52" t="str">
        <f>'Activity List'!C78</f>
        <v>C. Export &amp; Commercial Operations</v>
      </c>
    </row>
    <row r="82" spans="1:4" x14ac:dyDescent="0.45">
      <c r="A82" s="52">
        <f>Master!A$6</f>
        <v>0</v>
      </c>
      <c r="B82" s="52" t="str">
        <f>'Activity List'!A79</f>
        <v>T2-026</v>
      </c>
      <c r="C82" s="52" t="str">
        <f>'Activity List'!D79</f>
        <v>Contract Administration</v>
      </c>
      <c r="D82" s="52" t="str">
        <f>'Activity List'!C79</f>
        <v>C. Export &amp; Commercial Operations</v>
      </c>
    </row>
    <row r="83" spans="1:4" x14ac:dyDescent="0.45">
      <c r="A83" s="52">
        <f>Master!A$6</f>
        <v>0</v>
      </c>
      <c r="B83" s="52" t="str">
        <f>'Activity List'!A80</f>
        <v>T2-027</v>
      </c>
      <c r="C83" s="52" t="str">
        <f>'Activity List'!D80</f>
        <v>Buyer Coordination</v>
      </c>
      <c r="D83" s="52" t="str">
        <f>'Activity List'!C80</f>
        <v>C. Export &amp; Commercial Operations</v>
      </c>
    </row>
    <row r="84" spans="1:4" x14ac:dyDescent="0.45">
      <c r="A84" s="52">
        <f>Master!A$6</f>
        <v>0</v>
      </c>
      <c r="B84" s="52" t="str">
        <f>'Activity List'!A81</f>
        <v>T2-028</v>
      </c>
      <c r="C84" s="52" t="str">
        <f>'Activity List'!D81</f>
        <v>Letters of Credit Coordination</v>
      </c>
      <c r="D84" s="52" t="str">
        <f>'Activity List'!C81</f>
        <v>C. Export &amp; Commercial Operations</v>
      </c>
    </row>
    <row r="85" spans="1:4" x14ac:dyDescent="0.45">
      <c r="A85" s="52">
        <f>Master!A$6</f>
        <v>0</v>
      </c>
      <c r="B85" s="52" t="str">
        <f>'Activity List'!A82</f>
        <v>T2-029</v>
      </c>
      <c r="C85" s="52" t="str">
        <f>'Activity List'!D82</f>
        <v>Export Documentation</v>
      </c>
      <c r="D85" s="52" t="str">
        <f>'Activity List'!C82</f>
        <v>C. Export &amp; Commercial Operations</v>
      </c>
    </row>
    <row r="86" spans="1:4" x14ac:dyDescent="0.45">
      <c r="A86" s="52">
        <f>Master!A$6</f>
        <v>0</v>
      </c>
      <c r="B86" s="52" t="str">
        <f>'Activity List'!A83</f>
        <v>T2-030</v>
      </c>
      <c r="C86" s="52" t="str">
        <f>'Activity List'!D83</f>
        <v>Shipping Coordination</v>
      </c>
      <c r="D86" s="52" t="str">
        <f>'Activity List'!C83</f>
        <v>C. Export &amp; Commercial Operations</v>
      </c>
    </row>
    <row r="87" spans="1:4" x14ac:dyDescent="0.45">
      <c r="A87" s="52">
        <f>Master!A$6</f>
        <v>0</v>
      </c>
      <c r="B87" s="52" t="str">
        <f>'Activity List'!A84</f>
        <v>T2-031</v>
      </c>
      <c r="C87" s="52" t="str">
        <f>'Activity List'!D84</f>
        <v>Export Compliance</v>
      </c>
      <c r="D87" s="52" t="str">
        <f>'Activity List'!C84</f>
        <v>C. Export &amp; Commercial Operations</v>
      </c>
    </row>
    <row r="88" spans="1:4" x14ac:dyDescent="0.45">
      <c r="A88" s="52">
        <f>Master!A$6</f>
        <v>0</v>
      </c>
      <c r="B88" s="52" t="str">
        <f>'Activity List'!A85</f>
        <v>T2-032</v>
      </c>
      <c r="C88" s="52" t="str">
        <f>'Activity List'!D85</f>
        <v>Shipment Follow-Up</v>
      </c>
      <c r="D88" s="52" t="str">
        <f>'Activity List'!C85</f>
        <v>C. Export &amp; Commercial Operations</v>
      </c>
    </row>
    <row r="89" spans="1:4" x14ac:dyDescent="0.45">
      <c r="A89" s="52">
        <f>Master!A$6</f>
        <v>0</v>
      </c>
      <c r="B89" s="52" t="str">
        <f>'Activity List'!A86</f>
        <v>T2-033</v>
      </c>
      <c r="C89" s="52" t="str">
        <f>'Activity List'!D86</f>
        <v>Export Proceeds Receipt and Reconciliation</v>
      </c>
      <c r="D89" s="52" t="str">
        <f>'Activity List'!C86</f>
        <v>C. Export &amp; Commercial Operations</v>
      </c>
    </row>
    <row r="90" spans="1:4" x14ac:dyDescent="0.45">
      <c r="A90" s="52">
        <f>Master!A$6</f>
        <v>0</v>
      </c>
      <c r="B90" s="52" t="str">
        <f>'Activity List'!A87</f>
        <v>T2-034</v>
      </c>
      <c r="C90" s="52" t="str">
        <f>'Activity List'!D87</f>
        <v>Washing Station Rehabilitation</v>
      </c>
      <c r="D90" s="52" t="str">
        <f>'Activity List'!C87</f>
        <v>D. Asset Development</v>
      </c>
    </row>
    <row r="91" spans="1:4" x14ac:dyDescent="0.45">
      <c r="A91" s="52">
        <f>Master!A$6</f>
        <v>0</v>
      </c>
      <c r="B91" s="52" t="str">
        <f>'Activity List'!A88</f>
        <v>T2-035</v>
      </c>
      <c r="C91" s="52" t="str">
        <f>'Activity List'!D88</f>
        <v>Huller Rehabilitation</v>
      </c>
      <c r="D91" s="52" t="str">
        <f>'Activity List'!C88</f>
        <v>D. Asset Development</v>
      </c>
    </row>
    <row r="92" spans="1:4" x14ac:dyDescent="0.45">
      <c r="A92" s="52">
        <f>Master!A$6</f>
        <v>0</v>
      </c>
      <c r="B92" s="52" t="str">
        <f>'Activity List'!A89</f>
        <v>T2-036</v>
      </c>
      <c r="C92" s="52" t="str">
        <f>'Activity List'!D89</f>
        <v>Irrigation Systems</v>
      </c>
      <c r="D92" s="52" t="str">
        <f>'Activity List'!C89</f>
        <v>D. Asset Development</v>
      </c>
    </row>
    <row r="93" spans="1:4" x14ac:dyDescent="0.45">
      <c r="A93" s="52">
        <f>Master!A$6</f>
        <v>0</v>
      </c>
      <c r="B93" s="52" t="str">
        <f>'Activity List'!A90</f>
        <v>T2-037</v>
      </c>
      <c r="C93" s="52" t="str">
        <f>'Activity List'!D90</f>
        <v>On-Farm Water Systems Development</v>
      </c>
      <c r="D93" s="52" t="str">
        <f>'Activity List'!C90</f>
        <v>D. Asset Development</v>
      </c>
    </row>
    <row r="94" spans="1:4" x14ac:dyDescent="0.45">
      <c r="A94" s="52">
        <f>Master!A$6</f>
        <v>0</v>
      </c>
      <c r="B94" s="52" t="str">
        <f>'Activity List'!A91</f>
        <v>T2-038</v>
      </c>
      <c r="C94" s="52" t="str">
        <f>'Activity List'!D91</f>
        <v>Roads</v>
      </c>
      <c r="D94" s="52" t="str">
        <f>'Activity List'!C91</f>
        <v>D. Asset Development</v>
      </c>
    </row>
    <row r="95" spans="1:4" x14ac:dyDescent="0.45">
      <c r="A95" s="52">
        <f>Master!A$6</f>
        <v>0</v>
      </c>
      <c r="B95" s="52" t="str">
        <f>'Activity List'!A92</f>
        <v>T2-039</v>
      </c>
      <c r="C95" s="52" t="str">
        <f>'Activity List'!D92</f>
        <v>Buildings</v>
      </c>
      <c r="D95" s="52" t="str">
        <f>'Activity List'!C92</f>
        <v>D. Asset Development</v>
      </c>
    </row>
    <row r="96" spans="1:4" x14ac:dyDescent="0.45">
      <c r="A96" s="52">
        <f>Master!A$6</f>
        <v>0</v>
      </c>
      <c r="B96" s="52" t="str">
        <f>'Activity List'!A93</f>
        <v>T2-040</v>
      </c>
      <c r="C96" s="52" t="str">
        <f>'Activity List'!D93</f>
        <v>Staff Housing</v>
      </c>
      <c r="D96" s="52" t="str">
        <f>'Activity List'!C93</f>
        <v>D. Asset Development</v>
      </c>
    </row>
    <row r="97" spans="1:4" x14ac:dyDescent="0.45">
      <c r="A97" s="52">
        <f>Master!A$6</f>
        <v>0</v>
      </c>
      <c r="B97" s="52" t="str">
        <f>'Activity List'!A94</f>
        <v>T2-041</v>
      </c>
      <c r="C97" s="52" t="str">
        <f>'Activity List'!D94</f>
        <v>Workshops</v>
      </c>
      <c r="D97" s="52" t="str">
        <f>'Activity List'!C94</f>
        <v>D. Asset Development</v>
      </c>
    </row>
    <row r="98" spans="1:4" x14ac:dyDescent="0.45">
      <c r="A98" s="52">
        <f>Master!A$6</f>
        <v>0</v>
      </c>
      <c r="B98" s="52" t="str">
        <f>'Activity List'!A95</f>
        <v>T2-042</v>
      </c>
      <c r="C98" s="52" t="str">
        <f>'Activity List'!D95</f>
        <v>Machinery Procurement</v>
      </c>
      <c r="D98" s="52" t="str">
        <f>'Activity List'!C95</f>
        <v>D. Asset Development</v>
      </c>
    </row>
    <row r="99" spans="1:4" x14ac:dyDescent="0.45">
      <c r="A99" s="52">
        <f>Master!A$6</f>
        <v>0</v>
      </c>
      <c r="B99" s="52" t="str">
        <f>'Activity List'!A96</f>
        <v>T2-043</v>
      </c>
      <c r="C99" s="52" t="str">
        <f>'Activity List'!D96</f>
        <v>Utilities</v>
      </c>
      <c r="D99" s="52" t="str">
        <f>'Activity List'!C96</f>
        <v>D. Asset Development</v>
      </c>
    </row>
    <row r="100" spans="1:4" x14ac:dyDescent="0.45">
      <c r="A100" s="52">
        <f>Master!A$6</f>
        <v>0</v>
      </c>
      <c r="B100" s="52" t="str">
        <f>'Activity List'!A97</f>
        <v>T2-044</v>
      </c>
      <c r="C100" s="52" t="str">
        <f>'Activity List'!D97</f>
        <v>Solar Systems (incl. Staff Welfare)</v>
      </c>
      <c r="D100" s="52" t="str">
        <f>'Activity List'!C97</f>
        <v>D. Asset Development</v>
      </c>
    </row>
    <row r="101" spans="1:4" x14ac:dyDescent="0.45">
      <c r="A101" s="52">
        <f>Master!A$6</f>
        <v>0</v>
      </c>
      <c r="B101" s="52" t="str">
        <f>'Activity List'!A98</f>
        <v>T2-045</v>
      </c>
      <c r="C101" s="52" t="str">
        <f>'Activity List'!D98</f>
        <v>Farm Expansion</v>
      </c>
      <c r="D101" s="52" t="str">
        <f>'Activity List'!C98</f>
        <v>D. Asset Development</v>
      </c>
    </row>
    <row r="102" spans="1:4" x14ac:dyDescent="0.45">
      <c r="A102" s="52">
        <f>Master!A$6</f>
        <v>0</v>
      </c>
      <c r="B102" s="52" t="str">
        <f>'Activity List'!A99</f>
        <v>T2-046</v>
      </c>
      <c r="C102" s="52" t="str">
        <f>'Activity List'!D99</f>
        <v>New Planting Blocks</v>
      </c>
      <c r="D102" s="52" t="str">
        <f>'Activity List'!C99</f>
        <v>D. Asset Development</v>
      </c>
    </row>
    <row r="103" spans="1:4" x14ac:dyDescent="0.45">
      <c r="A103" s="52">
        <f>Master!A$6</f>
        <v>0</v>
      </c>
      <c r="B103" s="52" t="str">
        <f>'Activity List'!A100</f>
        <v>T2-047</v>
      </c>
      <c r="C103" s="52" t="str">
        <f>'Activity List'!D100</f>
        <v>Security Infrastructure (incl. Camp Monitoring)</v>
      </c>
      <c r="D103" s="52" t="str">
        <f>'Activity List'!C100</f>
        <v>D. Asset Development</v>
      </c>
    </row>
    <row r="104" spans="1:4" x14ac:dyDescent="0.45">
      <c r="A104" s="52">
        <f>Master!A$6</f>
        <v>0</v>
      </c>
      <c r="B104" s="52" t="str">
        <f>'Activity List'!A101</f>
        <v>T3-001</v>
      </c>
      <c r="C104" s="52" t="str">
        <f>'Activity List'!D101</f>
        <v>Investment Due Diligence</v>
      </c>
      <c r="D104" s="52" t="str">
        <f>'Activity List'!C101</f>
        <v>A. Institutional and Strategic Interventions</v>
      </c>
    </row>
    <row r="105" spans="1:4" x14ac:dyDescent="0.45">
      <c r="A105" s="52">
        <f>Master!A$6</f>
        <v>0</v>
      </c>
      <c r="B105" s="52" t="str">
        <f>'Activity List'!A102</f>
        <v>T3-002</v>
      </c>
      <c r="C105" s="52" t="str">
        <f>'Activity List'!D102</f>
        <v>Technical Due Diligence</v>
      </c>
      <c r="D105" s="52" t="str">
        <f>'Activity List'!C102</f>
        <v>A. Institutional and Strategic Interventions</v>
      </c>
    </row>
    <row r="106" spans="1:4" x14ac:dyDescent="0.45">
      <c r="A106" s="52">
        <f>Master!A$6</f>
        <v>0</v>
      </c>
      <c r="B106" s="52" t="str">
        <f>'Activity List'!A103</f>
        <v>T3-003</v>
      </c>
      <c r="C106" s="52" t="str">
        <f>'Activity List'!D103</f>
        <v>Turnaround Assessments</v>
      </c>
      <c r="D106" s="52" t="str">
        <f>'Activity List'!C103</f>
        <v>A. Institutional and Strategic Interventions</v>
      </c>
    </row>
    <row r="107" spans="1:4" x14ac:dyDescent="0.45">
      <c r="A107" s="52">
        <f>Master!A$6</f>
        <v>0</v>
      </c>
      <c r="B107" s="52" t="str">
        <f>'Activity List'!A104</f>
        <v>T3-004</v>
      </c>
      <c r="C107" s="52" t="str">
        <f>'Activity List'!D104</f>
        <v>Strategic Reviews</v>
      </c>
      <c r="D107" s="52" t="str">
        <f>'Activity List'!C104</f>
        <v>A. Institutional and Strategic Interventions</v>
      </c>
    </row>
    <row r="108" spans="1:4" x14ac:dyDescent="0.45">
      <c r="A108" s="52">
        <f>Master!A$6</f>
        <v>0</v>
      </c>
      <c r="B108" s="52" t="str">
        <f>'Activity List'!A105</f>
        <v>T3-005</v>
      </c>
      <c r="C108" s="52" t="str">
        <f>'Activity List'!D105</f>
        <v>Major Procurement</v>
      </c>
      <c r="D108" s="52" t="str">
        <f>'Activity List'!C105</f>
        <v>A. Institutional and Strategic Interventions</v>
      </c>
    </row>
    <row r="109" spans="1:4" x14ac:dyDescent="0.45">
      <c r="A109" s="52">
        <f>Master!A$6</f>
        <v>0</v>
      </c>
      <c r="B109" s="52" t="str">
        <f>'Activity List'!A106</f>
        <v>T3-006</v>
      </c>
      <c r="C109" s="52" t="str">
        <f>'Activity List'!D106</f>
        <v>Organisational Reviews</v>
      </c>
      <c r="D109" s="52" t="str">
        <f>'Activity List'!C106</f>
        <v>A. Institutional and Strategic Interventions</v>
      </c>
    </row>
    <row r="110" spans="1:4" x14ac:dyDescent="0.45">
      <c r="A110" s="52">
        <f>Master!A$6</f>
        <v>0</v>
      </c>
      <c r="B110" s="52" t="str">
        <f>'Activity List'!A107</f>
        <v>T3-007</v>
      </c>
      <c r="C110" s="52" t="str">
        <f>'Activity List'!D107</f>
        <v>Performance Audits</v>
      </c>
      <c r="D110" s="52" t="str">
        <f>'Activity List'!C107</f>
        <v>A. Institutional and Strategic Interventions</v>
      </c>
    </row>
    <row r="111" spans="1:4" x14ac:dyDescent="0.45">
      <c r="A111" s="52">
        <f>Master!A$6</f>
        <v>0</v>
      </c>
      <c r="B111" s="52" t="str">
        <f>'Activity List'!A108</f>
        <v>T3-008</v>
      </c>
      <c r="C111" s="52" t="str">
        <f>'Activity List'!D108</f>
        <v>Recruitment Support</v>
      </c>
      <c r="D111" s="52" t="str">
        <f>'Activity List'!C108</f>
        <v>A. Institutional and Strategic Interventions</v>
      </c>
    </row>
    <row r="112" spans="1:4" x14ac:dyDescent="0.45">
      <c r="A112" s="52">
        <f>Master!A$6</f>
        <v>0</v>
      </c>
      <c r="B112" s="52" t="str">
        <f>'Activity List'!A109</f>
        <v>T3-009</v>
      </c>
      <c r="C112" s="52" t="str">
        <f>'Activity List'!D109</f>
        <v>Regulatory Coordination and Monitoring</v>
      </c>
      <c r="D112" s="52" t="str">
        <f>'Activity List'!C109</f>
        <v>A. Institutional and Strategic Interventions</v>
      </c>
    </row>
    <row r="113" spans="1:4" x14ac:dyDescent="0.45">
      <c r="A113" s="52">
        <f>Master!A$6</f>
        <v>0</v>
      </c>
      <c r="B113" s="52" t="str">
        <f>'Activity List'!A110</f>
        <v>T3-010</v>
      </c>
      <c r="C113" s="52" t="str">
        <f>'Activity List'!D110</f>
        <v>Security Assessments</v>
      </c>
      <c r="D113" s="52" t="str">
        <f>'Activity List'!C110</f>
        <v>A. Institutional and Strategic Interventions</v>
      </c>
    </row>
    <row r="114" spans="1:4" x14ac:dyDescent="0.45">
      <c r="A114" s="52">
        <f>Master!A$6</f>
        <v>0</v>
      </c>
      <c r="B114" s="52" t="str">
        <f>'Activity List'!A111</f>
        <v>T3-011</v>
      </c>
      <c r="C114" s="52" t="str">
        <f>'Activity List'!D111</f>
        <v>Special Investigations</v>
      </c>
      <c r="D114" s="52" t="str">
        <f>'Activity List'!C111</f>
        <v>A. Institutional and Strategic Interventions</v>
      </c>
    </row>
    <row r="115" spans="1:4" x14ac:dyDescent="0.45">
      <c r="A115" s="52">
        <f>Master!A$6</f>
        <v>0</v>
      </c>
      <c r="B115" s="52" t="str">
        <f>'Activity List'!A112</f>
        <v>T3-012</v>
      </c>
      <c r="C115" s="52" t="str">
        <f>'Activity List'!D112</f>
        <v>Board Reporting</v>
      </c>
      <c r="D115" s="52" t="str">
        <f>'Activity List'!C112</f>
        <v>A. Institutional and Strategic Interventions</v>
      </c>
    </row>
    <row r="116" spans="1:4" x14ac:dyDescent="0.45">
      <c r="A116" s="52">
        <f>Master!A$6</f>
        <v>0</v>
      </c>
      <c r="B116" s="52" t="str">
        <f>'Activity List'!A113</f>
        <v>T3-013</v>
      </c>
      <c r="C116" s="52" t="str">
        <f>'Activity List'!D113</f>
        <v>Investor Reporting</v>
      </c>
      <c r="D116" s="52" t="str">
        <f>'Activity List'!C113</f>
        <v>A. Institutional and Strategic Interventions</v>
      </c>
    </row>
    <row r="117" spans="1:4" x14ac:dyDescent="0.45">
      <c r="A117" s="52">
        <f>Master!A$6</f>
        <v>0</v>
      </c>
      <c r="B117" s="52" t="str">
        <f>'Activity List'!A114</f>
        <v>T3-014</v>
      </c>
      <c r="C117" s="52" t="str">
        <f>'Activity List'!D114</f>
        <v>Staff Capability Development</v>
      </c>
      <c r="D117" s="52" t="str">
        <f>'Activity List'!C114</f>
        <v>A. Institutional and Strategic Interventions</v>
      </c>
    </row>
    <row r="118" spans="1:4" x14ac:dyDescent="0.45">
      <c r="A118" s="52">
        <f>Master!A$6</f>
        <v>0</v>
      </c>
      <c r="B118" s="52" t="str">
        <f>'Activity List'!A115</f>
        <v>T3-015</v>
      </c>
      <c r="C118" s="52" t="str">
        <f>'Activity List'!D115</f>
        <v>Operational Benchmarking</v>
      </c>
      <c r="D118" s="52" t="str">
        <f>'Activity List'!C115</f>
        <v>A. Institutional and Strategic Interventions</v>
      </c>
    </row>
    <row r="119" spans="1:4" x14ac:dyDescent="0.45">
      <c r="A119" s="52">
        <f>Master!A$6</f>
        <v>0</v>
      </c>
      <c r="B119" s="52" t="str">
        <f>'Activity List'!A116</f>
        <v>T3-016</v>
      </c>
      <c r="C119" s="52" t="str">
        <f>'Activity List'!D116</f>
        <v>Feasibility Studies</v>
      </c>
      <c r="D119" s="52" t="str">
        <f>'Activity List'!C116</f>
        <v>A. Institutional and Strategic Interventions</v>
      </c>
    </row>
    <row r="120" spans="1:4" x14ac:dyDescent="0.45">
      <c r="A120" s="52">
        <f>Master!A$6</f>
        <v>0</v>
      </c>
      <c r="B120" s="52" t="str">
        <f>'Activity List'!A117</f>
        <v>T3-017</v>
      </c>
      <c r="C120" s="52" t="str">
        <f>'Activity List'!D117</f>
        <v>Owner Representation</v>
      </c>
      <c r="D120" s="52" t="str">
        <f>'Activity List'!C117</f>
        <v>A. Institutional and Strategic Interventions</v>
      </c>
    </row>
    <row r="121" spans="1:4" x14ac:dyDescent="0.45">
      <c r="A121" s="52">
        <f>Master!A$6</f>
        <v>0</v>
      </c>
      <c r="B121" s="52" t="str">
        <f>'Activity List'!A118</f>
        <v>T3-018</v>
      </c>
      <c r="C121" s="52" t="str">
        <f>'Activity List'!D118</f>
        <v>Coordination of Legal Advisers</v>
      </c>
      <c r="D121" s="52" t="str">
        <f>'Activity List'!C118</f>
        <v>A. Institutional and Strategic Interventions</v>
      </c>
    </row>
    <row r="122" spans="1:4" x14ac:dyDescent="0.45">
      <c r="A122" s="52">
        <f>Master!A$6</f>
        <v>0</v>
      </c>
      <c r="B122" s="52" t="str">
        <f>'Activity List'!A119</f>
        <v>T3-019</v>
      </c>
      <c r="C122" s="52" t="str">
        <f>'Activity List'!D119</f>
        <v>Coordination of Tax Advisers</v>
      </c>
      <c r="D122" s="52" t="str">
        <f>'Activity List'!C119</f>
        <v>A. Institutional and Strategic Interventions</v>
      </c>
    </row>
    <row r="123" spans="1:4" x14ac:dyDescent="0.45">
      <c r="A123" s="52">
        <f>Master!A$6</f>
        <v>0</v>
      </c>
      <c r="B123" s="52" t="str">
        <f>'Activity List'!A120</f>
        <v>T3-020</v>
      </c>
      <c r="C123" s="52" t="str">
        <f>'Activity List'!D120</f>
        <v>Governance Oversight</v>
      </c>
      <c r="D123" s="52" t="str">
        <f>'Activity List'!C120</f>
        <v>A. Institutional and Strategic Interventions</v>
      </c>
    </row>
    <row r="124" spans="1:4" x14ac:dyDescent="0.45">
      <c r="A124" s="52">
        <f>Master!A$6</f>
        <v>0</v>
      </c>
      <c r="B124" s="52" t="str">
        <f>'Activity List'!A121</f>
        <v>T3-021</v>
      </c>
      <c r="C124" s="52" t="str">
        <f>'Activity List'!D121</f>
        <v>Debt Raising Support</v>
      </c>
      <c r="D124" s="52" t="str">
        <f>'Activity List'!C121</f>
        <v>A. Institutional and Strategic Interventions</v>
      </c>
    </row>
    <row r="125" spans="1:4" x14ac:dyDescent="0.45">
      <c r="A125" s="52">
        <f>Master!A$6</f>
        <v>0</v>
      </c>
      <c r="B125" s="52" t="str">
        <f>'Activity List'!A122</f>
        <v>T3-022</v>
      </c>
      <c r="C125" s="52" t="str">
        <f>'Activity List'!D122</f>
        <v>Lender Coordination</v>
      </c>
      <c r="D125" s="52" t="str">
        <f>'Activity List'!C122</f>
        <v>A. Institutional and Strategic Interventions</v>
      </c>
    </row>
    <row r="126" spans="1:4" x14ac:dyDescent="0.45">
      <c r="A126" s="52">
        <f>Master!A$6</f>
        <v>0</v>
      </c>
      <c r="B126" s="52" t="str">
        <f>'Activity List'!A123</f>
        <v>T3-023</v>
      </c>
      <c r="C126" s="52" t="str">
        <f>'Activity List'!D123</f>
        <v>Strategic Stakeholder Engagement</v>
      </c>
      <c r="D126" s="52" t="str">
        <f>'Activity List'!C123</f>
        <v>A. Institutional and Strategic Interventions</v>
      </c>
    </row>
    <row r="127" spans="1:4" x14ac:dyDescent="0.45">
      <c r="A127" s="52">
        <f>Master!A$6</f>
        <v>0</v>
      </c>
      <c r="B127" s="52" t="str">
        <f>'Activity List'!A124</f>
        <v>T3-024</v>
      </c>
      <c r="C127" s="52" t="str">
        <f>'Activity List'!D124</f>
        <v>Reputation Management</v>
      </c>
      <c r="D127" s="52" t="str">
        <f>'Activity List'!C124</f>
        <v>A. Institutional and Strategic Interventions</v>
      </c>
    </row>
    <row r="128" spans="1:4" x14ac:dyDescent="0.45">
      <c r="A128" s="52">
        <f>Master!A$6</f>
        <v>0</v>
      </c>
      <c r="B128" s="52" t="str">
        <f>'Activity List'!A125</f>
        <v>T3-025</v>
      </c>
      <c r="C128" s="52" t="str">
        <f>'Activity List'!D125</f>
        <v>Strategic Reporting</v>
      </c>
      <c r="D128" s="52" t="str">
        <f>'Activity List'!C125</f>
        <v>A. Institutional and Strategic Interventions</v>
      </c>
    </row>
    <row r="129" spans="1:4" x14ac:dyDescent="0.45">
      <c r="A129" s="52">
        <f>Master!A$6</f>
        <v>0</v>
      </c>
      <c r="B129" s="52" t="str">
        <f>'Activity List'!A126</f>
        <v>T3-026</v>
      </c>
      <c r="C129" s="52" t="str">
        <f>'Activity List'!D126</f>
        <v>Coordination of Specialist Advisers</v>
      </c>
      <c r="D129" s="52" t="str">
        <f>'Activity List'!C126</f>
        <v>A. Institutional and Strategic Interventions</v>
      </c>
    </row>
    <row r="130" spans="1:4" x14ac:dyDescent="0.45">
      <c r="A130" s="52">
        <f>Master!A$6</f>
        <v>0</v>
      </c>
      <c r="B130" s="52" t="str">
        <f>'Activity List'!A127</f>
        <v>T3-027</v>
      </c>
      <c r="C130" s="52" t="str">
        <f>'Activity List'!D127</f>
        <v>Soil Sampling and Analysis</v>
      </c>
      <c r="D130" s="52" t="str">
        <f>'Activity List'!C127</f>
        <v>B. Technical and Laboratory Services</v>
      </c>
    </row>
    <row r="131" spans="1:4" x14ac:dyDescent="0.45">
      <c r="A131" s="52">
        <f>Master!A$6</f>
        <v>0</v>
      </c>
      <c r="B131" s="52" t="str">
        <f>'Activity List'!A128</f>
        <v>T3-028</v>
      </c>
      <c r="C131" s="52" t="str">
        <f>'Activity List'!D128</f>
        <v>Soil Fertility and Nutrient Status Reporting</v>
      </c>
      <c r="D131" s="52" t="str">
        <f>'Activity List'!C128</f>
        <v>B. Technical and Laboratory Services</v>
      </c>
    </row>
    <row r="132" spans="1:4" x14ac:dyDescent="0.45">
      <c r="A132" s="52">
        <f>Master!A$6</f>
        <v>0</v>
      </c>
      <c r="B132" s="52" t="str">
        <f>'Activity List'!A129</f>
        <v>T3-029</v>
      </c>
      <c r="C132" s="52" t="str">
        <f>'Activity List'!D129</f>
        <v>Liming and Soil Amendment Recommendations</v>
      </c>
      <c r="D132" s="52" t="str">
        <f>'Activity List'!C129</f>
        <v>B. Technical and Laboratory Services</v>
      </c>
    </row>
    <row r="133" spans="1:4" x14ac:dyDescent="0.45">
      <c r="A133" s="52">
        <f>Master!A$6</f>
        <v>0</v>
      </c>
      <c r="B133" s="52" t="str">
        <f>'Activity List'!A130</f>
        <v>T3-030</v>
      </c>
      <c r="C133" s="52" t="str">
        <f>'Activity List'!D130</f>
        <v>GPS Farm Boundary and Block Mapping</v>
      </c>
      <c r="D133" s="52" t="str">
        <f>'Activity List'!C130</f>
        <v>B. Technical and Laboratory Services</v>
      </c>
    </row>
    <row r="134" spans="1:4" x14ac:dyDescent="0.45">
      <c r="A134" s="52">
        <f>Master!A$6</f>
        <v>0</v>
      </c>
      <c r="B134" s="52" t="str">
        <f>'Activity List'!A131</f>
        <v>T3-031</v>
      </c>
      <c r="C134" s="52" t="str">
        <f>'Activity List'!D131</f>
        <v>GIS Layering (Soil, Slope, Drainage, Shade, Productivity)</v>
      </c>
      <c r="D134" s="52" t="str">
        <f>'Activity List'!C131</f>
        <v>B. Technical and Laboratory Services</v>
      </c>
    </row>
    <row r="135" spans="1:4" x14ac:dyDescent="0.45">
      <c r="A135" s="52">
        <f>Master!A$6</f>
        <v>0</v>
      </c>
      <c r="B135" s="52" t="str">
        <f>'Activity List'!A132</f>
        <v>T3-032</v>
      </c>
      <c r="C135" s="52" t="str">
        <f>'Activity List'!D132</f>
        <v>Weather Station Installation and Management</v>
      </c>
      <c r="D135" s="52" t="str">
        <f>'Activity List'!C132</f>
        <v>B. Technical and Laboratory Services</v>
      </c>
    </row>
    <row r="136" spans="1:4" x14ac:dyDescent="0.45">
      <c r="A136" s="52">
        <f>Master!A$6</f>
        <v>0</v>
      </c>
      <c r="B136" s="52" t="str">
        <f>'Activity List'!A133</f>
        <v>T3-033</v>
      </c>
      <c r="C136" s="52" t="str">
        <f>'Activity List'!D133</f>
        <v>Farm Operating Manuals and SOPs</v>
      </c>
      <c r="D136" s="52" t="str">
        <f>'Activity List'!C133</f>
        <v>B. Technical and Laboratory Services</v>
      </c>
    </row>
    <row r="137" spans="1:4" x14ac:dyDescent="0.45">
      <c r="A137" s="52">
        <f>Master!A$6</f>
        <v>0</v>
      </c>
      <c r="B137" s="52" t="str">
        <f>'Activity List'!A134</f>
        <v>T3-034</v>
      </c>
      <c r="C137" s="52" t="str">
        <f>'Activity List'!D134</f>
        <v>SpiralLabs Cupping, Grading and Quality Control</v>
      </c>
      <c r="D137" s="52" t="str">
        <f>'Activity List'!C134</f>
        <v>B. Technical and Laboratory Services</v>
      </c>
    </row>
    <row r="138" spans="1:4" x14ac:dyDescent="0.45">
      <c r="A138" s="52">
        <f>Master!A$6</f>
        <v>0</v>
      </c>
      <c r="B138" s="52" t="str">
        <f>'Activity List'!A135</f>
        <v>T3-035</v>
      </c>
      <c r="C138" s="52" t="str">
        <f>'Activity List'!D135</f>
        <v>Buyer Hosting at SpiralLabs</v>
      </c>
      <c r="D138" s="52" t="str">
        <f>'Activity List'!C135</f>
        <v>B. Technical and Laboratory Services</v>
      </c>
    </row>
    <row r="140" spans="1:4" ht="43.5" customHeight="1" x14ac:dyDescent="0.45">
      <c r="A140" s="5" t="s">
        <v>502</v>
      </c>
      <c r="B140" s="5"/>
      <c r="C140" s="5"/>
      <c r="D140" s="5"/>
    </row>
  </sheetData>
  <mergeCells count="2">
    <mergeCell ref="A2:D2"/>
    <mergeCell ref="A140:D140"/>
  </mergeCell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 id="{00000000-000E-0000-1100-000002000000}">
            <xm:f>AND('Annual Election'!$I$5="Y",E$4&gt;='Annual Election'!$E$5,E$4&lt;='Annual Election'!$H$5)</xm:f>
            <x14:dxf>
              <fill>
                <patternFill>
                  <bgColor rgb="FFDFF3FB"/>
                </patternFill>
              </fill>
            </x14:dxf>
          </x14:cfRule>
          <xm:sqref>E5:NE5</xm:sqref>
        </x14:conditionalFormatting>
        <x14:conditionalFormatting xmlns:xm="http://schemas.microsoft.com/office/excel/2006/main">
          <x14:cfRule type="expression" priority="3" id="{00000000-000E-0000-1100-000003000000}">
            <xm:f>AND('Annual Election'!$I$6="Y",E$4&gt;='Annual Election'!$E$6,E$4&lt;='Annual Election'!$H$6)</xm:f>
            <x14:dxf>
              <fill>
                <patternFill>
                  <bgColor rgb="FFDFF3FB"/>
                </patternFill>
              </fill>
            </x14:dxf>
          </x14:cfRule>
          <xm:sqref>E6:NE6</xm:sqref>
        </x14:conditionalFormatting>
        <x14:conditionalFormatting xmlns:xm="http://schemas.microsoft.com/office/excel/2006/main">
          <x14:cfRule type="expression" priority="4" id="{00000000-000E-0000-1100-000004000000}">
            <xm:f>AND('Annual Election'!$I$7="Y",E$4&gt;='Annual Election'!$E$7,E$4&lt;='Annual Election'!$H$7)</xm:f>
            <x14:dxf>
              <fill>
                <patternFill>
                  <bgColor rgb="FFDFF3FB"/>
                </patternFill>
              </fill>
            </x14:dxf>
          </x14:cfRule>
          <xm:sqref>E7:NE7</xm:sqref>
        </x14:conditionalFormatting>
        <x14:conditionalFormatting xmlns:xm="http://schemas.microsoft.com/office/excel/2006/main">
          <x14:cfRule type="expression" priority="5" id="{00000000-000E-0000-1100-000005000000}">
            <xm:f>AND('Annual Election'!$I$8="Y",E$4&gt;='Annual Election'!$E$8,E$4&lt;='Annual Election'!$H$8)</xm:f>
            <x14:dxf>
              <fill>
                <patternFill>
                  <bgColor rgb="FFDFF3FB"/>
                </patternFill>
              </fill>
            </x14:dxf>
          </x14:cfRule>
          <xm:sqref>E8:NE8</xm:sqref>
        </x14:conditionalFormatting>
        <x14:conditionalFormatting xmlns:xm="http://schemas.microsoft.com/office/excel/2006/main">
          <x14:cfRule type="expression" priority="6" id="{00000000-000E-0000-1100-000006000000}">
            <xm:f>AND('Annual Election'!$I$9="Y",E$4&gt;='Annual Election'!$E$9,E$4&lt;='Annual Election'!$H$9)</xm:f>
            <x14:dxf>
              <fill>
                <patternFill>
                  <bgColor rgb="FFDFF3FB"/>
                </patternFill>
              </fill>
            </x14:dxf>
          </x14:cfRule>
          <xm:sqref>E9:NE9</xm:sqref>
        </x14:conditionalFormatting>
        <x14:conditionalFormatting xmlns:xm="http://schemas.microsoft.com/office/excel/2006/main">
          <x14:cfRule type="expression" priority="7" id="{00000000-000E-0000-1100-000007000000}">
            <xm:f>AND('Annual Election'!$I$10="Y",E$4&gt;='Annual Election'!$E$10,E$4&lt;='Annual Election'!$H$10)</xm:f>
            <x14:dxf>
              <fill>
                <patternFill>
                  <bgColor rgb="FFDFF3FB"/>
                </patternFill>
              </fill>
            </x14:dxf>
          </x14:cfRule>
          <xm:sqref>E10:NE10</xm:sqref>
        </x14:conditionalFormatting>
        <x14:conditionalFormatting xmlns:xm="http://schemas.microsoft.com/office/excel/2006/main">
          <x14:cfRule type="expression" priority="8" id="{00000000-000E-0000-1100-000008000000}">
            <xm:f>AND('Annual Election'!$I$11="Y",E$4&gt;='Annual Election'!$E$11,E$4&lt;='Annual Election'!$H$11)</xm:f>
            <x14:dxf>
              <fill>
                <patternFill>
                  <bgColor rgb="FFDFF3FB"/>
                </patternFill>
              </fill>
            </x14:dxf>
          </x14:cfRule>
          <xm:sqref>E11:NE11</xm:sqref>
        </x14:conditionalFormatting>
        <x14:conditionalFormatting xmlns:xm="http://schemas.microsoft.com/office/excel/2006/main">
          <x14:cfRule type="expression" priority="9" id="{00000000-000E-0000-1100-000009000000}">
            <xm:f>AND('Annual Election'!$I$12="Y",E$4&gt;='Annual Election'!$E$12,E$4&lt;='Annual Election'!$H$12)</xm:f>
            <x14:dxf>
              <fill>
                <patternFill>
                  <bgColor rgb="FFDFF3FB"/>
                </patternFill>
              </fill>
            </x14:dxf>
          </x14:cfRule>
          <xm:sqref>E12:NE12</xm:sqref>
        </x14:conditionalFormatting>
        <x14:conditionalFormatting xmlns:xm="http://schemas.microsoft.com/office/excel/2006/main">
          <x14:cfRule type="expression" priority="10" id="{00000000-000E-0000-1100-00000A000000}">
            <xm:f>AND('Annual Election'!$I$13="Y",E$4&gt;='Annual Election'!$E$13,E$4&lt;='Annual Election'!$H$13)</xm:f>
            <x14:dxf>
              <fill>
                <patternFill>
                  <bgColor rgb="FFDFF3FB"/>
                </patternFill>
              </fill>
            </x14:dxf>
          </x14:cfRule>
          <xm:sqref>E13:NE13</xm:sqref>
        </x14:conditionalFormatting>
        <x14:conditionalFormatting xmlns:xm="http://schemas.microsoft.com/office/excel/2006/main">
          <x14:cfRule type="expression" priority="11" id="{00000000-000E-0000-1100-00000B000000}">
            <xm:f>AND('Annual Election'!$I$14="Y",E$4&gt;='Annual Election'!$E$14,E$4&lt;='Annual Election'!$H$14)</xm:f>
            <x14:dxf>
              <fill>
                <patternFill>
                  <bgColor rgb="FFDFF3FB"/>
                </patternFill>
              </fill>
            </x14:dxf>
          </x14:cfRule>
          <xm:sqref>E14:NE14</xm:sqref>
        </x14:conditionalFormatting>
        <x14:conditionalFormatting xmlns:xm="http://schemas.microsoft.com/office/excel/2006/main">
          <x14:cfRule type="expression" priority="12" id="{00000000-000E-0000-1100-00000C000000}">
            <xm:f>AND('Annual Election'!$I$15="Y",E$4&gt;='Annual Election'!$E$15,E$4&lt;='Annual Election'!$H$15)</xm:f>
            <x14:dxf>
              <fill>
                <patternFill>
                  <bgColor rgb="FFDFF3FB"/>
                </patternFill>
              </fill>
            </x14:dxf>
          </x14:cfRule>
          <xm:sqref>E15:NE15</xm:sqref>
        </x14:conditionalFormatting>
        <x14:conditionalFormatting xmlns:xm="http://schemas.microsoft.com/office/excel/2006/main">
          <x14:cfRule type="expression" priority="13" id="{00000000-000E-0000-1100-00000D000000}">
            <xm:f>AND('Annual Election'!$I$16="Y",E$4&gt;='Annual Election'!$E$16,E$4&lt;='Annual Election'!$H$16)</xm:f>
            <x14:dxf>
              <fill>
                <patternFill>
                  <bgColor rgb="FFDFF3FB"/>
                </patternFill>
              </fill>
            </x14:dxf>
          </x14:cfRule>
          <xm:sqref>E16:NE16</xm:sqref>
        </x14:conditionalFormatting>
        <x14:conditionalFormatting xmlns:xm="http://schemas.microsoft.com/office/excel/2006/main">
          <x14:cfRule type="expression" priority="14" id="{00000000-000E-0000-1100-00000E000000}">
            <xm:f>AND('Annual Election'!$I$17="Y",E$4&gt;='Annual Election'!$E$17,E$4&lt;='Annual Election'!$H$17)</xm:f>
            <x14:dxf>
              <fill>
                <patternFill>
                  <bgColor rgb="FFDFF3FB"/>
                </patternFill>
              </fill>
            </x14:dxf>
          </x14:cfRule>
          <xm:sqref>E17:NE17</xm:sqref>
        </x14:conditionalFormatting>
        <x14:conditionalFormatting xmlns:xm="http://schemas.microsoft.com/office/excel/2006/main">
          <x14:cfRule type="expression" priority="15" id="{00000000-000E-0000-1100-00000F000000}">
            <xm:f>AND('Annual Election'!$I$18="Y",E$4&gt;='Annual Election'!$E$18,E$4&lt;='Annual Election'!$H$18)</xm:f>
            <x14:dxf>
              <fill>
                <patternFill>
                  <bgColor rgb="FFDFF3FB"/>
                </patternFill>
              </fill>
            </x14:dxf>
          </x14:cfRule>
          <xm:sqref>E18:NE18</xm:sqref>
        </x14:conditionalFormatting>
        <x14:conditionalFormatting xmlns:xm="http://schemas.microsoft.com/office/excel/2006/main">
          <x14:cfRule type="expression" priority="16" id="{00000000-000E-0000-1100-000010000000}">
            <xm:f>AND('Annual Election'!$I$19="Y",E$4&gt;='Annual Election'!$E$19,E$4&lt;='Annual Election'!$H$19)</xm:f>
            <x14:dxf>
              <fill>
                <patternFill>
                  <bgColor rgb="FFDFF3FB"/>
                </patternFill>
              </fill>
            </x14:dxf>
          </x14:cfRule>
          <xm:sqref>E19:NE19</xm:sqref>
        </x14:conditionalFormatting>
        <x14:conditionalFormatting xmlns:xm="http://schemas.microsoft.com/office/excel/2006/main">
          <x14:cfRule type="expression" priority="17" id="{00000000-000E-0000-1100-000011000000}">
            <xm:f>AND('Annual Election'!$I$20="Y",E$4&gt;='Annual Election'!$E$20,E$4&lt;='Annual Election'!$H$20)</xm:f>
            <x14:dxf>
              <fill>
                <patternFill>
                  <bgColor rgb="FFDFF3FB"/>
                </patternFill>
              </fill>
            </x14:dxf>
          </x14:cfRule>
          <xm:sqref>E20:NE20</xm:sqref>
        </x14:conditionalFormatting>
        <x14:conditionalFormatting xmlns:xm="http://schemas.microsoft.com/office/excel/2006/main">
          <x14:cfRule type="expression" priority="18" id="{00000000-000E-0000-1100-000012000000}">
            <xm:f>AND('Annual Election'!$I$21="Y",E$4&gt;='Annual Election'!$E$21,E$4&lt;='Annual Election'!$H$21)</xm:f>
            <x14:dxf>
              <fill>
                <patternFill>
                  <bgColor rgb="FFDFF3FB"/>
                </patternFill>
              </fill>
            </x14:dxf>
          </x14:cfRule>
          <xm:sqref>E21:NE21</xm:sqref>
        </x14:conditionalFormatting>
        <x14:conditionalFormatting xmlns:xm="http://schemas.microsoft.com/office/excel/2006/main">
          <x14:cfRule type="expression" priority="19" id="{00000000-000E-0000-1100-000013000000}">
            <xm:f>AND('Annual Election'!$I$22="Y",E$4&gt;='Annual Election'!$E$22,E$4&lt;='Annual Election'!$H$22)</xm:f>
            <x14:dxf>
              <fill>
                <patternFill>
                  <bgColor rgb="FFDFF3FB"/>
                </patternFill>
              </fill>
            </x14:dxf>
          </x14:cfRule>
          <xm:sqref>E22:NE22</xm:sqref>
        </x14:conditionalFormatting>
        <x14:conditionalFormatting xmlns:xm="http://schemas.microsoft.com/office/excel/2006/main">
          <x14:cfRule type="expression" priority="20" id="{00000000-000E-0000-1100-000014000000}">
            <xm:f>AND('Annual Election'!$I$23="Y",E$4&gt;='Annual Election'!$E$23,E$4&lt;='Annual Election'!$H$23)</xm:f>
            <x14:dxf>
              <fill>
                <patternFill>
                  <bgColor rgb="FFDFF3FB"/>
                </patternFill>
              </fill>
            </x14:dxf>
          </x14:cfRule>
          <xm:sqref>E23:NE23</xm:sqref>
        </x14:conditionalFormatting>
        <x14:conditionalFormatting xmlns:xm="http://schemas.microsoft.com/office/excel/2006/main">
          <x14:cfRule type="expression" priority="21" id="{00000000-000E-0000-1100-000015000000}">
            <xm:f>AND('Annual Election'!$I$24="Y",E$4&gt;='Annual Election'!$E$24,E$4&lt;='Annual Election'!$H$24)</xm:f>
            <x14:dxf>
              <fill>
                <patternFill>
                  <bgColor rgb="FFDFF3FB"/>
                </patternFill>
              </fill>
            </x14:dxf>
          </x14:cfRule>
          <xm:sqref>E24:NE24</xm:sqref>
        </x14:conditionalFormatting>
        <x14:conditionalFormatting xmlns:xm="http://schemas.microsoft.com/office/excel/2006/main">
          <x14:cfRule type="expression" priority="22" id="{00000000-000E-0000-1100-000016000000}">
            <xm:f>AND('Annual Election'!$I$25="Y",E$4&gt;='Annual Election'!$E$25,E$4&lt;='Annual Election'!$H$25)</xm:f>
            <x14:dxf>
              <fill>
                <patternFill>
                  <bgColor rgb="FFDFF3FB"/>
                </patternFill>
              </fill>
            </x14:dxf>
          </x14:cfRule>
          <xm:sqref>E25:NE25</xm:sqref>
        </x14:conditionalFormatting>
        <x14:conditionalFormatting xmlns:xm="http://schemas.microsoft.com/office/excel/2006/main">
          <x14:cfRule type="expression" priority="23" id="{00000000-000E-0000-1100-000017000000}">
            <xm:f>AND('Annual Election'!$I$26="Y",E$4&gt;='Annual Election'!$E$26,E$4&lt;='Annual Election'!$H$26)</xm:f>
            <x14:dxf>
              <fill>
                <patternFill>
                  <bgColor rgb="FFDFF3FB"/>
                </patternFill>
              </fill>
            </x14:dxf>
          </x14:cfRule>
          <xm:sqref>E26:NE26</xm:sqref>
        </x14:conditionalFormatting>
        <x14:conditionalFormatting xmlns:xm="http://schemas.microsoft.com/office/excel/2006/main">
          <x14:cfRule type="expression" priority="24" id="{00000000-000E-0000-1100-000018000000}">
            <xm:f>AND('Annual Election'!$I$27="Y",E$4&gt;='Annual Election'!$E$27,E$4&lt;='Annual Election'!$H$27)</xm:f>
            <x14:dxf>
              <fill>
                <patternFill>
                  <bgColor rgb="FFDFF3FB"/>
                </patternFill>
              </fill>
            </x14:dxf>
          </x14:cfRule>
          <xm:sqref>E27:NE27</xm:sqref>
        </x14:conditionalFormatting>
        <x14:conditionalFormatting xmlns:xm="http://schemas.microsoft.com/office/excel/2006/main">
          <x14:cfRule type="expression" priority="25" id="{00000000-000E-0000-1100-000019000000}">
            <xm:f>AND('Annual Election'!$I$28="Y",E$4&gt;='Annual Election'!$E$28,E$4&lt;='Annual Election'!$H$28)</xm:f>
            <x14:dxf>
              <fill>
                <patternFill>
                  <bgColor rgb="FFDFF3FB"/>
                </patternFill>
              </fill>
            </x14:dxf>
          </x14:cfRule>
          <xm:sqref>E28:NE28</xm:sqref>
        </x14:conditionalFormatting>
        <x14:conditionalFormatting xmlns:xm="http://schemas.microsoft.com/office/excel/2006/main">
          <x14:cfRule type="expression" priority="26" id="{00000000-000E-0000-1100-00001A000000}">
            <xm:f>AND('Annual Election'!$I$29="Y",E$4&gt;='Annual Election'!$E$29,E$4&lt;='Annual Election'!$H$29)</xm:f>
            <x14:dxf>
              <fill>
                <patternFill>
                  <bgColor rgb="FFDFF3FB"/>
                </patternFill>
              </fill>
            </x14:dxf>
          </x14:cfRule>
          <xm:sqref>E29:NE29</xm:sqref>
        </x14:conditionalFormatting>
        <x14:conditionalFormatting xmlns:xm="http://schemas.microsoft.com/office/excel/2006/main">
          <x14:cfRule type="expression" priority="27" id="{00000000-000E-0000-1100-00001B000000}">
            <xm:f>AND('Annual Election'!$I$30="Y",E$4&gt;='Annual Election'!$E$30,E$4&lt;='Annual Election'!$H$30)</xm:f>
            <x14:dxf>
              <fill>
                <patternFill>
                  <bgColor rgb="FFDFF3FB"/>
                </patternFill>
              </fill>
            </x14:dxf>
          </x14:cfRule>
          <xm:sqref>E30:NE30</xm:sqref>
        </x14:conditionalFormatting>
        <x14:conditionalFormatting xmlns:xm="http://schemas.microsoft.com/office/excel/2006/main">
          <x14:cfRule type="expression" priority="28" id="{00000000-000E-0000-1100-00001C000000}">
            <xm:f>AND('Annual Election'!$I$31="Y",E$4&gt;='Annual Election'!$E$31,E$4&lt;='Annual Election'!$H$31)</xm:f>
            <x14:dxf>
              <fill>
                <patternFill>
                  <bgColor rgb="FFDFF3FB"/>
                </patternFill>
              </fill>
            </x14:dxf>
          </x14:cfRule>
          <xm:sqref>E31:NE31</xm:sqref>
        </x14:conditionalFormatting>
        <x14:conditionalFormatting xmlns:xm="http://schemas.microsoft.com/office/excel/2006/main">
          <x14:cfRule type="expression" priority="29" id="{00000000-000E-0000-1100-00001D000000}">
            <xm:f>AND('Annual Election'!$I$32="Y",E$4&gt;='Annual Election'!$E$32,E$4&lt;='Annual Election'!$H$32)</xm:f>
            <x14:dxf>
              <fill>
                <patternFill>
                  <bgColor rgb="FFDFF3FB"/>
                </patternFill>
              </fill>
            </x14:dxf>
          </x14:cfRule>
          <xm:sqref>E32:NE32</xm:sqref>
        </x14:conditionalFormatting>
        <x14:conditionalFormatting xmlns:xm="http://schemas.microsoft.com/office/excel/2006/main">
          <x14:cfRule type="expression" priority="30" id="{00000000-000E-0000-1100-00001E000000}">
            <xm:f>AND('Annual Election'!$I$33="Y",E$4&gt;='Annual Election'!$E$33,E$4&lt;='Annual Election'!$H$33)</xm:f>
            <x14:dxf>
              <fill>
                <patternFill>
                  <bgColor rgb="FFDFF3FB"/>
                </patternFill>
              </fill>
            </x14:dxf>
          </x14:cfRule>
          <xm:sqref>E33:NE33</xm:sqref>
        </x14:conditionalFormatting>
        <x14:conditionalFormatting xmlns:xm="http://schemas.microsoft.com/office/excel/2006/main">
          <x14:cfRule type="expression" priority="31" id="{00000000-000E-0000-1100-00001F000000}">
            <xm:f>AND('Annual Election'!$I$34="Y",E$4&gt;='Annual Election'!$E$34,E$4&lt;='Annual Election'!$H$34)</xm:f>
            <x14:dxf>
              <fill>
                <patternFill>
                  <bgColor rgb="FFDFF3FB"/>
                </patternFill>
              </fill>
            </x14:dxf>
          </x14:cfRule>
          <xm:sqref>E34:NE34</xm:sqref>
        </x14:conditionalFormatting>
        <x14:conditionalFormatting xmlns:xm="http://schemas.microsoft.com/office/excel/2006/main">
          <x14:cfRule type="expression" priority="32" id="{00000000-000E-0000-1100-000020000000}">
            <xm:f>AND('Annual Election'!$I$35="Y",E$4&gt;='Annual Election'!$E$35,E$4&lt;='Annual Election'!$H$35)</xm:f>
            <x14:dxf>
              <fill>
                <patternFill>
                  <bgColor rgb="FFDFF3FB"/>
                </patternFill>
              </fill>
            </x14:dxf>
          </x14:cfRule>
          <xm:sqref>E35:NE35</xm:sqref>
        </x14:conditionalFormatting>
        <x14:conditionalFormatting xmlns:xm="http://schemas.microsoft.com/office/excel/2006/main">
          <x14:cfRule type="expression" priority="33" id="{00000000-000E-0000-1100-000021000000}">
            <xm:f>AND('Annual Election'!$I$36="Y",E$4&gt;='Annual Election'!$E$36,E$4&lt;='Annual Election'!$H$36)</xm:f>
            <x14:dxf>
              <fill>
                <patternFill>
                  <bgColor rgb="FFDFF3FB"/>
                </patternFill>
              </fill>
            </x14:dxf>
          </x14:cfRule>
          <xm:sqref>E36:NE36</xm:sqref>
        </x14:conditionalFormatting>
        <x14:conditionalFormatting xmlns:xm="http://schemas.microsoft.com/office/excel/2006/main">
          <x14:cfRule type="expression" priority="34" id="{00000000-000E-0000-1100-000022000000}">
            <xm:f>AND('Annual Election'!$I$37="Y",E$4&gt;='Annual Election'!$E$37,E$4&lt;='Annual Election'!$H$37)</xm:f>
            <x14:dxf>
              <fill>
                <patternFill>
                  <bgColor rgb="FFDFF3FB"/>
                </patternFill>
              </fill>
            </x14:dxf>
          </x14:cfRule>
          <xm:sqref>E37:NE37</xm:sqref>
        </x14:conditionalFormatting>
        <x14:conditionalFormatting xmlns:xm="http://schemas.microsoft.com/office/excel/2006/main">
          <x14:cfRule type="expression" priority="35" id="{00000000-000E-0000-1100-000023000000}">
            <xm:f>AND('Annual Election'!$I$38="Y",E$4&gt;='Annual Election'!$E$38,E$4&lt;='Annual Election'!$H$38)</xm:f>
            <x14:dxf>
              <fill>
                <patternFill>
                  <bgColor rgb="FFDFF3FB"/>
                </patternFill>
              </fill>
            </x14:dxf>
          </x14:cfRule>
          <xm:sqref>E38:NE38</xm:sqref>
        </x14:conditionalFormatting>
        <x14:conditionalFormatting xmlns:xm="http://schemas.microsoft.com/office/excel/2006/main">
          <x14:cfRule type="expression" priority="36" id="{00000000-000E-0000-1100-000024000000}">
            <xm:f>AND('Annual Election'!$I$39="Y",E$4&gt;='Annual Election'!$E$39,E$4&lt;='Annual Election'!$H$39)</xm:f>
            <x14:dxf>
              <fill>
                <patternFill>
                  <bgColor rgb="FFDFF3FB"/>
                </patternFill>
              </fill>
            </x14:dxf>
          </x14:cfRule>
          <xm:sqref>E39:NE39</xm:sqref>
        </x14:conditionalFormatting>
        <x14:conditionalFormatting xmlns:xm="http://schemas.microsoft.com/office/excel/2006/main">
          <x14:cfRule type="expression" priority="37" id="{00000000-000E-0000-1100-000025000000}">
            <xm:f>AND('Annual Election'!$I$40="Y",E$4&gt;='Annual Election'!$E$40,E$4&lt;='Annual Election'!$H$40)</xm:f>
            <x14:dxf>
              <fill>
                <patternFill>
                  <bgColor rgb="FFDFF3FB"/>
                </patternFill>
              </fill>
            </x14:dxf>
          </x14:cfRule>
          <xm:sqref>E40:NE40</xm:sqref>
        </x14:conditionalFormatting>
        <x14:conditionalFormatting xmlns:xm="http://schemas.microsoft.com/office/excel/2006/main">
          <x14:cfRule type="expression" priority="38" id="{00000000-000E-0000-1100-000026000000}">
            <xm:f>AND('Annual Election'!$I$41="Y",E$4&gt;='Annual Election'!$E$41,E$4&lt;='Annual Election'!$H$41)</xm:f>
            <x14:dxf>
              <fill>
                <patternFill>
                  <bgColor rgb="FFDFF3FB"/>
                </patternFill>
              </fill>
            </x14:dxf>
          </x14:cfRule>
          <xm:sqref>E41:NE41</xm:sqref>
        </x14:conditionalFormatting>
        <x14:conditionalFormatting xmlns:xm="http://schemas.microsoft.com/office/excel/2006/main">
          <x14:cfRule type="expression" priority="39" id="{00000000-000E-0000-1100-000027000000}">
            <xm:f>AND('Annual Election'!$I$42="Y",E$4&gt;='Annual Election'!$E$42,E$4&lt;='Annual Election'!$H$42)</xm:f>
            <x14:dxf>
              <fill>
                <patternFill>
                  <bgColor rgb="FFDFF3FB"/>
                </patternFill>
              </fill>
            </x14:dxf>
          </x14:cfRule>
          <xm:sqref>E42:NE42</xm:sqref>
        </x14:conditionalFormatting>
        <x14:conditionalFormatting xmlns:xm="http://schemas.microsoft.com/office/excel/2006/main">
          <x14:cfRule type="expression" priority="40" id="{00000000-000E-0000-1100-000028000000}">
            <xm:f>AND('Annual Election'!$I$43="Y",E$4&gt;='Annual Election'!$E$43,E$4&lt;='Annual Election'!$H$43)</xm:f>
            <x14:dxf>
              <fill>
                <patternFill>
                  <bgColor rgb="FFDFF3FB"/>
                </patternFill>
              </fill>
            </x14:dxf>
          </x14:cfRule>
          <xm:sqref>E43:NE43</xm:sqref>
        </x14:conditionalFormatting>
        <x14:conditionalFormatting xmlns:xm="http://schemas.microsoft.com/office/excel/2006/main">
          <x14:cfRule type="expression" priority="41" id="{00000000-000E-0000-1100-000029000000}">
            <xm:f>AND('Annual Election'!$I$44="Y",E$4&gt;='Annual Election'!$E$44,E$4&lt;='Annual Election'!$H$44)</xm:f>
            <x14:dxf>
              <fill>
                <patternFill>
                  <bgColor rgb="FFDFF3FB"/>
                </patternFill>
              </fill>
            </x14:dxf>
          </x14:cfRule>
          <xm:sqref>E44:NE44</xm:sqref>
        </x14:conditionalFormatting>
        <x14:conditionalFormatting xmlns:xm="http://schemas.microsoft.com/office/excel/2006/main">
          <x14:cfRule type="expression" priority="42" id="{00000000-000E-0000-1100-00002A000000}">
            <xm:f>AND('Annual Election'!$I$45="Y",E$4&gt;='Annual Election'!$E$45,E$4&lt;='Annual Election'!$H$45)</xm:f>
            <x14:dxf>
              <fill>
                <patternFill>
                  <bgColor rgb="FFDFF3FB"/>
                </patternFill>
              </fill>
            </x14:dxf>
          </x14:cfRule>
          <xm:sqref>E45:NE45</xm:sqref>
        </x14:conditionalFormatting>
        <x14:conditionalFormatting xmlns:xm="http://schemas.microsoft.com/office/excel/2006/main">
          <x14:cfRule type="expression" priority="43" id="{00000000-000E-0000-1100-00002B000000}">
            <xm:f>AND('Annual Election'!$I$46="Y",E$4&gt;='Annual Election'!$E$46,E$4&lt;='Annual Election'!$H$46)</xm:f>
            <x14:dxf>
              <fill>
                <patternFill>
                  <bgColor rgb="FFDFF3FB"/>
                </patternFill>
              </fill>
            </x14:dxf>
          </x14:cfRule>
          <xm:sqref>E46:NE46</xm:sqref>
        </x14:conditionalFormatting>
        <x14:conditionalFormatting xmlns:xm="http://schemas.microsoft.com/office/excel/2006/main">
          <x14:cfRule type="expression" priority="44" id="{00000000-000E-0000-1100-00002C000000}">
            <xm:f>AND('Annual Election'!$I$47="Y",E$4&gt;='Annual Election'!$E$47,E$4&lt;='Annual Election'!$H$47)</xm:f>
            <x14:dxf>
              <fill>
                <patternFill>
                  <bgColor rgb="FFDFF3FB"/>
                </patternFill>
              </fill>
            </x14:dxf>
          </x14:cfRule>
          <xm:sqref>E47:NE47</xm:sqref>
        </x14:conditionalFormatting>
        <x14:conditionalFormatting xmlns:xm="http://schemas.microsoft.com/office/excel/2006/main">
          <x14:cfRule type="expression" priority="45" id="{00000000-000E-0000-1100-00002D000000}">
            <xm:f>AND('Annual Election'!$I$48="Y",E$4&gt;='Annual Election'!$E$48,E$4&lt;='Annual Election'!$H$48)</xm:f>
            <x14:dxf>
              <fill>
                <patternFill>
                  <bgColor rgb="FFDFF3FB"/>
                </patternFill>
              </fill>
            </x14:dxf>
          </x14:cfRule>
          <xm:sqref>E48:NE48</xm:sqref>
        </x14:conditionalFormatting>
        <x14:conditionalFormatting xmlns:xm="http://schemas.microsoft.com/office/excel/2006/main">
          <x14:cfRule type="expression" priority="46" id="{00000000-000E-0000-1100-00002E000000}">
            <xm:f>AND('Annual Election'!$I$49="Y",E$4&gt;='Annual Election'!$E$49,E$4&lt;='Annual Election'!$H$49)</xm:f>
            <x14:dxf>
              <fill>
                <patternFill>
                  <bgColor rgb="FFDFF3FB"/>
                </patternFill>
              </fill>
            </x14:dxf>
          </x14:cfRule>
          <xm:sqref>E49:NE49</xm:sqref>
        </x14:conditionalFormatting>
        <x14:conditionalFormatting xmlns:xm="http://schemas.microsoft.com/office/excel/2006/main">
          <x14:cfRule type="expression" priority="47" id="{00000000-000E-0000-1100-00002F000000}">
            <xm:f>AND('Annual Election'!$I$50="Y",E$4&gt;='Annual Election'!$E$50,E$4&lt;='Annual Election'!$H$50)</xm:f>
            <x14:dxf>
              <fill>
                <patternFill>
                  <bgColor rgb="FFDFF3FB"/>
                </patternFill>
              </fill>
            </x14:dxf>
          </x14:cfRule>
          <xm:sqref>E50:NE50</xm:sqref>
        </x14:conditionalFormatting>
        <x14:conditionalFormatting xmlns:xm="http://schemas.microsoft.com/office/excel/2006/main">
          <x14:cfRule type="expression" priority="48" id="{00000000-000E-0000-1100-000030000000}">
            <xm:f>AND('Annual Election'!$I$51="Y",E$4&gt;='Annual Election'!$E$51,E$4&lt;='Annual Election'!$H$51)</xm:f>
            <x14:dxf>
              <fill>
                <patternFill>
                  <bgColor rgb="FFDFF3FB"/>
                </patternFill>
              </fill>
            </x14:dxf>
          </x14:cfRule>
          <xm:sqref>E51:NE51</xm:sqref>
        </x14:conditionalFormatting>
        <x14:conditionalFormatting xmlns:xm="http://schemas.microsoft.com/office/excel/2006/main">
          <x14:cfRule type="expression" priority="49" id="{00000000-000E-0000-1100-000031000000}">
            <xm:f>AND('Annual Election'!$I$52="Y",E$4&gt;='Annual Election'!$E$52,E$4&lt;='Annual Election'!$H$52)</xm:f>
            <x14:dxf>
              <fill>
                <patternFill>
                  <bgColor rgb="FFDFF3FB"/>
                </patternFill>
              </fill>
            </x14:dxf>
          </x14:cfRule>
          <xm:sqref>E52:NE52</xm:sqref>
        </x14:conditionalFormatting>
        <x14:conditionalFormatting xmlns:xm="http://schemas.microsoft.com/office/excel/2006/main">
          <x14:cfRule type="expression" priority="50" id="{00000000-000E-0000-1100-000032000000}">
            <xm:f>AND('Annual Election'!$I$53="Y",E$4&gt;='Annual Election'!$E$53,E$4&lt;='Annual Election'!$H$53)</xm:f>
            <x14:dxf>
              <fill>
                <patternFill>
                  <bgColor rgb="FFDFF3FB"/>
                </patternFill>
              </fill>
            </x14:dxf>
          </x14:cfRule>
          <xm:sqref>E53:NE53</xm:sqref>
        </x14:conditionalFormatting>
        <x14:conditionalFormatting xmlns:xm="http://schemas.microsoft.com/office/excel/2006/main">
          <x14:cfRule type="expression" priority="51" id="{00000000-000E-0000-1100-000033000000}">
            <xm:f>AND('Annual Election'!$I$54="Y",E$4&gt;='Annual Election'!$E$54,E$4&lt;='Annual Election'!$H$54)</xm:f>
            <x14:dxf>
              <fill>
                <patternFill>
                  <bgColor rgb="FFDFF3FB"/>
                </patternFill>
              </fill>
            </x14:dxf>
          </x14:cfRule>
          <xm:sqref>E54:NE54</xm:sqref>
        </x14:conditionalFormatting>
        <x14:conditionalFormatting xmlns:xm="http://schemas.microsoft.com/office/excel/2006/main">
          <x14:cfRule type="expression" priority="52" id="{00000000-000E-0000-1100-000034000000}">
            <xm:f>AND('Annual Election'!$I$55="Y",E$4&gt;='Annual Election'!$E$55,E$4&lt;='Annual Election'!$H$55)</xm:f>
            <x14:dxf>
              <fill>
                <patternFill>
                  <bgColor rgb="FFDFF3FB"/>
                </patternFill>
              </fill>
            </x14:dxf>
          </x14:cfRule>
          <xm:sqref>E55:NE55</xm:sqref>
        </x14:conditionalFormatting>
        <x14:conditionalFormatting xmlns:xm="http://schemas.microsoft.com/office/excel/2006/main">
          <x14:cfRule type="expression" priority="53" id="{00000000-000E-0000-1100-000035000000}">
            <xm:f>AND('Annual Election'!$I$56="Y",E$4&gt;='Annual Election'!$E$56,E$4&lt;='Annual Election'!$H$56)</xm:f>
            <x14:dxf>
              <fill>
                <patternFill>
                  <bgColor rgb="FFDFF3FB"/>
                </patternFill>
              </fill>
            </x14:dxf>
          </x14:cfRule>
          <xm:sqref>E56:NE56</xm:sqref>
        </x14:conditionalFormatting>
        <x14:conditionalFormatting xmlns:xm="http://schemas.microsoft.com/office/excel/2006/main">
          <x14:cfRule type="expression" priority="54" id="{00000000-000E-0000-1100-000036000000}">
            <xm:f>AND('Annual Election'!$I$57="Y",E$4&gt;='Annual Election'!$E$57,E$4&lt;='Annual Election'!$H$57)</xm:f>
            <x14:dxf>
              <fill>
                <patternFill>
                  <bgColor rgb="FFEEF1F3"/>
                </patternFill>
              </fill>
            </x14:dxf>
          </x14:cfRule>
          <xm:sqref>E57:NE57</xm:sqref>
        </x14:conditionalFormatting>
        <x14:conditionalFormatting xmlns:xm="http://schemas.microsoft.com/office/excel/2006/main">
          <x14:cfRule type="expression" priority="55" id="{00000000-000E-0000-1100-000037000000}">
            <xm:f>AND('Annual Election'!$I$58="Y",E$4&gt;='Annual Election'!$E$58,E$4&lt;='Annual Election'!$H$58)</xm:f>
            <x14:dxf>
              <fill>
                <patternFill>
                  <bgColor rgb="FFEEF1F3"/>
                </patternFill>
              </fill>
            </x14:dxf>
          </x14:cfRule>
          <xm:sqref>E58:NE58</xm:sqref>
        </x14:conditionalFormatting>
        <x14:conditionalFormatting xmlns:xm="http://schemas.microsoft.com/office/excel/2006/main">
          <x14:cfRule type="expression" priority="56" id="{00000000-000E-0000-1100-000038000000}">
            <xm:f>AND('Annual Election'!$I$59="Y",E$4&gt;='Annual Election'!$E$59,E$4&lt;='Annual Election'!$H$59)</xm:f>
            <x14:dxf>
              <fill>
                <patternFill>
                  <bgColor rgb="FFEEF1F3"/>
                </patternFill>
              </fill>
            </x14:dxf>
          </x14:cfRule>
          <xm:sqref>E59:NE59</xm:sqref>
        </x14:conditionalFormatting>
        <x14:conditionalFormatting xmlns:xm="http://schemas.microsoft.com/office/excel/2006/main">
          <x14:cfRule type="expression" priority="57" id="{00000000-000E-0000-1100-000039000000}">
            <xm:f>AND('Annual Election'!$I$60="Y",E$4&gt;='Annual Election'!$E$60,E$4&lt;='Annual Election'!$H$60)</xm:f>
            <x14:dxf>
              <fill>
                <patternFill>
                  <bgColor rgb="FFEEF1F3"/>
                </patternFill>
              </fill>
            </x14:dxf>
          </x14:cfRule>
          <xm:sqref>E60:NE60</xm:sqref>
        </x14:conditionalFormatting>
        <x14:conditionalFormatting xmlns:xm="http://schemas.microsoft.com/office/excel/2006/main">
          <x14:cfRule type="expression" priority="58" id="{00000000-000E-0000-1100-00003A000000}">
            <xm:f>AND('Annual Election'!$I$61="Y",E$4&gt;='Annual Election'!$E$61,E$4&lt;='Annual Election'!$H$61)</xm:f>
            <x14:dxf>
              <fill>
                <patternFill>
                  <bgColor rgb="FFEEF1F3"/>
                </patternFill>
              </fill>
            </x14:dxf>
          </x14:cfRule>
          <xm:sqref>E61:NE61</xm:sqref>
        </x14:conditionalFormatting>
        <x14:conditionalFormatting xmlns:xm="http://schemas.microsoft.com/office/excel/2006/main">
          <x14:cfRule type="expression" priority="59" id="{00000000-000E-0000-1100-00003B000000}">
            <xm:f>AND('Annual Election'!$I$62="Y",E$4&gt;='Annual Election'!$E$62,E$4&lt;='Annual Election'!$H$62)</xm:f>
            <x14:dxf>
              <fill>
                <patternFill>
                  <bgColor rgb="FFEEF1F3"/>
                </patternFill>
              </fill>
            </x14:dxf>
          </x14:cfRule>
          <xm:sqref>E62:NE62</xm:sqref>
        </x14:conditionalFormatting>
        <x14:conditionalFormatting xmlns:xm="http://schemas.microsoft.com/office/excel/2006/main">
          <x14:cfRule type="expression" priority="60" id="{00000000-000E-0000-1100-00003C000000}">
            <xm:f>AND('Annual Election'!$I$63="Y",E$4&gt;='Annual Election'!$E$63,E$4&lt;='Annual Election'!$H$63)</xm:f>
            <x14:dxf>
              <fill>
                <patternFill>
                  <bgColor rgb="FFEEF1F3"/>
                </patternFill>
              </fill>
            </x14:dxf>
          </x14:cfRule>
          <xm:sqref>E63:NE63</xm:sqref>
        </x14:conditionalFormatting>
        <x14:conditionalFormatting xmlns:xm="http://schemas.microsoft.com/office/excel/2006/main">
          <x14:cfRule type="expression" priority="61" id="{00000000-000E-0000-1100-00003D000000}">
            <xm:f>AND('Annual Election'!$I$64="Y",E$4&gt;='Annual Election'!$E$64,E$4&lt;='Annual Election'!$H$64)</xm:f>
            <x14:dxf>
              <fill>
                <patternFill>
                  <bgColor rgb="FFEEF1F3"/>
                </patternFill>
              </fill>
            </x14:dxf>
          </x14:cfRule>
          <xm:sqref>E64:NE64</xm:sqref>
        </x14:conditionalFormatting>
        <x14:conditionalFormatting xmlns:xm="http://schemas.microsoft.com/office/excel/2006/main">
          <x14:cfRule type="expression" priority="62" id="{00000000-000E-0000-1100-00003E000000}">
            <xm:f>AND('Annual Election'!$I$65="Y",E$4&gt;='Annual Election'!$E$65,E$4&lt;='Annual Election'!$H$65)</xm:f>
            <x14:dxf>
              <fill>
                <patternFill>
                  <bgColor rgb="FFEEF1F3"/>
                </patternFill>
              </fill>
            </x14:dxf>
          </x14:cfRule>
          <xm:sqref>E65:NE65</xm:sqref>
        </x14:conditionalFormatting>
        <x14:conditionalFormatting xmlns:xm="http://schemas.microsoft.com/office/excel/2006/main">
          <x14:cfRule type="expression" priority="63" id="{00000000-000E-0000-1100-00003F000000}">
            <xm:f>AND('Annual Election'!$I$66="Y",E$4&gt;='Annual Election'!$E$66,E$4&lt;='Annual Election'!$H$66)</xm:f>
            <x14:dxf>
              <fill>
                <patternFill>
                  <bgColor rgb="FFEEF1F3"/>
                </patternFill>
              </fill>
            </x14:dxf>
          </x14:cfRule>
          <xm:sqref>E66:NE66</xm:sqref>
        </x14:conditionalFormatting>
        <x14:conditionalFormatting xmlns:xm="http://schemas.microsoft.com/office/excel/2006/main">
          <x14:cfRule type="expression" priority="64" id="{00000000-000E-0000-1100-000040000000}">
            <xm:f>AND('Annual Election'!$I$67="Y",E$4&gt;='Annual Election'!$E$67,E$4&lt;='Annual Election'!$H$67)</xm:f>
            <x14:dxf>
              <fill>
                <patternFill>
                  <bgColor rgb="FFEEF1F3"/>
                </patternFill>
              </fill>
            </x14:dxf>
          </x14:cfRule>
          <xm:sqref>E67:NE67</xm:sqref>
        </x14:conditionalFormatting>
        <x14:conditionalFormatting xmlns:xm="http://schemas.microsoft.com/office/excel/2006/main">
          <x14:cfRule type="expression" priority="65" id="{00000000-000E-0000-1100-000041000000}">
            <xm:f>AND('Annual Election'!$I$68="Y",E$4&gt;='Annual Election'!$E$68,E$4&lt;='Annual Election'!$H$68)</xm:f>
            <x14:dxf>
              <fill>
                <patternFill>
                  <bgColor rgb="FFEEF1F3"/>
                </patternFill>
              </fill>
            </x14:dxf>
          </x14:cfRule>
          <xm:sqref>E68:NE68</xm:sqref>
        </x14:conditionalFormatting>
        <x14:conditionalFormatting xmlns:xm="http://schemas.microsoft.com/office/excel/2006/main">
          <x14:cfRule type="expression" priority="66" id="{00000000-000E-0000-1100-000042000000}">
            <xm:f>AND('Annual Election'!$I$69="Y",E$4&gt;='Annual Election'!$E$69,E$4&lt;='Annual Election'!$H$69)</xm:f>
            <x14:dxf>
              <fill>
                <patternFill>
                  <bgColor rgb="FFEEF1F3"/>
                </patternFill>
              </fill>
            </x14:dxf>
          </x14:cfRule>
          <xm:sqref>E69:NE69</xm:sqref>
        </x14:conditionalFormatting>
        <x14:conditionalFormatting xmlns:xm="http://schemas.microsoft.com/office/excel/2006/main">
          <x14:cfRule type="expression" priority="67" id="{00000000-000E-0000-1100-000043000000}">
            <xm:f>AND('Annual Election'!$I$70="Y",E$4&gt;='Annual Election'!$E$70,E$4&lt;='Annual Election'!$H$70)</xm:f>
            <x14:dxf>
              <fill>
                <patternFill>
                  <bgColor rgb="FFEEF1F3"/>
                </patternFill>
              </fill>
            </x14:dxf>
          </x14:cfRule>
          <xm:sqref>E70:NE70</xm:sqref>
        </x14:conditionalFormatting>
        <x14:conditionalFormatting xmlns:xm="http://schemas.microsoft.com/office/excel/2006/main">
          <x14:cfRule type="expression" priority="68" id="{00000000-000E-0000-1100-000044000000}">
            <xm:f>AND('Annual Election'!$I$71="Y",E$4&gt;='Annual Election'!$E$71,E$4&lt;='Annual Election'!$H$71)</xm:f>
            <x14:dxf>
              <fill>
                <patternFill>
                  <bgColor rgb="FFEEF1F3"/>
                </patternFill>
              </fill>
            </x14:dxf>
          </x14:cfRule>
          <xm:sqref>E71:NE71</xm:sqref>
        </x14:conditionalFormatting>
        <x14:conditionalFormatting xmlns:xm="http://schemas.microsoft.com/office/excel/2006/main">
          <x14:cfRule type="expression" priority="69" id="{00000000-000E-0000-1100-000045000000}">
            <xm:f>AND('Annual Election'!$I$72="Y",E$4&gt;='Annual Election'!$E$72,E$4&lt;='Annual Election'!$H$72)</xm:f>
            <x14:dxf>
              <fill>
                <patternFill>
                  <bgColor rgb="FFEEF1F3"/>
                </patternFill>
              </fill>
            </x14:dxf>
          </x14:cfRule>
          <xm:sqref>E72:NE72</xm:sqref>
        </x14:conditionalFormatting>
        <x14:conditionalFormatting xmlns:xm="http://schemas.microsoft.com/office/excel/2006/main">
          <x14:cfRule type="expression" priority="70" id="{00000000-000E-0000-1100-000046000000}">
            <xm:f>AND('Annual Election'!$I$73="Y",E$4&gt;='Annual Election'!$E$73,E$4&lt;='Annual Election'!$H$73)</xm:f>
            <x14:dxf>
              <fill>
                <patternFill>
                  <bgColor rgb="FFEEF1F3"/>
                </patternFill>
              </fill>
            </x14:dxf>
          </x14:cfRule>
          <xm:sqref>E73:NE73</xm:sqref>
        </x14:conditionalFormatting>
        <x14:conditionalFormatting xmlns:xm="http://schemas.microsoft.com/office/excel/2006/main">
          <x14:cfRule type="expression" priority="71" id="{00000000-000E-0000-1100-000047000000}">
            <xm:f>AND('Annual Election'!$I$74="Y",E$4&gt;='Annual Election'!$E$74,E$4&lt;='Annual Election'!$H$74)</xm:f>
            <x14:dxf>
              <fill>
                <patternFill>
                  <bgColor rgb="FFEEF1F3"/>
                </patternFill>
              </fill>
            </x14:dxf>
          </x14:cfRule>
          <xm:sqref>E74:NE74</xm:sqref>
        </x14:conditionalFormatting>
        <x14:conditionalFormatting xmlns:xm="http://schemas.microsoft.com/office/excel/2006/main">
          <x14:cfRule type="expression" priority="72" id="{00000000-000E-0000-1100-000048000000}">
            <xm:f>AND('Annual Election'!$I$75="Y",E$4&gt;='Annual Election'!$E$75,E$4&lt;='Annual Election'!$H$75)</xm:f>
            <x14:dxf>
              <fill>
                <patternFill>
                  <bgColor rgb="FFEEF1F3"/>
                </patternFill>
              </fill>
            </x14:dxf>
          </x14:cfRule>
          <xm:sqref>E75:NE75</xm:sqref>
        </x14:conditionalFormatting>
        <x14:conditionalFormatting xmlns:xm="http://schemas.microsoft.com/office/excel/2006/main">
          <x14:cfRule type="expression" priority="73" id="{00000000-000E-0000-1100-000049000000}">
            <xm:f>AND('Annual Election'!$I$76="Y",E$4&gt;='Annual Election'!$E$76,E$4&lt;='Annual Election'!$H$76)</xm:f>
            <x14:dxf>
              <fill>
                <patternFill>
                  <bgColor rgb="FFEEF1F3"/>
                </patternFill>
              </fill>
            </x14:dxf>
          </x14:cfRule>
          <xm:sqref>E76:NE76</xm:sqref>
        </x14:conditionalFormatting>
        <x14:conditionalFormatting xmlns:xm="http://schemas.microsoft.com/office/excel/2006/main">
          <x14:cfRule type="expression" priority="74" id="{00000000-000E-0000-1100-00004A000000}">
            <xm:f>AND('Annual Election'!$I$77="Y",E$4&gt;='Annual Election'!$E$77,E$4&lt;='Annual Election'!$H$77)</xm:f>
            <x14:dxf>
              <fill>
                <patternFill>
                  <bgColor rgb="FFEEF1F3"/>
                </patternFill>
              </fill>
            </x14:dxf>
          </x14:cfRule>
          <xm:sqref>E77:NE77</xm:sqref>
        </x14:conditionalFormatting>
        <x14:conditionalFormatting xmlns:xm="http://schemas.microsoft.com/office/excel/2006/main">
          <x14:cfRule type="expression" priority="75" id="{00000000-000E-0000-1100-00004B000000}">
            <xm:f>AND('Annual Election'!$I$78="Y",E$4&gt;='Annual Election'!$E$78,E$4&lt;='Annual Election'!$H$78)</xm:f>
            <x14:dxf>
              <fill>
                <patternFill>
                  <bgColor rgb="FFEEF1F3"/>
                </patternFill>
              </fill>
            </x14:dxf>
          </x14:cfRule>
          <xm:sqref>E78:NE78</xm:sqref>
        </x14:conditionalFormatting>
        <x14:conditionalFormatting xmlns:xm="http://schemas.microsoft.com/office/excel/2006/main">
          <x14:cfRule type="expression" priority="76" id="{00000000-000E-0000-1100-00004C000000}">
            <xm:f>AND('Annual Election'!$I$79="Y",E$4&gt;='Annual Election'!$E$79,E$4&lt;='Annual Election'!$H$79)</xm:f>
            <x14:dxf>
              <fill>
                <patternFill>
                  <bgColor rgb="FFEEF1F3"/>
                </patternFill>
              </fill>
            </x14:dxf>
          </x14:cfRule>
          <xm:sqref>E79:NE79</xm:sqref>
        </x14:conditionalFormatting>
        <x14:conditionalFormatting xmlns:xm="http://schemas.microsoft.com/office/excel/2006/main">
          <x14:cfRule type="expression" priority="77" id="{00000000-000E-0000-1100-00004D000000}">
            <xm:f>AND('Annual Election'!$I$80="Y",E$4&gt;='Annual Election'!$E$80,E$4&lt;='Annual Election'!$H$80)</xm:f>
            <x14:dxf>
              <fill>
                <patternFill>
                  <bgColor rgb="FFEEF1F3"/>
                </patternFill>
              </fill>
            </x14:dxf>
          </x14:cfRule>
          <xm:sqref>E80:NE80</xm:sqref>
        </x14:conditionalFormatting>
        <x14:conditionalFormatting xmlns:xm="http://schemas.microsoft.com/office/excel/2006/main">
          <x14:cfRule type="expression" priority="78" id="{00000000-000E-0000-1100-00004E000000}">
            <xm:f>AND('Annual Election'!$I$81="Y",E$4&gt;='Annual Election'!$E$81,E$4&lt;='Annual Election'!$H$81)</xm:f>
            <x14:dxf>
              <fill>
                <patternFill>
                  <bgColor rgb="FFEEF1F3"/>
                </patternFill>
              </fill>
            </x14:dxf>
          </x14:cfRule>
          <xm:sqref>E81:NE81</xm:sqref>
        </x14:conditionalFormatting>
        <x14:conditionalFormatting xmlns:xm="http://schemas.microsoft.com/office/excel/2006/main">
          <x14:cfRule type="expression" priority="79" id="{00000000-000E-0000-1100-00004F000000}">
            <xm:f>AND('Annual Election'!$I$82="Y",E$4&gt;='Annual Election'!$E$82,E$4&lt;='Annual Election'!$H$82)</xm:f>
            <x14:dxf>
              <fill>
                <patternFill>
                  <bgColor rgb="FFEEF1F3"/>
                </patternFill>
              </fill>
            </x14:dxf>
          </x14:cfRule>
          <xm:sqref>E82:NE82</xm:sqref>
        </x14:conditionalFormatting>
        <x14:conditionalFormatting xmlns:xm="http://schemas.microsoft.com/office/excel/2006/main">
          <x14:cfRule type="expression" priority="80" id="{00000000-000E-0000-1100-000050000000}">
            <xm:f>AND('Annual Election'!$I$83="Y",E$4&gt;='Annual Election'!$E$83,E$4&lt;='Annual Election'!$H$83)</xm:f>
            <x14:dxf>
              <fill>
                <patternFill>
                  <bgColor rgb="FFEEF1F3"/>
                </patternFill>
              </fill>
            </x14:dxf>
          </x14:cfRule>
          <xm:sqref>E83:NE83</xm:sqref>
        </x14:conditionalFormatting>
        <x14:conditionalFormatting xmlns:xm="http://schemas.microsoft.com/office/excel/2006/main">
          <x14:cfRule type="expression" priority="81" id="{00000000-000E-0000-1100-000051000000}">
            <xm:f>AND('Annual Election'!$I$84="Y",E$4&gt;='Annual Election'!$E$84,E$4&lt;='Annual Election'!$H$84)</xm:f>
            <x14:dxf>
              <fill>
                <patternFill>
                  <bgColor rgb="FFEEF1F3"/>
                </patternFill>
              </fill>
            </x14:dxf>
          </x14:cfRule>
          <xm:sqref>E84:NE84</xm:sqref>
        </x14:conditionalFormatting>
        <x14:conditionalFormatting xmlns:xm="http://schemas.microsoft.com/office/excel/2006/main">
          <x14:cfRule type="expression" priority="82" id="{00000000-000E-0000-1100-000052000000}">
            <xm:f>AND('Annual Election'!$I$85="Y",E$4&gt;='Annual Election'!$E$85,E$4&lt;='Annual Election'!$H$85)</xm:f>
            <x14:dxf>
              <fill>
                <patternFill>
                  <bgColor rgb="FFEEF1F3"/>
                </patternFill>
              </fill>
            </x14:dxf>
          </x14:cfRule>
          <xm:sqref>E85:NE85</xm:sqref>
        </x14:conditionalFormatting>
        <x14:conditionalFormatting xmlns:xm="http://schemas.microsoft.com/office/excel/2006/main">
          <x14:cfRule type="expression" priority="83" id="{00000000-000E-0000-1100-000053000000}">
            <xm:f>AND('Annual Election'!$I$86="Y",E$4&gt;='Annual Election'!$E$86,E$4&lt;='Annual Election'!$H$86)</xm:f>
            <x14:dxf>
              <fill>
                <patternFill>
                  <bgColor rgb="FFEEF1F3"/>
                </patternFill>
              </fill>
            </x14:dxf>
          </x14:cfRule>
          <xm:sqref>E86:NE86</xm:sqref>
        </x14:conditionalFormatting>
        <x14:conditionalFormatting xmlns:xm="http://schemas.microsoft.com/office/excel/2006/main">
          <x14:cfRule type="expression" priority="84" id="{00000000-000E-0000-1100-000054000000}">
            <xm:f>AND('Annual Election'!$I$87="Y",E$4&gt;='Annual Election'!$E$87,E$4&lt;='Annual Election'!$H$87)</xm:f>
            <x14:dxf>
              <fill>
                <patternFill>
                  <bgColor rgb="FFEEF1F3"/>
                </patternFill>
              </fill>
            </x14:dxf>
          </x14:cfRule>
          <xm:sqref>E87:NE87</xm:sqref>
        </x14:conditionalFormatting>
        <x14:conditionalFormatting xmlns:xm="http://schemas.microsoft.com/office/excel/2006/main">
          <x14:cfRule type="expression" priority="85" id="{00000000-000E-0000-1100-000055000000}">
            <xm:f>AND('Annual Election'!$I$88="Y",E$4&gt;='Annual Election'!$E$88,E$4&lt;='Annual Election'!$H$88)</xm:f>
            <x14:dxf>
              <fill>
                <patternFill>
                  <bgColor rgb="FFEEF1F3"/>
                </patternFill>
              </fill>
            </x14:dxf>
          </x14:cfRule>
          <xm:sqref>E88:NE88</xm:sqref>
        </x14:conditionalFormatting>
        <x14:conditionalFormatting xmlns:xm="http://schemas.microsoft.com/office/excel/2006/main">
          <x14:cfRule type="expression" priority="86" id="{00000000-000E-0000-1100-000056000000}">
            <xm:f>AND('Annual Election'!$I$89="Y",E$4&gt;='Annual Election'!$E$89,E$4&lt;='Annual Election'!$H$89)</xm:f>
            <x14:dxf>
              <fill>
                <patternFill>
                  <bgColor rgb="FFEEF1F3"/>
                </patternFill>
              </fill>
            </x14:dxf>
          </x14:cfRule>
          <xm:sqref>E89:NE89</xm:sqref>
        </x14:conditionalFormatting>
        <x14:conditionalFormatting xmlns:xm="http://schemas.microsoft.com/office/excel/2006/main">
          <x14:cfRule type="expression" priority="87" id="{00000000-000E-0000-1100-000057000000}">
            <xm:f>AND('Annual Election'!$I$90="Y",E$4&gt;='Annual Election'!$E$90,E$4&lt;='Annual Election'!$H$90)</xm:f>
            <x14:dxf>
              <fill>
                <patternFill>
                  <bgColor rgb="FFEEF1F3"/>
                </patternFill>
              </fill>
            </x14:dxf>
          </x14:cfRule>
          <xm:sqref>E90:NE90</xm:sqref>
        </x14:conditionalFormatting>
        <x14:conditionalFormatting xmlns:xm="http://schemas.microsoft.com/office/excel/2006/main">
          <x14:cfRule type="expression" priority="88" id="{00000000-000E-0000-1100-000058000000}">
            <xm:f>AND('Annual Election'!$I$91="Y",E$4&gt;='Annual Election'!$E$91,E$4&lt;='Annual Election'!$H$91)</xm:f>
            <x14:dxf>
              <fill>
                <patternFill>
                  <bgColor rgb="FFEEF1F3"/>
                </patternFill>
              </fill>
            </x14:dxf>
          </x14:cfRule>
          <xm:sqref>E91:NE91</xm:sqref>
        </x14:conditionalFormatting>
        <x14:conditionalFormatting xmlns:xm="http://schemas.microsoft.com/office/excel/2006/main">
          <x14:cfRule type="expression" priority="89" id="{00000000-000E-0000-1100-000059000000}">
            <xm:f>AND('Annual Election'!$I$92="Y",E$4&gt;='Annual Election'!$E$92,E$4&lt;='Annual Election'!$H$92)</xm:f>
            <x14:dxf>
              <fill>
                <patternFill>
                  <bgColor rgb="FFEEF1F3"/>
                </patternFill>
              </fill>
            </x14:dxf>
          </x14:cfRule>
          <xm:sqref>E92:NE92</xm:sqref>
        </x14:conditionalFormatting>
        <x14:conditionalFormatting xmlns:xm="http://schemas.microsoft.com/office/excel/2006/main">
          <x14:cfRule type="expression" priority="90" id="{00000000-000E-0000-1100-00005A000000}">
            <xm:f>AND('Annual Election'!$I$93="Y",E$4&gt;='Annual Election'!$E$93,E$4&lt;='Annual Election'!$H$93)</xm:f>
            <x14:dxf>
              <fill>
                <patternFill>
                  <bgColor rgb="FFEEF1F3"/>
                </patternFill>
              </fill>
            </x14:dxf>
          </x14:cfRule>
          <xm:sqref>E93:NE93</xm:sqref>
        </x14:conditionalFormatting>
        <x14:conditionalFormatting xmlns:xm="http://schemas.microsoft.com/office/excel/2006/main">
          <x14:cfRule type="expression" priority="91" id="{00000000-000E-0000-1100-00005B000000}">
            <xm:f>AND('Annual Election'!$I$94="Y",E$4&gt;='Annual Election'!$E$94,E$4&lt;='Annual Election'!$H$94)</xm:f>
            <x14:dxf>
              <fill>
                <patternFill>
                  <bgColor rgb="FFEEF1F3"/>
                </patternFill>
              </fill>
            </x14:dxf>
          </x14:cfRule>
          <xm:sqref>E94:NE94</xm:sqref>
        </x14:conditionalFormatting>
        <x14:conditionalFormatting xmlns:xm="http://schemas.microsoft.com/office/excel/2006/main">
          <x14:cfRule type="expression" priority="92" id="{00000000-000E-0000-1100-00005C000000}">
            <xm:f>AND('Annual Election'!$I$95="Y",E$4&gt;='Annual Election'!$E$95,E$4&lt;='Annual Election'!$H$95)</xm:f>
            <x14:dxf>
              <fill>
                <patternFill>
                  <bgColor rgb="FFEEF1F3"/>
                </patternFill>
              </fill>
            </x14:dxf>
          </x14:cfRule>
          <xm:sqref>E95:NE95</xm:sqref>
        </x14:conditionalFormatting>
        <x14:conditionalFormatting xmlns:xm="http://schemas.microsoft.com/office/excel/2006/main">
          <x14:cfRule type="expression" priority="93" id="{00000000-000E-0000-1100-00005D000000}">
            <xm:f>AND('Annual Election'!$I$96="Y",E$4&gt;='Annual Election'!$E$96,E$4&lt;='Annual Election'!$H$96)</xm:f>
            <x14:dxf>
              <fill>
                <patternFill>
                  <bgColor rgb="FFEEF1F3"/>
                </patternFill>
              </fill>
            </x14:dxf>
          </x14:cfRule>
          <xm:sqref>E96:NE96</xm:sqref>
        </x14:conditionalFormatting>
        <x14:conditionalFormatting xmlns:xm="http://schemas.microsoft.com/office/excel/2006/main">
          <x14:cfRule type="expression" priority="94" id="{00000000-000E-0000-1100-00005E000000}">
            <xm:f>AND('Annual Election'!$I$97="Y",E$4&gt;='Annual Election'!$E$97,E$4&lt;='Annual Election'!$H$97)</xm:f>
            <x14:dxf>
              <fill>
                <patternFill>
                  <bgColor rgb="FFEEF1F3"/>
                </patternFill>
              </fill>
            </x14:dxf>
          </x14:cfRule>
          <xm:sqref>E97:NE97</xm:sqref>
        </x14:conditionalFormatting>
        <x14:conditionalFormatting xmlns:xm="http://schemas.microsoft.com/office/excel/2006/main">
          <x14:cfRule type="expression" priority="95" id="{00000000-000E-0000-1100-00005F000000}">
            <xm:f>AND('Annual Election'!$I$98="Y",E$4&gt;='Annual Election'!$E$98,E$4&lt;='Annual Election'!$H$98)</xm:f>
            <x14:dxf>
              <fill>
                <patternFill>
                  <bgColor rgb="FFEEF1F3"/>
                </patternFill>
              </fill>
            </x14:dxf>
          </x14:cfRule>
          <xm:sqref>E98:NE98</xm:sqref>
        </x14:conditionalFormatting>
        <x14:conditionalFormatting xmlns:xm="http://schemas.microsoft.com/office/excel/2006/main">
          <x14:cfRule type="expression" priority="96" id="{00000000-000E-0000-1100-000060000000}">
            <xm:f>AND('Annual Election'!$I$99="Y",E$4&gt;='Annual Election'!$E$99,E$4&lt;='Annual Election'!$H$99)</xm:f>
            <x14:dxf>
              <fill>
                <patternFill>
                  <bgColor rgb="FFEEF1F3"/>
                </patternFill>
              </fill>
            </x14:dxf>
          </x14:cfRule>
          <xm:sqref>E99:NE99</xm:sqref>
        </x14:conditionalFormatting>
        <x14:conditionalFormatting xmlns:xm="http://schemas.microsoft.com/office/excel/2006/main">
          <x14:cfRule type="expression" priority="97" id="{00000000-000E-0000-1100-000061000000}">
            <xm:f>AND('Annual Election'!$I$100="Y",E$4&gt;='Annual Election'!$E$100,E$4&lt;='Annual Election'!$H$100)</xm:f>
            <x14:dxf>
              <fill>
                <patternFill>
                  <bgColor rgb="FFEEF1F3"/>
                </patternFill>
              </fill>
            </x14:dxf>
          </x14:cfRule>
          <xm:sqref>E100:NE100</xm:sqref>
        </x14:conditionalFormatting>
        <x14:conditionalFormatting xmlns:xm="http://schemas.microsoft.com/office/excel/2006/main">
          <x14:cfRule type="expression" priority="98" id="{00000000-000E-0000-1100-000062000000}">
            <xm:f>AND('Annual Election'!$I$101="Y",E$4&gt;='Annual Election'!$E$101,E$4&lt;='Annual Election'!$H$101)</xm:f>
            <x14:dxf>
              <fill>
                <patternFill>
                  <bgColor rgb="FFEEF1F3"/>
                </patternFill>
              </fill>
            </x14:dxf>
          </x14:cfRule>
          <xm:sqref>E101:NE101</xm:sqref>
        </x14:conditionalFormatting>
        <x14:conditionalFormatting xmlns:xm="http://schemas.microsoft.com/office/excel/2006/main">
          <x14:cfRule type="expression" priority="99" id="{00000000-000E-0000-1100-000063000000}">
            <xm:f>AND('Annual Election'!$I$102="Y",E$4&gt;='Annual Election'!$E$102,E$4&lt;='Annual Election'!$H$102)</xm:f>
            <x14:dxf>
              <fill>
                <patternFill>
                  <bgColor rgb="FFEEF1F3"/>
                </patternFill>
              </fill>
            </x14:dxf>
          </x14:cfRule>
          <xm:sqref>E102:NE102</xm:sqref>
        </x14:conditionalFormatting>
        <x14:conditionalFormatting xmlns:xm="http://schemas.microsoft.com/office/excel/2006/main">
          <x14:cfRule type="expression" priority="100" id="{00000000-000E-0000-1100-000064000000}">
            <xm:f>AND('Annual Election'!$I$103="Y",E$4&gt;='Annual Election'!$E$103,E$4&lt;='Annual Election'!$H$103)</xm:f>
            <x14:dxf>
              <fill>
                <patternFill>
                  <bgColor rgb="FFEEF1F3"/>
                </patternFill>
              </fill>
            </x14:dxf>
          </x14:cfRule>
          <xm:sqref>E103:NE103</xm:sqref>
        </x14:conditionalFormatting>
        <x14:conditionalFormatting xmlns:xm="http://schemas.microsoft.com/office/excel/2006/main">
          <x14:cfRule type="expression" priority="101" id="{00000000-000E-0000-1100-000065000000}">
            <xm:f>AND('Annual Election'!$I$104="Y",E$4&gt;='Annual Election'!$E$104,E$4&lt;='Annual Election'!$H$104)</xm:f>
            <x14:dxf>
              <fill>
                <patternFill>
                  <bgColor rgb="FFF3EFE8"/>
                </patternFill>
              </fill>
            </x14:dxf>
          </x14:cfRule>
          <xm:sqref>E104:NE104</xm:sqref>
        </x14:conditionalFormatting>
        <x14:conditionalFormatting xmlns:xm="http://schemas.microsoft.com/office/excel/2006/main">
          <x14:cfRule type="expression" priority="102" id="{00000000-000E-0000-1100-000066000000}">
            <xm:f>AND('Annual Election'!$I$105="Y",E$4&gt;='Annual Election'!$E$105,E$4&lt;='Annual Election'!$H$105)</xm:f>
            <x14:dxf>
              <fill>
                <patternFill>
                  <bgColor rgb="FFF3EFE8"/>
                </patternFill>
              </fill>
            </x14:dxf>
          </x14:cfRule>
          <xm:sqref>E105:NE105</xm:sqref>
        </x14:conditionalFormatting>
        <x14:conditionalFormatting xmlns:xm="http://schemas.microsoft.com/office/excel/2006/main">
          <x14:cfRule type="expression" priority="103" id="{00000000-000E-0000-1100-000067000000}">
            <xm:f>AND('Annual Election'!$I$106="Y",E$4&gt;='Annual Election'!$E$106,E$4&lt;='Annual Election'!$H$106)</xm:f>
            <x14:dxf>
              <fill>
                <patternFill>
                  <bgColor rgb="FFF3EFE8"/>
                </patternFill>
              </fill>
            </x14:dxf>
          </x14:cfRule>
          <xm:sqref>E106:NE106</xm:sqref>
        </x14:conditionalFormatting>
        <x14:conditionalFormatting xmlns:xm="http://schemas.microsoft.com/office/excel/2006/main">
          <x14:cfRule type="expression" priority="104" id="{00000000-000E-0000-1100-000068000000}">
            <xm:f>AND('Annual Election'!$I$107="Y",E$4&gt;='Annual Election'!$E$107,E$4&lt;='Annual Election'!$H$107)</xm:f>
            <x14:dxf>
              <fill>
                <patternFill>
                  <bgColor rgb="FFF3EFE8"/>
                </patternFill>
              </fill>
            </x14:dxf>
          </x14:cfRule>
          <xm:sqref>E107:NE107</xm:sqref>
        </x14:conditionalFormatting>
        <x14:conditionalFormatting xmlns:xm="http://schemas.microsoft.com/office/excel/2006/main">
          <x14:cfRule type="expression" priority="105" id="{00000000-000E-0000-1100-000069000000}">
            <xm:f>AND('Annual Election'!$I$108="Y",E$4&gt;='Annual Election'!$E$108,E$4&lt;='Annual Election'!$H$108)</xm:f>
            <x14:dxf>
              <fill>
                <patternFill>
                  <bgColor rgb="FFF3EFE8"/>
                </patternFill>
              </fill>
            </x14:dxf>
          </x14:cfRule>
          <xm:sqref>E108:NE108</xm:sqref>
        </x14:conditionalFormatting>
        <x14:conditionalFormatting xmlns:xm="http://schemas.microsoft.com/office/excel/2006/main">
          <x14:cfRule type="expression" priority="106" id="{00000000-000E-0000-1100-00006A000000}">
            <xm:f>AND('Annual Election'!$I$109="Y",E$4&gt;='Annual Election'!$E$109,E$4&lt;='Annual Election'!$H$109)</xm:f>
            <x14:dxf>
              <fill>
                <patternFill>
                  <bgColor rgb="FFF3EFE8"/>
                </patternFill>
              </fill>
            </x14:dxf>
          </x14:cfRule>
          <xm:sqref>E109:NE109</xm:sqref>
        </x14:conditionalFormatting>
        <x14:conditionalFormatting xmlns:xm="http://schemas.microsoft.com/office/excel/2006/main">
          <x14:cfRule type="expression" priority="107" id="{00000000-000E-0000-1100-00006B000000}">
            <xm:f>AND('Annual Election'!$I$110="Y",E$4&gt;='Annual Election'!$E$110,E$4&lt;='Annual Election'!$H$110)</xm:f>
            <x14:dxf>
              <fill>
                <patternFill>
                  <bgColor rgb="FFF3EFE8"/>
                </patternFill>
              </fill>
            </x14:dxf>
          </x14:cfRule>
          <xm:sqref>E110:NE110</xm:sqref>
        </x14:conditionalFormatting>
        <x14:conditionalFormatting xmlns:xm="http://schemas.microsoft.com/office/excel/2006/main">
          <x14:cfRule type="expression" priority="108" id="{00000000-000E-0000-1100-00006C000000}">
            <xm:f>AND('Annual Election'!$I$111="Y",E$4&gt;='Annual Election'!$E$111,E$4&lt;='Annual Election'!$H$111)</xm:f>
            <x14:dxf>
              <fill>
                <patternFill>
                  <bgColor rgb="FFF3EFE8"/>
                </patternFill>
              </fill>
            </x14:dxf>
          </x14:cfRule>
          <xm:sqref>E111:NE111</xm:sqref>
        </x14:conditionalFormatting>
        <x14:conditionalFormatting xmlns:xm="http://schemas.microsoft.com/office/excel/2006/main">
          <x14:cfRule type="expression" priority="109" id="{00000000-000E-0000-1100-00006D000000}">
            <xm:f>AND('Annual Election'!$I$112="Y",E$4&gt;='Annual Election'!$E$112,E$4&lt;='Annual Election'!$H$112)</xm:f>
            <x14:dxf>
              <fill>
                <patternFill>
                  <bgColor rgb="FFF3EFE8"/>
                </patternFill>
              </fill>
            </x14:dxf>
          </x14:cfRule>
          <xm:sqref>E112:NE112</xm:sqref>
        </x14:conditionalFormatting>
        <x14:conditionalFormatting xmlns:xm="http://schemas.microsoft.com/office/excel/2006/main">
          <x14:cfRule type="expression" priority="110" id="{00000000-000E-0000-1100-00006E000000}">
            <xm:f>AND('Annual Election'!$I$113="Y",E$4&gt;='Annual Election'!$E$113,E$4&lt;='Annual Election'!$H$113)</xm:f>
            <x14:dxf>
              <fill>
                <patternFill>
                  <bgColor rgb="FFF3EFE8"/>
                </patternFill>
              </fill>
            </x14:dxf>
          </x14:cfRule>
          <xm:sqref>E113:NE113</xm:sqref>
        </x14:conditionalFormatting>
        <x14:conditionalFormatting xmlns:xm="http://schemas.microsoft.com/office/excel/2006/main">
          <x14:cfRule type="expression" priority="111" id="{00000000-000E-0000-1100-00006F000000}">
            <xm:f>AND('Annual Election'!$I$114="Y",E$4&gt;='Annual Election'!$E$114,E$4&lt;='Annual Election'!$H$114)</xm:f>
            <x14:dxf>
              <fill>
                <patternFill>
                  <bgColor rgb="FFF3EFE8"/>
                </patternFill>
              </fill>
            </x14:dxf>
          </x14:cfRule>
          <xm:sqref>E114:NE114</xm:sqref>
        </x14:conditionalFormatting>
        <x14:conditionalFormatting xmlns:xm="http://schemas.microsoft.com/office/excel/2006/main">
          <x14:cfRule type="expression" priority="112" id="{00000000-000E-0000-1100-000070000000}">
            <xm:f>AND('Annual Election'!$I$115="Y",E$4&gt;='Annual Election'!$E$115,E$4&lt;='Annual Election'!$H$115)</xm:f>
            <x14:dxf>
              <fill>
                <patternFill>
                  <bgColor rgb="FFF3EFE8"/>
                </patternFill>
              </fill>
            </x14:dxf>
          </x14:cfRule>
          <xm:sqref>E115:NE115</xm:sqref>
        </x14:conditionalFormatting>
        <x14:conditionalFormatting xmlns:xm="http://schemas.microsoft.com/office/excel/2006/main">
          <x14:cfRule type="expression" priority="113" id="{00000000-000E-0000-1100-000071000000}">
            <xm:f>AND('Annual Election'!$I$116="Y",E$4&gt;='Annual Election'!$E$116,E$4&lt;='Annual Election'!$H$116)</xm:f>
            <x14:dxf>
              <fill>
                <patternFill>
                  <bgColor rgb="FFF3EFE8"/>
                </patternFill>
              </fill>
            </x14:dxf>
          </x14:cfRule>
          <xm:sqref>E116:NE116</xm:sqref>
        </x14:conditionalFormatting>
        <x14:conditionalFormatting xmlns:xm="http://schemas.microsoft.com/office/excel/2006/main">
          <x14:cfRule type="expression" priority="114" id="{00000000-000E-0000-1100-000072000000}">
            <xm:f>AND('Annual Election'!$I$117="Y",E$4&gt;='Annual Election'!$E$117,E$4&lt;='Annual Election'!$H$117)</xm:f>
            <x14:dxf>
              <fill>
                <patternFill>
                  <bgColor rgb="FFF3EFE8"/>
                </patternFill>
              </fill>
            </x14:dxf>
          </x14:cfRule>
          <xm:sqref>E117:NE117</xm:sqref>
        </x14:conditionalFormatting>
        <x14:conditionalFormatting xmlns:xm="http://schemas.microsoft.com/office/excel/2006/main">
          <x14:cfRule type="expression" priority="115" id="{00000000-000E-0000-1100-000073000000}">
            <xm:f>AND('Annual Election'!$I$118="Y",E$4&gt;='Annual Election'!$E$118,E$4&lt;='Annual Election'!$H$118)</xm:f>
            <x14:dxf>
              <fill>
                <patternFill>
                  <bgColor rgb="FFF3EFE8"/>
                </patternFill>
              </fill>
            </x14:dxf>
          </x14:cfRule>
          <xm:sqref>E118:NE118</xm:sqref>
        </x14:conditionalFormatting>
        <x14:conditionalFormatting xmlns:xm="http://schemas.microsoft.com/office/excel/2006/main">
          <x14:cfRule type="expression" priority="116" id="{00000000-000E-0000-1100-000074000000}">
            <xm:f>AND('Annual Election'!$I$119="Y",E$4&gt;='Annual Election'!$E$119,E$4&lt;='Annual Election'!$H$119)</xm:f>
            <x14:dxf>
              <fill>
                <patternFill>
                  <bgColor rgb="FFF3EFE8"/>
                </patternFill>
              </fill>
            </x14:dxf>
          </x14:cfRule>
          <xm:sqref>E119:NE119</xm:sqref>
        </x14:conditionalFormatting>
        <x14:conditionalFormatting xmlns:xm="http://schemas.microsoft.com/office/excel/2006/main">
          <x14:cfRule type="expression" priority="117" id="{00000000-000E-0000-1100-000075000000}">
            <xm:f>AND('Annual Election'!$I$120="Y",E$4&gt;='Annual Election'!$E$120,E$4&lt;='Annual Election'!$H$120)</xm:f>
            <x14:dxf>
              <fill>
                <patternFill>
                  <bgColor rgb="FFF3EFE8"/>
                </patternFill>
              </fill>
            </x14:dxf>
          </x14:cfRule>
          <xm:sqref>E120:NE120</xm:sqref>
        </x14:conditionalFormatting>
        <x14:conditionalFormatting xmlns:xm="http://schemas.microsoft.com/office/excel/2006/main">
          <x14:cfRule type="expression" priority="118" id="{00000000-000E-0000-1100-000076000000}">
            <xm:f>AND('Annual Election'!$I$121="Y",E$4&gt;='Annual Election'!$E$121,E$4&lt;='Annual Election'!$H$121)</xm:f>
            <x14:dxf>
              <fill>
                <patternFill>
                  <bgColor rgb="FFF3EFE8"/>
                </patternFill>
              </fill>
            </x14:dxf>
          </x14:cfRule>
          <xm:sqref>E121:NE121</xm:sqref>
        </x14:conditionalFormatting>
        <x14:conditionalFormatting xmlns:xm="http://schemas.microsoft.com/office/excel/2006/main">
          <x14:cfRule type="expression" priority="119" id="{00000000-000E-0000-1100-000077000000}">
            <xm:f>AND('Annual Election'!$I$122="Y",E$4&gt;='Annual Election'!$E$122,E$4&lt;='Annual Election'!$H$122)</xm:f>
            <x14:dxf>
              <fill>
                <patternFill>
                  <bgColor rgb="FFF3EFE8"/>
                </patternFill>
              </fill>
            </x14:dxf>
          </x14:cfRule>
          <xm:sqref>E122:NE122</xm:sqref>
        </x14:conditionalFormatting>
        <x14:conditionalFormatting xmlns:xm="http://schemas.microsoft.com/office/excel/2006/main">
          <x14:cfRule type="expression" priority="120" id="{00000000-000E-0000-1100-000078000000}">
            <xm:f>AND('Annual Election'!$I$123="Y",E$4&gt;='Annual Election'!$E$123,E$4&lt;='Annual Election'!$H$123)</xm:f>
            <x14:dxf>
              <fill>
                <patternFill>
                  <bgColor rgb="FFF3EFE8"/>
                </patternFill>
              </fill>
            </x14:dxf>
          </x14:cfRule>
          <xm:sqref>E123:NE123</xm:sqref>
        </x14:conditionalFormatting>
        <x14:conditionalFormatting xmlns:xm="http://schemas.microsoft.com/office/excel/2006/main">
          <x14:cfRule type="expression" priority="121" id="{00000000-000E-0000-1100-000079000000}">
            <xm:f>AND('Annual Election'!$I$124="Y",E$4&gt;='Annual Election'!$E$124,E$4&lt;='Annual Election'!$H$124)</xm:f>
            <x14:dxf>
              <fill>
                <patternFill>
                  <bgColor rgb="FFF3EFE8"/>
                </patternFill>
              </fill>
            </x14:dxf>
          </x14:cfRule>
          <xm:sqref>E124:NE124</xm:sqref>
        </x14:conditionalFormatting>
        <x14:conditionalFormatting xmlns:xm="http://schemas.microsoft.com/office/excel/2006/main">
          <x14:cfRule type="expression" priority="122" id="{00000000-000E-0000-1100-00007A000000}">
            <xm:f>AND('Annual Election'!$I$125="Y",E$4&gt;='Annual Election'!$E$125,E$4&lt;='Annual Election'!$H$125)</xm:f>
            <x14:dxf>
              <fill>
                <patternFill>
                  <bgColor rgb="FFF3EFE8"/>
                </patternFill>
              </fill>
            </x14:dxf>
          </x14:cfRule>
          <xm:sqref>E125:NE125</xm:sqref>
        </x14:conditionalFormatting>
        <x14:conditionalFormatting xmlns:xm="http://schemas.microsoft.com/office/excel/2006/main">
          <x14:cfRule type="expression" priority="123" id="{00000000-000E-0000-1100-00007B000000}">
            <xm:f>AND('Annual Election'!$I$126="Y",E$4&gt;='Annual Election'!$E$126,E$4&lt;='Annual Election'!$H$126)</xm:f>
            <x14:dxf>
              <fill>
                <patternFill>
                  <bgColor rgb="FFF3EFE8"/>
                </patternFill>
              </fill>
            </x14:dxf>
          </x14:cfRule>
          <xm:sqref>E126:NE126</xm:sqref>
        </x14:conditionalFormatting>
        <x14:conditionalFormatting xmlns:xm="http://schemas.microsoft.com/office/excel/2006/main">
          <x14:cfRule type="expression" priority="124" id="{00000000-000E-0000-1100-00007C000000}">
            <xm:f>AND('Annual Election'!$I$127="Y",E$4&gt;='Annual Election'!$E$127,E$4&lt;='Annual Election'!$H$127)</xm:f>
            <x14:dxf>
              <fill>
                <patternFill>
                  <bgColor rgb="FFF3EFE8"/>
                </patternFill>
              </fill>
            </x14:dxf>
          </x14:cfRule>
          <xm:sqref>E127:NE127</xm:sqref>
        </x14:conditionalFormatting>
        <x14:conditionalFormatting xmlns:xm="http://schemas.microsoft.com/office/excel/2006/main">
          <x14:cfRule type="expression" priority="125" id="{00000000-000E-0000-1100-00007D000000}">
            <xm:f>AND('Annual Election'!$I$128="Y",E$4&gt;='Annual Election'!$E$128,E$4&lt;='Annual Election'!$H$128)</xm:f>
            <x14:dxf>
              <fill>
                <patternFill>
                  <bgColor rgb="FFF3EFE8"/>
                </patternFill>
              </fill>
            </x14:dxf>
          </x14:cfRule>
          <xm:sqref>E128:NE128</xm:sqref>
        </x14:conditionalFormatting>
        <x14:conditionalFormatting xmlns:xm="http://schemas.microsoft.com/office/excel/2006/main">
          <x14:cfRule type="expression" priority="126" id="{00000000-000E-0000-1100-00007E000000}">
            <xm:f>AND('Annual Election'!$I$129="Y",E$4&gt;='Annual Election'!$E$129,E$4&lt;='Annual Election'!$H$129)</xm:f>
            <x14:dxf>
              <fill>
                <patternFill>
                  <bgColor rgb="FFF3EFE8"/>
                </patternFill>
              </fill>
            </x14:dxf>
          </x14:cfRule>
          <xm:sqref>E129:NE129</xm:sqref>
        </x14:conditionalFormatting>
        <x14:conditionalFormatting xmlns:xm="http://schemas.microsoft.com/office/excel/2006/main">
          <x14:cfRule type="expression" priority="127" id="{00000000-000E-0000-1100-00007F000000}">
            <xm:f>AND('Annual Election'!$I$130="Y",E$4&gt;='Annual Election'!$E$130,E$4&lt;='Annual Election'!$H$130)</xm:f>
            <x14:dxf>
              <fill>
                <patternFill>
                  <bgColor rgb="FFF3EFE8"/>
                </patternFill>
              </fill>
            </x14:dxf>
          </x14:cfRule>
          <xm:sqref>E130:NE130</xm:sqref>
        </x14:conditionalFormatting>
        <x14:conditionalFormatting xmlns:xm="http://schemas.microsoft.com/office/excel/2006/main">
          <x14:cfRule type="expression" priority="128" id="{00000000-000E-0000-1100-000080000000}">
            <xm:f>AND('Annual Election'!$I$131="Y",E$4&gt;='Annual Election'!$E$131,E$4&lt;='Annual Election'!$H$131)</xm:f>
            <x14:dxf>
              <fill>
                <patternFill>
                  <bgColor rgb="FFF3EFE8"/>
                </patternFill>
              </fill>
            </x14:dxf>
          </x14:cfRule>
          <xm:sqref>E131:NE131</xm:sqref>
        </x14:conditionalFormatting>
        <x14:conditionalFormatting xmlns:xm="http://schemas.microsoft.com/office/excel/2006/main">
          <x14:cfRule type="expression" priority="129" id="{00000000-000E-0000-1100-000081000000}">
            <xm:f>AND('Annual Election'!$I$132="Y",E$4&gt;='Annual Election'!$E$132,E$4&lt;='Annual Election'!$H$132)</xm:f>
            <x14:dxf>
              <fill>
                <patternFill>
                  <bgColor rgb="FFF3EFE8"/>
                </patternFill>
              </fill>
            </x14:dxf>
          </x14:cfRule>
          <xm:sqref>E132:NE132</xm:sqref>
        </x14:conditionalFormatting>
        <x14:conditionalFormatting xmlns:xm="http://schemas.microsoft.com/office/excel/2006/main">
          <x14:cfRule type="expression" priority="130" id="{00000000-000E-0000-1100-000082000000}">
            <xm:f>AND('Annual Election'!$I$133="Y",E$4&gt;='Annual Election'!$E$133,E$4&lt;='Annual Election'!$H$133)</xm:f>
            <x14:dxf>
              <fill>
                <patternFill>
                  <bgColor rgb="FFF3EFE8"/>
                </patternFill>
              </fill>
            </x14:dxf>
          </x14:cfRule>
          <xm:sqref>E133:NE133</xm:sqref>
        </x14:conditionalFormatting>
        <x14:conditionalFormatting xmlns:xm="http://schemas.microsoft.com/office/excel/2006/main">
          <x14:cfRule type="expression" priority="131" id="{00000000-000E-0000-1100-000083000000}">
            <xm:f>AND('Annual Election'!$I$134="Y",E$4&gt;='Annual Election'!$E$134,E$4&lt;='Annual Election'!$H$134)</xm:f>
            <x14:dxf>
              <fill>
                <patternFill>
                  <bgColor rgb="FFF3EFE8"/>
                </patternFill>
              </fill>
            </x14:dxf>
          </x14:cfRule>
          <xm:sqref>E134:NE134</xm:sqref>
        </x14:conditionalFormatting>
        <x14:conditionalFormatting xmlns:xm="http://schemas.microsoft.com/office/excel/2006/main">
          <x14:cfRule type="expression" priority="132" id="{00000000-000E-0000-1100-000084000000}">
            <xm:f>AND('Annual Election'!$I$135="Y",E$4&gt;='Annual Election'!$E$135,E$4&lt;='Annual Election'!$H$135)</xm:f>
            <x14:dxf>
              <fill>
                <patternFill>
                  <bgColor rgb="FFF3EFE8"/>
                </patternFill>
              </fill>
            </x14:dxf>
          </x14:cfRule>
          <xm:sqref>E135:NE135</xm:sqref>
        </x14:conditionalFormatting>
        <x14:conditionalFormatting xmlns:xm="http://schemas.microsoft.com/office/excel/2006/main">
          <x14:cfRule type="expression" priority="133" id="{00000000-000E-0000-1100-000085000000}">
            <xm:f>AND('Annual Election'!$I$136="Y",E$4&gt;='Annual Election'!$E$136,E$4&lt;='Annual Election'!$H$136)</xm:f>
            <x14:dxf>
              <fill>
                <patternFill>
                  <bgColor rgb="FFF3EFE8"/>
                </patternFill>
              </fill>
            </x14:dxf>
          </x14:cfRule>
          <xm:sqref>E136:NE136</xm:sqref>
        </x14:conditionalFormatting>
        <x14:conditionalFormatting xmlns:xm="http://schemas.microsoft.com/office/excel/2006/main">
          <x14:cfRule type="expression" priority="134" id="{00000000-000E-0000-1100-000086000000}">
            <xm:f>AND('Annual Election'!$I$137="Y",E$4&gt;='Annual Election'!$E$137,E$4&lt;='Annual Election'!$H$137)</xm:f>
            <x14:dxf>
              <fill>
                <patternFill>
                  <bgColor rgb="FFF3EFE8"/>
                </patternFill>
              </fill>
            </x14:dxf>
          </x14:cfRule>
          <xm:sqref>E137:NE137</xm:sqref>
        </x14:conditionalFormatting>
        <x14:conditionalFormatting xmlns:xm="http://schemas.microsoft.com/office/excel/2006/main">
          <x14:cfRule type="expression" priority="135" id="{00000000-000E-0000-1100-000087000000}">
            <xm:f>AND('Annual Election'!$I$138="Y",E$4&gt;='Annual Election'!$E$138,E$4&lt;='Annual Election'!$H$138)</xm:f>
            <x14:dxf>
              <fill>
                <patternFill>
                  <bgColor rgb="FFF3EFE8"/>
                </patternFill>
              </fill>
            </x14:dxf>
          </x14:cfRule>
          <xm:sqref>E138:NE138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38"/>
  <sheetViews>
    <sheetView zoomScaleNormal="100" workbookViewId="0"/>
  </sheetViews>
  <sheetFormatPr defaultColWidth="8.6640625" defaultRowHeight="14.25" x14ac:dyDescent="0.45"/>
  <cols>
    <col min="1" max="1" width="4" customWidth="1"/>
    <col min="2" max="2" width="34" customWidth="1"/>
    <col min="3" max="6" width="20" customWidth="1"/>
  </cols>
  <sheetData>
    <row r="1" spans="2:6" ht="17.649999999999999" x14ac:dyDescent="0.5">
      <c r="B1" s="7" t="s">
        <v>503</v>
      </c>
    </row>
    <row r="2" spans="2:6" ht="27.75" customHeight="1" x14ac:dyDescent="0.45">
      <c r="B2" s="5" t="s">
        <v>504</v>
      </c>
      <c r="C2" s="5"/>
      <c r="D2" s="5"/>
      <c r="E2" s="5"/>
      <c r="F2" s="5"/>
    </row>
    <row r="4" spans="2:6" x14ac:dyDescent="0.45">
      <c r="B4" s="10" t="s">
        <v>505</v>
      </c>
    </row>
    <row r="5" spans="2:6" x14ac:dyDescent="0.45">
      <c r="B5" s="16" t="s">
        <v>506</v>
      </c>
      <c r="C5" s="53" t="str">
        <f>IFERROR(AVERAGE('Supervisor Progress'!$G$2:$G$135),"")</f>
        <v/>
      </c>
    </row>
    <row r="6" spans="2:6" x14ac:dyDescent="0.45">
      <c r="B6" s="16" t="s">
        <v>495</v>
      </c>
      <c r="C6" s="34">
        <f>'Total Budget Summary'!F5</f>
        <v>0</v>
      </c>
    </row>
    <row r="7" spans="2:6" x14ac:dyDescent="0.45">
      <c r="B7" s="16" t="s">
        <v>507</v>
      </c>
      <c r="C7" s="34">
        <f>SUM('Supervisor Progress'!$I$2:$I$135)</f>
        <v>0</v>
      </c>
    </row>
    <row r="8" spans="2:6" x14ac:dyDescent="0.45">
      <c r="B8" s="16" t="s">
        <v>508</v>
      </c>
      <c r="C8" s="54">
        <f ca="1">COUNTIF('Supervisor Progress'!$M$2:$M$135,"AT RISK*")</f>
        <v>0</v>
      </c>
    </row>
    <row r="9" spans="2:6" x14ac:dyDescent="0.45">
      <c r="B9" s="16" t="s">
        <v>509</v>
      </c>
      <c r="C9" s="54">
        <f ca="1">COUNTIF('Supervisor Progress'!$O$2:$O$135,"ROLL*")</f>
        <v>0</v>
      </c>
    </row>
    <row r="11" spans="2:6" x14ac:dyDescent="0.45">
      <c r="B11" s="18" t="s">
        <v>510</v>
      </c>
    </row>
    <row r="12" spans="2:6" ht="39.75" customHeight="1" x14ac:dyDescent="0.45">
      <c r="B12" s="6"/>
      <c r="C12" s="6"/>
      <c r="D12" s="6"/>
      <c r="E12" s="6"/>
      <c r="F12" s="6"/>
    </row>
    <row r="14" spans="2:6" x14ac:dyDescent="0.45">
      <c r="B14" s="10" t="s">
        <v>511</v>
      </c>
    </row>
    <row r="15" spans="2:6" ht="30" customHeight="1" x14ac:dyDescent="0.45">
      <c r="B15" s="15" t="s">
        <v>47</v>
      </c>
      <c r="C15" s="15" t="s">
        <v>512</v>
      </c>
      <c r="D15" s="15" t="s">
        <v>513</v>
      </c>
      <c r="E15" s="15" t="s">
        <v>514</v>
      </c>
    </row>
    <row r="16" spans="2:6" x14ac:dyDescent="0.45">
      <c r="B16" s="16" t="s">
        <v>54</v>
      </c>
      <c r="C16" s="47">
        <f>SUMIFS('Supervisor Progress'!$D$2:$D$135,'Supervisor Progress'!$B$2:$B$135,"T1-*")</f>
        <v>0</v>
      </c>
      <c r="D16" s="47">
        <f>SUMIFS('Supervisor Progress'!$H$2:$H$135,'Supervisor Progress'!$B$2:$B$135,"T1-*")</f>
        <v>0</v>
      </c>
      <c r="E16" s="55" t="str">
        <f>IFERROR(AVERAGEIFS('Supervisor Progress'!$G$2:$G$135,'Supervisor Progress'!$B$2:$B$135,"T1-*"),"")</f>
        <v/>
      </c>
    </row>
    <row r="17" spans="2:6" x14ac:dyDescent="0.45">
      <c r="B17" s="16" t="s">
        <v>177</v>
      </c>
      <c r="C17" s="47">
        <f>SUMIFS('Supervisor Progress'!$D$2:$D$135,'Supervisor Progress'!$B$2:$B$135,"T2-*")</f>
        <v>0</v>
      </c>
      <c r="D17" s="47">
        <f>SUMIFS('Supervisor Progress'!$H$2:$H$135,'Supervisor Progress'!$B$2:$B$135,"T2-*")</f>
        <v>0</v>
      </c>
      <c r="E17" s="55" t="str">
        <f>IFERROR(AVERAGEIFS('Supervisor Progress'!$G$2:$G$135,'Supervisor Progress'!$B$2:$B$135,"T2-*"),"")</f>
        <v/>
      </c>
    </row>
    <row r="18" spans="2:6" x14ac:dyDescent="0.45">
      <c r="B18" s="16" t="s">
        <v>280</v>
      </c>
      <c r="C18" s="47">
        <f>SUMIFS('Supervisor Progress'!$D$2:$D$135,'Supervisor Progress'!$B$2:$B$135,"T3-*")</f>
        <v>0</v>
      </c>
      <c r="D18" s="47">
        <f>SUMIFS('Supervisor Progress'!$H$2:$H$135,'Supervisor Progress'!$B$2:$B$135,"T3-*")</f>
        <v>0</v>
      </c>
      <c r="E18" s="55" t="str">
        <f>IFERROR(AVERAGEIFS('Supervisor Progress'!$G$2:$G$135,'Supervisor Progress'!$B$2:$B$135,"T3-*"),"")</f>
        <v/>
      </c>
    </row>
    <row r="20" spans="2:6" x14ac:dyDescent="0.45">
      <c r="B20" s="10" t="s">
        <v>515</v>
      </c>
    </row>
    <row r="21" spans="2:6" ht="30" customHeight="1" x14ac:dyDescent="0.45">
      <c r="B21" s="15"/>
      <c r="C21" s="15" t="s">
        <v>516</v>
      </c>
      <c r="D21" s="15" t="s">
        <v>517</v>
      </c>
      <c r="E21" s="15" t="s">
        <v>518</v>
      </c>
      <c r="F21" s="15" t="s">
        <v>519</v>
      </c>
    </row>
    <row r="22" spans="2:6" x14ac:dyDescent="0.45">
      <c r="B22" s="16" t="s">
        <v>520</v>
      </c>
      <c r="C22" s="33">
        <f>'Total Budget Summary'!C5</f>
        <v>0</v>
      </c>
      <c r="D22" s="33">
        <f>'Total Budget Summary'!D5</f>
        <v>0</v>
      </c>
      <c r="E22" s="33">
        <f>'Total Budget Summary'!E5</f>
        <v>0</v>
      </c>
      <c r="F22" s="33">
        <f>'Total Budget Summary'!F5</f>
        <v>0</v>
      </c>
    </row>
    <row r="23" spans="2:6" x14ac:dyDescent="0.45">
      <c r="B23" s="16" t="s">
        <v>521</v>
      </c>
      <c r="C23" s="33">
        <f>SUM('Supervisor Progress'!$I$2:$I$135)</f>
        <v>0</v>
      </c>
      <c r="D23" s="36"/>
      <c r="E23" s="36"/>
      <c r="F23" s="33">
        <f>SUM(C23:E23)</f>
        <v>0</v>
      </c>
    </row>
    <row r="25" spans="2:6" x14ac:dyDescent="0.45">
      <c r="B25" s="10" t="s">
        <v>522</v>
      </c>
    </row>
    <row r="26" spans="2:6" x14ac:dyDescent="0.45">
      <c r="B26" s="3" t="s">
        <v>523</v>
      </c>
      <c r="C26" s="3"/>
      <c r="D26" s="3"/>
      <c r="E26" s="3"/>
      <c r="F26" s="3"/>
    </row>
    <row r="27" spans="2:6" x14ac:dyDescent="0.45">
      <c r="B27" s="2" t="str">
        <f ca="1">IF(COUNTIF('Supervisor Progress'!$M$2:$M$135,"AT RISK*")&gt;0,"Yes — open Supervisor Progress and filter column M for the full list of flagged activities.","None currently flagged.")</f>
        <v>None currently flagged.</v>
      </c>
      <c r="C27" s="2"/>
      <c r="D27" s="2"/>
      <c r="E27" s="2"/>
      <c r="F27" s="2"/>
    </row>
    <row r="28" spans="2:6" x14ac:dyDescent="0.45">
      <c r="B28" s="18" t="s">
        <v>524</v>
      </c>
    </row>
    <row r="29" spans="2:6" ht="30" customHeight="1" x14ac:dyDescent="0.45">
      <c r="B29" s="6"/>
      <c r="C29" s="6"/>
      <c r="D29" s="6"/>
      <c r="E29" s="6"/>
      <c r="F29" s="6"/>
    </row>
    <row r="31" spans="2:6" x14ac:dyDescent="0.45">
      <c r="B31" s="10" t="s">
        <v>525</v>
      </c>
    </row>
    <row r="32" spans="2:6" x14ac:dyDescent="0.45">
      <c r="B32" s="18" t="s">
        <v>526</v>
      </c>
    </row>
    <row r="34" spans="2:6" x14ac:dyDescent="0.45">
      <c r="B34" s="10" t="s">
        <v>527</v>
      </c>
    </row>
    <row r="35" spans="2:6" ht="49.5" customHeight="1" x14ac:dyDescent="0.45">
      <c r="B35" s="6"/>
      <c r="C35" s="6"/>
      <c r="D35" s="6"/>
      <c r="E35" s="6"/>
      <c r="F35" s="6"/>
    </row>
    <row r="37" spans="2:6" x14ac:dyDescent="0.45">
      <c r="B37" s="10" t="s">
        <v>528</v>
      </c>
    </row>
    <row r="38" spans="2:6" ht="109.5" customHeight="1" x14ac:dyDescent="0.45">
      <c r="B38" s="1" t="s">
        <v>529</v>
      </c>
      <c r="C38" s="1"/>
      <c r="D38" s="1"/>
      <c r="E38" s="1"/>
      <c r="F38" s="1"/>
    </row>
  </sheetData>
  <mergeCells count="7">
    <mergeCell ref="B35:F35"/>
    <mergeCell ref="B38:F38"/>
    <mergeCell ref="B2:F2"/>
    <mergeCell ref="B12:F12"/>
    <mergeCell ref="B26:F26"/>
    <mergeCell ref="B27:F27"/>
    <mergeCell ref="B29:F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Activity List</vt:lpstr>
      <vt:lpstr>Master</vt:lpstr>
      <vt:lpstr>Benchmark Rate Survey</vt:lpstr>
      <vt:lpstr>Labor Rate Card</vt:lpstr>
      <vt:lpstr>Material Rate Card</vt:lpstr>
      <vt:lpstr>Outsourced Services Rate Card</vt:lpstr>
      <vt:lpstr>Fee Schedule</vt:lpstr>
      <vt:lpstr>Annual Election</vt:lpstr>
      <vt:lpstr>Activity Plan</vt:lpstr>
      <vt:lpstr>Supervisor Progress</vt:lpstr>
      <vt:lpstr>Labor Budget</vt:lpstr>
      <vt:lpstr>Material Budget</vt:lpstr>
      <vt:lpstr>Service Budget</vt:lpstr>
      <vt:lpstr>Monthly Cost Summary</vt:lpstr>
      <vt:lpstr>Weekly Cash Flow</vt:lpstr>
      <vt:lpstr>Total Budget Summary</vt:lpstr>
      <vt:lpstr>Calendar - Block 1</vt:lpstr>
      <vt:lpstr>Monthly Client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Omar Bagersh</cp:lastModifiedBy>
  <cp:revision>0</cp:revision>
  <dcterms:created xsi:type="dcterms:W3CDTF">2026-09-02T16:53:22Z</dcterms:created>
  <dcterms:modified xsi:type="dcterms:W3CDTF">2026-09-02T17:15:59Z</dcterms:modified>
  <dc:language>en-US</dc:language>
</cp:coreProperties>
</file>