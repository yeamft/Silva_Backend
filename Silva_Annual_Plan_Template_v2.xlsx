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iniam\Downloads\"/>
    </mc:Choice>
  </mc:AlternateContent>
  <xr:revisionPtr revIDLastSave="0" documentId="8_{2C01A10F-8ECE-4CE1-A930-EE96E5DE0CD7}" xr6:coauthVersionLast="36" xr6:coauthVersionMax="36" xr10:uidLastSave="{00000000-0000-0000-0000-000000000000}"/>
  <bookViews>
    <workbookView xWindow="0" yWindow="0" windowWidth="16380" windowHeight="8196" tabRatio="500" activeTab="3" xr2:uid="{00000000-000D-0000-FFFF-FFFF00000000}"/>
  </bookViews>
  <sheets>
    <sheet name="Guide" sheetId="1" r:id="rId1"/>
    <sheet name="Summary" sheetId="2" r:id="rId2"/>
    <sheet name="Settings" sheetId="3" r:id="rId3"/>
    <sheet name="Nursery" sheetId="4" r:id="rId4"/>
    <sheet name="Young Coffee" sheetId="5" r:id="rId5"/>
    <sheet name="Matured Coffee" sheetId="6" r:id="rId6"/>
    <sheet name="Infilling" sheetId="7" r:id="rId7"/>
    <sheet name="Harvesting" sheetId="8" r:id="rId8"/>
    <sheet name="Monthly" sheetId="9" r:id="rId9"/>
    <sheet name="Staff &amp; Overheads" sheetId="10" r:id="rId10"/>
    <sheet name="Benchmark Data" sheetId="11" r:id="rId11"/>
  </sheets>
  <definedNames>
    <definedName name="_xlnm._FilterDatabase" localSheetId="10" hidden="1">'Benchmark Data'!$A$6:$AK$130</definedName>
    <definedName name="_xlnm._FilterDatabase" localSheetId="7" hidden="1">Harvesting!$A$16:$N$156</definedName>
    <definedName name="_xlnm._FilterDatabase" localSheetId="6" hidden="1">Infilling!$A$16:$N$81</definedName>
    <definedName name="_xlnm._FilterDatabase" localSheetId="5" hidden="1">'Matured Coffee'!$A$16:$N$191</definedName>
    <definedName name="_xlnm._FilterDatabase" localSheetId="3" hidden="1">Nursery!$B$17:$O$182</definedName>
    <definedName name="_xlnm._FilterDatabase" localSheetId="4" hidden="1">'Young Coffee'!$A$16:$N$91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8" i="4" l="1"/>
  <c r="I18" i="4"/>
  <c r="AJ130" i="11"/>
  <c r="AH130" i="11"/>
  <c r="AI130" i="11" s="1"/>
  <c r="AG130" i="11"/>
  <c r="AF130" i="11"/>
  <c r="AE130" i="11"/>
  <c r="AC130" i="11"/>
  <c r="AD130" i="11" s="1"/>
  <c r="AB130" i="11"/>
  <c r="AA130" i="11"/>
  <c r="Z130" i="11"/>
  <c r="Y130" i="11"/>
  <c r="X130" i="11"/>
  <c r="AJ129" i="11"/>
  <c r="AH129" i="11"/>
  <c r="AI129" i="11" s="1"/>
  <c r="AG129" i="11"/>
  <c r="AF129" i="11"/>
  <c r="AE129" i="11"/>
  <c r="AC129" i="11"/>
  <c r="AD129" i="11" s="1"/>
  <c r="AB129" i="11"/>
  <c r="AA129" i="11"/>
  <c r="Z129" i="11"/>
  <c r="Y129" i="11"/>
  <c r="X129" i="11"/>
  <c r="AJ128" i="11"/>
  <c r="AH128" i="11"/>
  <c r="AI128" i="11" s="1"/>
  <c r="AG128" i="11"/>
  <c r="AF128" i="11"/>
  <c r="AE128" i="11"/>
  <c r="AD128" i="11"/>
  <c r="AC128" i="11"/>
  <c r="AB128" i="11"/>
  <c r="AA128" i="11"/>
  <c r="Z128" i="11"/>
  <c r="Y128" i="11"/>
  <c r="X128" i="11"/>
  <c r="AJ127" i="11"/>
  <c r="AH127" i="11"/>
  <c r="AI127" i="11" s="1"/>
  <c r="AG127" i="11"/>
  <c r="AF127" i="11"/>
  <c r="AE127" i="11"/>
  <c r="AC127" i="11"/>
  <c r="AD127" i="11" s="1"/>
  <c r="H137" i="8" s="1"/>
  <c r="AB127" i="11"/>
  <c r="AA127" i="11"/>
  <c r="Z127" i="11"/>
  <c r="Y127" i="11"/>
  <c r="X127" i="11"/>
  <c r="AJ126" i="11"/>
  <c r="AH126" i="11"/>
  <c r="AI126" i="11" s="1"/>
  <c r="AG126" i="11"/>
  <c r="AF126" i="11"/>
  <c r="AE126" i="11"/>
  <c r="AC126" i="11"/>
  <c r="AB126" i="11"/>
  <c r="AD126" i="11" s="1"/>
  <c r="AA126" i="11"/>
  <c r="Z126" i="11"/>
  <c r="Y126" i="11"/>
  <c r="X126" i="11"/>
  <c r="AJ125" i="11"/>
  <c r="AH125" i="11"/>
  <c r="AG125" i="11"/>
  <c r="AI125" i="11" s="1"/>
  <c r="AF125" i="11"/>
  <c r="AE125" i="11"/>
  <c r="AC125" i="11"/>
  <c r="AB125" i="11"/>
  <c r="AD125" i="11" s="1"/>
  <c r="AA125" i="11"/>
  <c r="Z125" i="11"/>
  <c r="Y125" i="11"/>
  <c r="X125" i="11"/>
  <c r="AJ124" i="11"/>
  <c r="AH124" i="11"/>
  <c r="AG124" i="11"/>
  <c r="AI124" i="11" s="1"/>
  <c r="AF124" i="11"/>
  <c r="AE124" i="11"/>
  <c r="AD124" i="11"/>
  <c r="AC124" i="11"/>
  <c r="AB124" i="11"/>
  <c r="AA124" i="11"/>
  <c r="Z124" i="11"/>
  <c r="Y124" i="11"/>
  <c r="X124" i="11"/>
  <c r="AJ123" i="11"/>
  <c r="AI123" i="11"/>
  <c r="AH123" i="11"/>
  <c r="AG123" i="11"/>
  <c r="AF123" i="11"/>
  <c r="AE123" i="11"/>
  <c r="AC123" i="11"/>
  <c r="AB123" i="11"/>
  <c r="AD123" i="11" s="1"/>
  <c r="AA123" i="11"/>
  <c r="Z123" i="11"/>
  <c r="Y123" i="11"/>
  <c r="X123" i="11"/>
  <c r="AJ122" i="11"/>
  <c r="AH122" i="11"/>
  <c r="AG122" i="11"/>
  <c r="AI122" i="11" s="1"/>
  <c r="AF122" i="11"/>
  <c r="AE122" i="11"/>
  <c r="AC122" i="11"/>
  <c r="AD122" i="11" s="1"/>
  <c r="AB122" i="11"/>
  <c r="AA122" i="11"/>
  <c r="Z122" i="11"/>
  <c r="Y122" i="11"/>
  <c r="X122" i="11"/>
  <c r="AJ121" i="11"/>
  <c r="AH121" i="11"/>
  <c r="AI121" i="11" s="1"/>
  <c r="AG121" i="11"/>
  <c r="AF121" i="11"/>
  <c r="AE121" i="11"/>
  <c r="AC121" i="11"/>
  <c r="AB121" i="11"/>
  <c r="AD121" i="11" s="1"/>
  <c r="AA121" i="11"/>
  <c r="Z121" i="11"/>
  <c r="Y121" i="11"/>
  <c r="X121" i="11"/>
  <c r="AJ120" i="11"/>
  <c r="AH120" i="11"/>
  <c r="AG120" i="11"/>
  <c r="AI120" i="11" s="1"/>
  <c r="AF120" i="11"/>
  <c r="AE120" i="11"/>
  <c r="AC120" i="11"/>
  <c r="AD120" i="11" s="1"/>
  <c r="AB120" i="11"/>
  <c r="AA120" i="11"/>
  <c r="Z120" i="11"/>
  <c r="Y120" i="11"/>
  <c r="X120" i="11"/>
  <c r="AJ119" i="11"/>
  <c r="AH119" i="11"/>
  <c r="AI119" i="11" s="1"/>
  <c r="AG119" i="11"/>
  <c r="AF119" i="11"/>
  <c r="AE119" i="11"/>
  <c r="AD119" i="11"/>
  <c r="AC119" i="11"/>
  <c r="AB119" i="11"/>
  <c r="AA119" i="11"/>
  <c r="Z119" i="11"/>
  <c r="Y119" i="11"/>
  <c r="X119" i="11"/>
  <c r="AJ118" i="11"/>
  <c r="AI118" i="11"/>
  <c r="AH118" i="11"/>
  <c r="AG118" i="11"/>
  <c r="AF118" i="11"/>
  <c r="AE118" i="11"/>
  <c r="AC118" i="11"/>
  <c r="AD118" i="11" s="1"/>
  <c r="AB118" i="11"/>
  <c r="AA118" i="11"/>
  <c r="Z118" i="11"/>
  <c r="Y118" i="11"/>
  <c r="X118" i="11"/>
  <c r="AJ117" i="11"/>
  <c r="AH117" i="11"/>
  <c r="AI117" i="11" s="1"/>
  <c r="AG117" i="11"/>
  <c r="AF117" i="11"/>
  <c r="AE117" i="11"/>
  <c r="AC117" i="11"/>
  <c r="AB117" i="11"/>
  <c r="AD117" i="11" s="1"/>
  <c r="AA117" i="11"/>
  <c r="Z117" i="11"/>
  <c r="Y117" i="11"/>
  <c r="X117" i="11"/>
  <c r="AJ116" i="11"/>
  <c r="AH116" i="11"/>
  <c r="AG116" i="11"/>
  <c r="AI116" i="11" s="1"/>
  <c r="AF116" i="11"/>
  <c r="AE116" i="11"/>
  <c r="AC116" i="11"/>
  <c r="AD116" i="11" s="1"/>
  <c r="AB116" i="11"/>
  <c r="AA116" i="11"/>
  <c r="Z116" i="11"/>
  <c r="Y116" i="11"/>
  <c r="X116" i="11"/>
  <c r="AJ115" i="11"/>
  <c r="AH115" i="11"/>
  <c r="AI115" i="11" s="1"/>
  <c r="AG115" i="11"/>
  <c r="AF115" i="11"/>
  <c r="AE115" i="11"/>
  <c r="AC115" i="11"/>
  <c r="AB115" i="11"/>
  <c r="AD115" i="11" s="1"/>
  <c r="AA115" i="11"/>
  <c r="Z115" i="11"/>
  <c r="Y115" i="11"/>
  <c r="X115" i="11"/>
  <c r="AJ114" i="11"/>
  <c r="AH114" i="11"/>
  <c r="AG114" i="11"/>
  <c r="AI114" i="11" s="1"/>
  <c r="AF114" i="11"/>
  <c r="AE114" i="11"/>
  <c r="AC114" i="11"/>
  <c r="AD114" i="11" s="1"/>
  <c r="AB114" i="11"/>
  <c r="AA114" i="11"/>
  <c r="Z114" i="11"/>
  <c r="Y114" i="11"/>
  <c r="X114" i="11"/>
  <c r="AJ113" i="11"/>
  <c r="AH113" i="11"/>
  <c r="AI113" i="11" s="1"/>
  <c r="AG113" i="11"/>
  <c r="AF113" i="11"/>
  <c r="AE113" i="11"/>
  <c r="AD113" i="11"/>
  <c r="AC113" i="11"/>
  <c r="AB113" i="11"/>
  <c r="AA113" i="11"/>
  <c r="Z113" i="11"/>
  <c r="Y113" i="11"/>
  <c r="X113" i="11"/>
  <c r="AJ112" i="11"/>
  <c r="AH112" i="11"/>
  <c r="AG112" i="11"/>
  <c r="AI112" i="11" s="1"/>
  <c r="AF112" i="11"/>
  <c r="AE112" i="11"/>
  <c r="AC112" i="11"/>
  <c r="AD112" i="11" s="1"/>
  <c r="AB112" i="11"/>
  <c r="AA112" i="11"/>
  <c r="Z112" i="11"/>
  <c r="Y112" i="11"/>
  <c r="X112" i="11"/>
  <c r="AJ111" i="11"/>
  <c r="AH111" i="11"/>
  <c r="AI111" i="11" s="1"/>
  <c r="AG111" i="11"/>
  <c r="AF111" i="11"/>
  <c r="AE111" i="11"/>
  <c r="AD111" i="11"/>
  <c r="AC111" i="11"/>
  <c r="AB111" i="11"/>
  <c r="AA111" i="11"/>
  <c r="Z111" i="11"/>
  <c r="Y111" i="11"/>
  <c r="X111" i="11"/>
  <c r="AJ110" i="11"/>
  <c r="AI110" i="11"/>
  <c r="AH110" i="11"/>
  <c r="AG110" i="11"/>
  <c r="AF110" i="11"/>
  <c r="AE110" i="11"/>
  <c r="AC110" i="11"/>
  <c r="AD110" i="11" s="1"/>
  <c r="AB110" i="11"/>
  <c r="AA110" i="11"/>
  <c r="Z110" i="11"/>
  <c r="Y110" i="11"/>
  <c r="X110" i="11"/>
  <c r="AJ109" i="11"/>
  <c r="AH109" i="11"/>
  <c r="AI109" i="11" s="1"/>
  <c r="AG109" i="11"/>
  <c r="AF109" i="11"/>
  <c r="AE109" i="11"/>
  <c r="AC109" i="11"/>
  <c r="AB109" i="11"/>
  <c r="AD109" i="11" s="1"/>
  <c r="AA109" i="11"/>
  <c r="Z109" i="11"/>
  <c r="Y109" i="11"/>
  <c r="X109" i="11"/>
  <c r="AJ108" i="11"/>
  <c r="AH108" i="11"/>
  <c r="AG108" i="11"/>
  <c r="AI108" i="11" s="1"/>
  <c r="AF108" i="11"/>
  <c r="AE108" i="11"/>
  <c r="AC108" i="11"/>
  <c r="AD108" i="11" s="1"/>
  <c r="AB108" i="11"/>
  <c r="AA108" i="11"/>
  <c r="Z108" i="11"/>
  <c r="Y108" i="11"/>
  <c r="X108" i="11"/>
  <c r="AJ107" i="11"/>
  <c r="AH107" i="11"/>
  <c r="AI107" i="11" s="1"/>
  <c r="AG107" i="11"/>
  <c r="AF107" i="11"/>
  <c r="AE107" i="11"/>
  <c r="AC107" i="11"/>
  <c r="AB107" i="11"/>
  <c r="AD107" i="11" s="1"/>
  <c r="AA107" i="11"/>
  <c r="Z107" i="11"/>
  <c r="Y107" i="11"/>
  <c r="X107" i="11"/>
  <c r="AJ106" i="11"/>
  <c r="AH106" i="11"/>
  <c r="AG106" i="11"/>
  <c r="AI106" i="11" s="1"/>
  <c r="AF106" i="11"/>
  <c r="AE106" i="11"/>
  <c r="AC106" i="11"/>
  <c r="AD106" i="11" s="1"/>
  <c r="AB106" i="11"/>
  <c r="AA106" i="11"/>
  <c r="Z106" i="11"/>
  <c r="Y106" i="11"/>
  <c r="X106" i="11"/>
  <c r="AJ105" i="11"/>
  <c r="AH105" i="11"/>
  <c r="AI105" i="11" s="1"/>
  <c r="AG105" i="11"/>
  <c r="AF105" i="11"/>
  <c r="AE105" i="11"/>
  <c r="AC105" i="11"/>
  <c r="AB105" i="11"/>
  <c r="AD105" i="11" s="1"/>
  <c r="AA105" i="11"/>
  <c r="Z105" i="11"/>
  <c r="Y105" i="11"/>
  <c r="X105" i="11"/>
  <c r="AJ104" i="11"/>
  <c r="AH104" i="11"/>
  <c r="AG104" i="11"/>
  <c r="AI104" i="11" s="1"/>
  <c r="AF104" i="11"/>
  <c r="AE104" i="11"/>
  <c r="AC104" i="11"/>
  <c r="AD104" i="11" s="1"/>
  <c r="AB104" i="11"/>
  <c r="AA104" i="11"/>
  <c r="Z104" i="11"/>
  <c r="Y104" i="11"/>
  <c r="X104" i="11"/>
  <c r="AJ103" i="11"/>
  <c r="AH103" i="11"/>
  <c r="AI103" i="11" s="1"/>
  <c r="AG103" i="11"/>
  <c r="AF103" i="11"/>
  <c r="AE103" i="11"/>
  <c r="AD103" i="11"/>
  <c r="AC103" i="11"/>
  <c r="AB103" i="11"/>
  <c r="AA103" i="11"/>
  <c r="Z103" i="11"/>
  <c r="Y103" i="11"/>
  <c r="X103" i="11"/>
  <c r="AJ102" i="11"/>
  <c r="AI102" i="11"/>
  <c r="AH102" i="11"/>
  <c r="AG102" i="11"/>
  <c r="AF102" i="11"/>
  <c r="AE102" i="11"/>
  <c r="AC102" i="11"/>
  <c r="AD102" i="11" s="1"/>
  <c r="AB102" i="11"/>
  <c r="AA102" i="11"/>
  <c r="Z102" i="11"/>
  <c r="Y102" i="11"/>
  <c r="X102" i="11"/>
  <c r="AJ101" i="11"/>
  <c r="AH101" i="11"/>
  <c r="AI101" i="11" s="1"/>
  <c r="AG101" i="11"/>
  <c r="AF101" i="11"/>
  <c r="AE101" i="11"/>
  <c r="AD101" i="11"/>
  <c r="AC101" i="11"/>
  <c r="AB101" i="11"/>
  <c r="AA101" i="11"/>
  <c r="Z101" i="11"/>
  <c r="Y101" i="11"/>
  <c r="X101" i="11"/>
  <c r="AJ100" i="11"/>
  <c r="AH100" i="11"/>
  <c r="AG100" i="11"/>
  <c r="AI100" i="11" s="1"/>
  <c r="AF100" i="11"/>
  <c r="AE100" i="11"/>
  <c r="AC100" i="11"/>
  <c r="AD100" i="11" s="1"/>
  <c r="AB100" i="11"/>
  <c r="AA100" i="11"/>
  <c r="Z100" i="11"/>
  <c r="Y100" i="11"/>
  <c r="X100" i="11"/>
  <c r="AJ99" i="11"/>
  <c r="AH99" i="11"/>
  <c r="AI99" i="11" s="1"/>
  <c r="AG99" i="11"/>
  <c r="AF99" i="11"/>
  <c r="AE99" i="11"/>
  <c r="AC99" i="11"/>
  <c r="AB99" i="11"/>
  <c r="AD99" i="11" s="1"/>
  <c r="AA99" i="11"/>
  <c r="Z99" i="11"/>
  <c r="Y99" i="11"/>
  <c r="X99" i="11"/>
  <c r="AJ98" i="11"/>
  <c r="AH98" i="11"/>
  <c r="AG98" i="11"/>
  <c r="AI98" i="11" s="1"/>
  <c r="AF98" i="11"/>
  <c r="AE98" i="11"/>
  <c r="AC98" i="11"/>
  <c r="AD98" i="11" s="1"/>
  <c r="AB98" i="11"/>
  <c r="AA98" i="11"/>
  <c r="Z98" i="11"/>
  <c r="Y98" i="11"/>
  <c r="X98" i="11"/>
  <c r="AJ97" i="11"/>
  <c r="AH97" i="11"/>
  <c r="AI97" i="11" s="1"/>
  <c r="AG97" i="11"/>
  <c r="AF97" i="11"/>
  <c r="AE97" i="11"/>
  <c r="AC97" i="11"/>
  <c r="AB97" i="11"/>
  <c r="AD97" i="11" s="1"/>
  <c r="AA97" i="11"/>
  <c r="Z97" i="11"/>
  <c r="Y97" i="11"/>
  <c r="X97" i="11"/>
  <c r="AJ96" i="11"/>
  <c r="AH96" i="11"/>
  <c r="AG96" i="11"/>
  <c r="AI96" i="11" s="1"/>
  <c r="AF96" i="11"/>
  <c r="AE96" i="11"/>
  <c r="AC96" i="11"/>
  <c r="AD96" i="11" s="1"/>
  <c r="AB96" i="11"/>
  <c r="AA96" i="11"/>
  <c r="Z96" i="11"/>
  <c r="Y96" i="11"/>
  <c r="X96" i="11"/>
  <c r="AJ95" i="11"/>
  <c r="AH95" i="11"/>
  <c r="AI95" i="11" s="1"/>
  <c r="AG95" i="11"/>
  <c r="AF95" i="11"/>
  <c r="AE95" i="11"/>
  <c r="AD95" i="11"/>
  <c r="AC95" i="11"/>
  <c r="AB95" i="11"/>
  <c r="AA95" i="11"/>
  <c r="Z95" i="11"/>
  <c r="Y95" i="11"/>
  <c r="X95" i="11"/>
  <c r="AJ94" i="11"/>
  <c r="AI94" i="11"/>
  <c r="AH94" i="11"/>
  <c r="AG94" i="11"/>
  <c r="AF94" i="11"/>
  <c r="AE94" i="11"/>
  <c r="AC94" i="11"/>
  <c r="AD94" i="11" s="1"/>
  <c r="AB94" i="11"/>
  <c r="AA94" i="11"/>
  <c r="Z94" i="11"/>
  <c r="Y94" i="11"/>
  <c r="X94" i="11"/>
  <c r="AJ93" i="11"/>
  <c r="AH93" i="11"/>
  <c r="AI93" i="11" s="1"/>
  <c r="AG93" i="11"/>
  <c r="AF93" i="11"/>
  <c r="AE93" i="11"/>
  <c r="AC93" i="11"/>
  <c r="AB93" i="11"/>
  <c r="AD93" i="11" s="1"/>
  <c r="AA93" i="11"/>
  <c r="Z93" i="11"/>
  <c r="Y93" i="11"/>
  <c r="X93" i="11"/>
  <c r="AJ92" i="11"/>
  <c r="AH92" i="11"/>
  <c r="AG92" i="11"/>
  <c r="AI92" i="11" s="1"/>
  <c r="AF92" i="11"/>
  <c r="AE92" i="11"/>
  <c r="AC92" i="11"/>
  <c r="AD92" i="11" s="1"/>
  <c r="AB92" i="11"/>
  <c r="AA92" i="11"/>
  <c r="Z92" i="11"/>
  <c r="Y92" i="11"/>
  <c r="X92" i="11"/>
  <c r="AJ91" i="11"/>
  <c r="AH91" i="11"/>
  <c r="AI91" i="11" s="1"/>
  <c r="AG91" i="11"/>
  <c r="AF91" i="11"/>
  <c r="AE91" i="11"/>
  <c r="AC91" i="11"/>
  <c r="AB91" i="11"/>
  <c r="AD91" i="11" s="1"/>
  <c r="AA91" i="11"/>
  <c r="Z91" i="11"/>
  <c r="Y91" i="11"/>
  <c r="X91" i="11"/>
  <c r="AJ90" i="11"/>
  <c r="AH90" i="11"/>
  <c r="AG90" i="11"/>
  <c r="AI90" i="11" s="1"/>
  <c r="AF90" i="11"/>
  <c r="AE90" i="11"/>
  <c r="AC90" i="11"/>
  <c r="AD90" i="11" s="1"/>
  <c r="AB90" i="11"/>
  <c r="AA90" i="11"/>
  <c r="Z90" i="11"/>
  <c r="Y90" i="11"/>
  <c r="X90" i="11"/>
  <c r="AJ89" i="11"/>
  <c r="AH89" i="11"/>
  <c r="AI89" i="11" s="1"/>
  <c r="AG89" i="11"/>
  <c r="AF89" i="11"/>
  <c r="AE89" i="11"/>
  <c r="AD89" i="11"/>
  <c r="AC89" i="11"/>
  <c r="AB89" i="11"/>
  <c r="AA89" i="11"/>
  <c r="Z89" i="11"/>
  <c r="Y89" i="11"/>
  <c r="X89" i="11"/>
  <c r="AJ88" i="11"/>
  <c r="AI88" i="11"/>
  <c r="AH88" i="11"/>
  <c r="AG88" i="11"/>
  <c r="AF88" i="11"/>
  <c r="AE88" i="11"/>
  <c r="AC88" i="11"/>
  <c r="AD88" i="11" s="1"/>
  <c r="AB88" i="11"/>
  <c r="AA88" i="11"/>
  <c r="Z88" i="11"/>
  <c r="Y88" i="11"/>
  <c r="X88" i="11"/>
  <c r="AJ87" i="11"/>
  <c r="AH87" i="11"/>
  <c r="AI87" i="11" s="1"/>
  <c r="AG87" i="11"/>
  <c r="AF87" i="11"/>
  <c r="AE87" i="11"/>
  <c r="AD87" i="11"/>
  <c r="AC87" i="11"/>
  <c r="AB87" i="11"/>
  <c r="AA87" i="11"/>
  <c r="Z87" i="11"/>
  <c r="Y87" i="11"/>
  <c r="X87" i="11"/>
  <c r="AJ86" i="11"/>
  <c r="AI86" i="11"/>
  <c r="AH86" i="11"/>
  <c r="AG86" i="11"/>
  <c r="AF86" i="11"/>
  <c r="AE86" i="11"/>
  <c r="AC86" i="11"/>
  <c r="AD86" i="11" s="1"/>
  <c r="AB86" i="11"/>
  <c r="AA86" i="11"/>
  <c r="Z86" i="11"/>
  <c r="Y86" i="11"/>
  <c r="X86" i="11"/>
  <c r="AJ85" i="11"/>
  <c r="AH85" i="11"/>
  <c r="AI85" i="11" s="1"/>
  <c r="AG85" i="11"/>
  <c r="AF85" i="11"/>
  <c r="AE85" i="11"/>
  <c r="AD85" i="11"/>
  <c r="AC85" i="11"/>
  <c r="AB85" i="11"/>
  <c r="AA85" i="11"/>
  <c r="Z85" i="11"/>
  <c r="Y85" i="11"/>
  <c r="X85" i="11"/>
  <c r="AJ84" i="11"/>
  <c r="AH84" i="11"/>
  <c r="AG84" i="11"/>
  <c r="AI84" i="11" s="1"/>
  <c r="AF84" i="11"/>
  <c r="AE84" i="11"/>
  <c r="AC84" i="11"/>
  <c r="AD84" i="11" s="1"/>
  <c r="AB84" i="11"/>
  <c r="AA84" i="11"/>
  <c r="Z84" i="11"/>
  <c r="Y84" i="11"/>
  <c r="X84" i="11"/>
  <c r="AJ83" i="11"/>
  <c r="AH83" i="11"/>
  <c r="AI83" i="11" s="1"/>
  <c r="AG83" i="11"/>
  <c r="AF83" i="11"/>
  <c r="AE83" i="11"/>
  <c r="AC83" i="11"/>
  <c r="AB83" i="11"/>
  <c r="AD83" i="11" s="1"/>
  <c r="AA83" i="11"/>
  <c r="Z83" i="11"/>
  <c r="Y83" i="11"/>
  <c r="X83" i="11"/>
  <c r="AJ82" i="11"/>
  <c r="AH82" i="11"/>
  <c r="AG82" i="11"/>
  <c r="AI82" i="11" s="1"/>
  <c r="AF82" i="11"/>
  <c r="AE82" i="11"/>
  <c r="AC82" i="11"/>
  <c r="AD82" i="11" s="1"/>
  <c r="AB82" i="11"/>
  <c r="AA82" i="11"/>
  <c r="Z82" i="11"/>
  <c r="Y82" i="11"/>
  <c r="X82" i="11"/>
  <c r="AJ81" i="11"/>
  <c r="AH81" i="11"/>
  <c r="AI81" i="11" s="1"/>
  <c r="AG81" i="11"/>
  <c r="AF81" i="11"/>
  <c r="AE81" i="11"/>
  <c r="AC81" i="11"/>
  <c r="AB81" i="11"/>
  <c r="AD81" i="11" s="1"/>
  <c r="AA81" i="11"/>
  <c r="Z81" i="11"/>
  <c r="Y81" i="11"/>
  <c r="X81" i="11"/>
  <c r="AJ80" i="11"/>
  <c r="AH80" i="11"/>
  <c r="AG80" i="11"/>
  <c r="AI80" i="11" s="1"/>
  <c r="AF80" i="11"/>
  <c r="AE80" i="11"/>
  <c r="AC80" i="11"/>
  <c r="AD80" i="11" s="1"/>
  <c r="AB80" i="11"/>
  <c r="AA80" i="11"/>
  <c r="Z80" i="11"/>
  <c r="Y80" i="11"/>
  <c r="X80" i="11"/>
  <c r="AJ79" i="11"/>
  <c r="AH79" i="11"/>
  <c r="AI79" i="11" s="1"/>
  <c r="AG79" i="11"/>
  <c r="AF79" i="11"/>
  <c r="AE79" i="11"/>
  <c r="AD79" i="11"/>
  <c r="AC79" i="11"/>
  <c r="AB79" i="11"/>
  <c r="AA79" i="11"/>
  <c r="Z79" i="11"/>
  <c r="Y79" i="11"/>
  <c r="X79" i="11"/>
  <c r="AJ78" i="11"/>
  <c r="AI78" i="11"/>
  <c r="AH78" i="11"/>
  <c r="AG78" i="11"/>
  <c r="AF78" i="11"/>
  <c r="AE78" i="11"/>
  <c r="AC78" i="11"/>
  <c r="AD78" i="11" s="1"/>
  <c r="AB78" i="11"/>
  <c r="AA78" i="11"/>
  <c r="Z78" i="11"/>
  <c r="Y78" i="11"/>
  <c r="X78" i="11"/>
  <c r="AJ77" i="11"/>
  <c r="AH77" i="11"/>
  <c r="AI77" i="11" s="1"/>
  <c r="AG77" i="11"/>
  <c r="AF77" i="11"/>
  <c r="AE77" i="11"/>
  <c r="AC77" i="11"/>
  <c r="AB77" i="11"/>
  <c r="AD77" i="11" s="1"/>
  <c r="AA77" i="11"/>
  <c r="Z77" i="11"/>
  <c r="Y77" i="11"/>
  <c r="X77" i="11"/>
  <c r="AJ76" i="11"/>
  <c r="AH76" i="11"/>
  <c r="AG76" i="11"/>
  <c r="AI76" i="11" s="1"/>
  <c r="AF76" i="11"/>
  <c r="AE76" i="11"/>
  <c r="AC76" i="11"/>
  <c r="AD76" i="11" s="1"/>
  <c r="AB76" i="11"/>
  <c r="AA76" i="11"/>
  <c r="Z76" i="11"/>
  <c r="Y76" i="11"/>
  <c r="X76" i="11"/>
  <c r="AJ75" i="11"/>
  <c r="AH75" i="11"/>
  <c r="AI75" i="11" s="1"/>
  <c r="AG75" i="11"/>
  <c r="AF75" i="11"/>
  <c r="AE75" i="11"/>
  <c r="AC75" i="11"/>
  <c r="AB75" i="11"/>
  <c r="AD75" i="11" s="1"/>
  <c r="AA75" i="11"/>
  <c r="Z75" i="11"/>
  <c r="Y75" i="11"/>
  <c r="X75" i="11"/>
  <c r="AJ74" i="11"/>
  <c r="AH74" i="11"/>
  <c r="AG74" i="11"/>
  <c r="AI74" i="11" s="1"/>
  <c r="AF74" i="11"/>
  <c r="AE74" i="11"/>
  <c r="AC74" i="11"/>
  <c r="AD74" i="11" s="1"/>
  <c r="AB74" i="11"/>
  <c r="AA74" i="11"/>
  <c r="Z74" i="11"/>
  <c r="Y74" i="11"/>
  <c r="X74" i="11"/>
  <c r="AJ73" i="11"/>
  <c r="AH73" i="11"/>
  <c r="AI73" i="11" s="1"/>
  <c r="AG73" i="11"/>
  <c r="AF73" i="11"/>
  <c r="AE73" i="11"/>
  <c r="AC73" i="11"/>
  <c r="AB73" i="11"/>
  <c r="AD73" i="11" s="1"/>
  <c r="AA73" i="11"/>
  <c r="Z73" i="11"/>
  <c r="Y73" i="11"/>
  <c r="X73" i="11"/>
  <c r="AJ72" i="11"/>
  <c r="AH72" i="11"/>
  <c r="AG72" i="11"/>
  <c r="AI72" i="11" s="1"/>
  <c r="AF72" i="11"/>
  <c r="AE72" i="11"/>
  <c r="AC72" i="11"/>
  <c r="AD72" i="11" s="1"/>
  <c r="AB72" i="11"/>
  <c r="AA72" i="11"/>
  <c r="Z72" i="11"/>
  <c r="Y72" i="11"/>
  <c r="X72" i="11"/>
  <c r="AJ71" i="11"/>
  <c r="AH71" i="11"/>
  <c r="AI71" i="11" s="1"/>
  <c r="AG71" i="11"/>
  <c r="AF71" i="11"/>
  <c r="AE71" i="11"/>
  <c r="AD71" i="11"/>
  <c r="AC71" i="11"/>
  <c r="AB71" i="11"/>
  <c r="AA71" i="11"/>
  <c r="Z71" i="11"/>
  <c r="Y71" i="11"/>
  <c r="X71" i="11"/>
  <c r="AJ70" i="11"/>
  <c r="AI70" i="11"/>
  <c r="AH70" i="11"/>
  <c r="AG70" i="11"/>
  <c r="AF70" i="11"/>
  <c r="AE70" i="11"/>
  <c r="AC70" i="11"/>
  <c r="AD70" i="11" s="1"/>
  <c r="AB70" i="11"/>
  <c r="AA70" i="11"/>
  <c r="Z70" i="11"/>
  <c r="Y70" i="11"/>
  <c r="X70" i="11"/>
  <c r="AJ69" i="11"/>
  <c r="AH69" i="11"/>
  <c r="AI69" i="11" s="1"/>
  <c r="AG69" i="11"/>
  <c r="AF69" i="11"/>
  <c r="AE69" i="11"/>
  <c r="AC69" i="11"/>
  <c r="AB69" i="11"/>
  <c r="AD69" i="11" s="1"/>
  <c r="AA69" i="11"/>
  <c r="Z69" i="11"/>
  <c r="Y69" i="11"/>
  <c r="X69" i="11"/>
  <c r="AJ68" i="11"/>
  <c r="AH68" i="11"/>
  <c r="AG68" i="11"/>
  <c r="AI68" i="11" s="1"/>
  <c r="AF68" i="11"/>
  <c r="AE68" i="11"/>
  <c r="AC68" i="11"/>
  <c r="AD68" i="11" s="1"/>
  <c r="AB68" i="11"/>
  <c r="AA68" i="11"/>
  <c r="Z68" i="11"/>
  <c r="Y68" i="11"/>
  <c r="X68" i="11"/>
  <c r="AJ67" i="11"/>
  <c r="AH67" i="11"/>
  <c r="AI67" i="11" s="1"/>
  <c r="AG67" i="11"/>
  <c r="AF67" i="11"/>
  <c r="AE67" i="11"/>
  <c r="AC67" i="11"/>
  <c r="AB67" i="11"/>
  <c r="AD67" i="11" s="1"/>
  <c r="AA67" i="11"/>
  <c r="Z67" i="11"/>
  <c r="Y67" i="11"/>
  <c r="X67" i="11"/>
  <c r="AJ66" i="11"/>
  <c r="AH66" i="11"/>
  <c r="AG66" i="11"/>
  <c r="AI66" i="11" s="1"/>
  <c r="AF66" i="11"/>
  <c r="AE66" i="11"/>
  <c r="AC66" i="11"/>
  <c r="AD66" i="11" s="1"/>
  <c r="AB66" i="11"/>
  <c r="AA66" i="11"/>
  <c r="Z66" i="11"/>
  <c r="Y66" i="11"/>
  <c r="X66" i="11"/>
  <c r="AJ65" i="11"/>
  <c r="AH65" i="11"/>
  <c r="AI65" i="11" s="1"/>
  <c r="AG65" i="11"/>
  <c r="AF65" i="11"/>
  <c r="AE65" i="11"/>
  <c r="AC65" i="11"/>
  <c r="AB65" i="11"/>
  <c r="AD65" i="11" s="1"/>
  <c r="AA65" i="11"/>
  <c r="Z65" i="11"/>
  <c r="Y65" i="11"/>
  <c r="X65" i="11"/>
  <c r="AJ64" i="11"/>
  <c r="AH64" i="11"/>
  <c r="AG64" i="11"/>
  <c r="AI64" i="11" s="1"/>
  <c r="AF64" i="11"/>
  <c r="AE64" i="11"/>
  <c r="AC64" i="11"/>
  <c r="AD64" i="11" s="1"/>
  <c r="AB64" i="11"/>
  <c r="AA64" i="11"/>
  <c r="Z64" i="11"/>
  <c r="Y64" i="11"/>
  <c r="X64" i="11"/>
  <c r="AJ63" i="11"/>
  <c r="AH63" i="11"/>
  <c r="AI63" i="11" s="1"/>
  <c r="AG63" i="11"/>
  <c r="AF63" i="11"/>
  <c r="AE63" i="11"/>
  <c r="AD63" i="11"/>
  <c r="AC63" i="11"/>
  <c r="AB63" i="11"/>
  <c r="AA63" i="11"/>
  <c r="Z63" i="11"/>
  <c r="Y63" i="11"/>
  <c r="X63" i="11"/>
  <c r="AJ62" i="11"/>
  <c r="AI62" i="11"/>
  <c r="AH62" i="11"/>
  <c r="AG62" i="11"/>
  <c r="AF62" i="11"/>
  <c r="AE62" i="11"/>
  <c r="AC62" i="11"/>
  <c r="AD62" i="11" s="1"/>
  <c r="AB62" i="11"/>
  <c r="AA62" i="11"/>
  <c r="Z62" i="11"/>
  <c r="Y62" i="11"/>
  <c r="X62" i="11"/>
  <c r="AJ61" i="11"/>
  <c r="AH61" i="11"/>
  <c r="AI61" i="11" s="1"/>
  <c r="AG61" i="11"/>
  <c r="AF61" i="11"/>
  <c r="AE61" i="11"/>
  <c r="AD61" i="11"/>
  <c r="AC61" i="11"/>
  <c r="AB61" i="11"/>
  <c r="AA61" i="11"/>
  <c r="Z61" i="11"/>
  <c r="Y61" i="11"/>
  <c r="X61" i="11"/>
  <c r="AJ60" i="11"/>
  <c r="AH60" i="11"/>
  <c r="AG60" i="11"/>
  <c r="AI60" i="11" s="1"/>
  <c r="AF60" i="11"/>
  <c r="AE60" i="11"/>
  <c r="AC60" i="11"/>
  <c r="AD60" i="11" s="1"/>
  <c r="AB60" i="11"/>
  <c r="AA60" i="11"/>
  <c r="Z60" i="11"/>
  <c r="Y60" i="11"/>
  <c r="X60" i="11"/>
  <c r="AJ59" i="11"/>
  <c r="AH59" i="11"/>
  <c r="AI59" i="11" s="1"/>
  <c r="AG59" i="11"/>
  <c r="AF59" i="11"/>
  <c r="AE59" i="11"/>
  <c r="AC59" i="11"/>
  <c r="AB59" i="11"/>
  <c r="AD59" i="11" s="1"/>
  <c r="AA59" i="11"/>
  <c r="Z59" i="11"/>
  <c r="Y59" i="11"/>
  <c r="X59" i="11"/>
  <c r="AJ58" i="11"/>
  <c r="AH58" i="11"/>
  <c r="AG58" i="11"/>
  <c r="AI58" i="11" s="1"/>
  <c r="AF58" i="11"/>
  <c r="AE58" i="11"/>
  <c r="AC58" i="11"/>
  <c r="AD58" i="11" s="1"/>
  <c r="AB58" i="11"/>
  <c r="AA58" i="11"/>
  <c r="Z58" i="11"/>
  <c r="Y58" i="11"/>
  <c r="X58" i="11"/>
  <c r="AJ57" i="11"/>
  <c r="AH57" i="11"/>
  <c r="AI57" i="11" s="1"/>
  <c r="AG57" i="11"/>
  <c r="AF57" i="11"/>
  <c r="AE57" i="11"/>
  <c r="AC57" i="11"/>
  <c r="AB57" i="11"/>
  <c r="AD57" i="11" s="1"/>
  <c r="AA57" i="11"/>
  <c r="Z57" i="11"/>
  <c r="Y57" i="11"/>
  <c r="X57" i="11"/>
  <c r="AJ56" i="11"/>
  <c r="AH56" i="11"/>
  <c r="AG56" i="11"/>
  <c r="AI56" i="11" s="1"/>
  <c r="AF56" i="11"/>
  <c r="AE56" i="11"/>
  <c r="AC56" i="11"/>
  <c r="AD56" i="11" s="1"/>
  <c r="AB56" i="11"/>
  <c r="AA56" i="11"/>
  <c r="Z56" i="11"/>
  <c r="Y56" i="11"/>
  <c r="X56" i="11"/>
  <c r="AJ55" i="11"/>
  <c r="AH55" i="11"/>
  <c r="AI55" i="11" s="1"/>
  <c r="AG55" i="11"/>
  <c r="AF55" i="11"/>
  <c r="AE55" i="11"/>
  <c r="AD55" i="11"/>
  <c r="AC55" i="11"/>
  <c r="AB55" i="11"/>
  <c r="AA55" i="11"/>
  <c r="Z55" i="11"/>
  <c r="Y55" i="11"/>
  <c r="X55" i="11"/>
  <c r="AJ54" i="11"/>
  <c r="AI54" i="11"/>
  <c r="AH54" i="11"/>
  <c r="AG54" i="11"/>
  <c r="AF54" i="11"/>
  <c r="AE54" i="11"/>
  <c r="AC54" i="11"/>
  <c r="AD54" i="11" s="1"/>
  <c r="AB54" i="11"/>
  <c r="AA54" i="11"/>
  <c r="Z54" i="11"/>
  <c r="Y54" i="11"/>
  <c r="X54" i="11"/>
  <c r="AJ53" i="11"/>
  <c r="AH53" i="11"/>
  <c r="AI53" i="11" s="1"/>
  <c r="AG53" i="11"/>
  <c r="AF53" i="11"/>
  <c r="AE53" i="11"/>
  <c r="AD53" i="11"/>
  <c r="AC53" i="11"/>
  <c r="AB53" i="11"/>
  <c r="AA53" i="11"/>
  <c r="Z53" i="11"/>
  <c r="Y53" i="11"/>
  <c r="X53" i="11"/>
  <c r="AJ52" i="11"/>
  <c r="AH52" i="11"/>
  <c r="AG52" i="11"/>
  <c r="AI52" i="11" s="1"/>
  <c r="AF52" i="11"/>
  <c r="AE52" i="11"/>
  <c r="AC52" i="11"/>
  <c r="AD52" i="11" s="1"/>
  <c r="AB52" i="11"/>
  <c r="AA52" i="11"/>
  <c r="Z52" i="11"/>
  <c r="Y52" i="11"/>
  <c r="X52" i="11"/>
  <c r="AJ51" i="11"/>
  <c r="AH51" i="11"/>
  <c r="AI51" i="11" s="1"/>
  <c r="AG51" i="11"/>
  <c r="AF51" i="11"/>
  <c r="AE51" i="11"/>
  <c r="AC51" i="11"/>
  <c r="AB51" i="11"/>
  <c r="AD51" i="11" s="1"/>
  <c r="AA51" i="11"/>
  <c r="Z51" i="11"/>
  <c r="Y51" i="11"/>
  <c r="X51" i="11"/>
  <c r="AJ50" i="11"/>
  <c r="AH50" i="11"/>
  <c r="AG50" i="11"/>
  <c r="AI50" i="11" s="1"/>
  <c r="AF50" i="11"/>
  <c r="AE50" i="11"/>
  <c r="AC50" i="11"/>
  <c r="AD50" i="11" s="1"/>
  <c r="AB50" i="11"/>
  <c r="AA50" i="11"/>
  <c r="Z50" i="11"/>
  <c r="Y50" i="11"/>
  <c r="X50" i="11"/>
  <c r="AJ49" i="11"/>
  <c r="AH49" i="11"/>
  <c r="AI49" i="11" s="1"/>
  <c r="AG49" i="11"/>
  <c r="AF49" i="11"/>
  <c r="AE49" i="11"/>
  <c r="AC49" i="11"/>
  <c r="AB49" i="11"/>
  <c r="AD49" i="11" s="1"/>
  <c r="AA49" i="11"/>
  <c r="Z49" i="11"/>
  <c r="Y49" i="11"/>
  <c r="X49" i="11"/>
  <c r="AJ48" i="11"/>
  <c r="AH48" i="11"/>
  <c r="AG48" i="11"/>
  <c r="AI48" i="11" s="1"/>
  <c r="AF48" i="11"/>
  <c r="AE48" i="11"/>
  <c r="AC48" i="11"/>
  <c r="AD48" i="11" s="1"/>
  <c r="AB48" i="11"/>
  <c r="AA48" i="11"/>
  <c r="Z48" i="11"/>
  <c r="Y48" i="11"/>
  <c r="X48" i="11"/>
  <c r="AJ47" i="11"/>
  <c r="AH47" i="11"/>
  <c r="AI47" i="11" s="1"/>
  <c r="AG47" i="11"/>
  <c r="AF47" i="11"/>
  <c r="AE47" i="11"/>
  <c r="AD47" i="11"/>
  <c r="AC47" i="11"/>
  <c r="AB47" i="11"/>
  <c r="AA47" i="11"/>
  <c r="Z47" i="11"/>
  <c r="Y47" i="11"/>
  <c r="X47" i="11"/>
  <c r="AJ46" i="11"/>
  <c r="AI46" i="11"/>
  <c r="AH46" i="11"/>
  <c r="AG46" i="11"/>
  <c r="AF46" i="11"/>
  <c r="AE46" i="11"/>
  <c r="AC46" i="11"/>
  <c r="AD46" i="11" s="1"/>
  <c r="AB46" i="11"/>
  <c r="AA46" i="11"/>
  <c r="Z46" i="11"/>
  <c r="Y46" i="11"/>
  <c r="X46" i="11"/>
  <c r="AJ45" i="11"/>
  <c r="AH45" i="11"/>
  <c r="AI45" i="11" s="1"/>
  <c r="AG45" i="11"/>
  <c r="AF45" i="11"/>
  <c r="AE45" i="11"/>
  <c r="AC45" i="11"/>
  <c r="AB45" i="11"/>
  <c r="AD45" i="11" s="1"/>
  <c r="AA45" i="11"/>
  <c r="Z45" i="11"/>
  <c r="Y45" i="11"/>
  <c r="X45" i="11"/>
  <c r="AJ44" i="11"/>
  <c r="AH44" i="11"/>
  <c r="AG44" i="11"/>
  <c r="AI44" i="11" s="1"/>
  <c r="AF44" i="11"/>
  <c r="AE44" i="11"/>
  <c r="AC44" i="11"/>
  <c r="AD44" i="11" s="1"/>
  <c r="AB44" i="11"/>
  <c r="AA44" i="11"/>
  <c r="Z44" i="11"/>
  <c r="Y44" i="11"/>
  <c r="X44" i="11"/>
  <c r="AJ43" i="11"/>
  <c r="AH43" i="11"/>
  <c r="AI43" i="11" s="1"/>
  <c r="AG43" i="11"/>
  <c r="AF43" i="11"/>
  <c r="AE43" i="11"/>
  <c r="AC43" i="11"/>
  <c r="AB43" i="11"/>
  <c r="AD43" i="11" s="1"/>
  <c r="AA43" i="11"/>
  <c r="Z43" i="11"/>
  <c r="Y43" i="11"/>
  <c r="X43" i="11"/>
  <c r="AJ42" i="11"/>
  <c r="AH42" i="11"/>
  <c r="AG42" i="11"/>
  <c r="AI42" i="11" s="1"/>
  <c r="AF42" i="11"/>
  <c r="AE42" i="11"/>
  <c r="AC42" i="11"/>
  <c r="AD42" i="11" s="1"/>
  <c r="AB42" i="11"/>
  <c r="AA42" i="11"/>
  <c r="Z42" i="11"/>
  <c r="Y42" i="11"/>
  <c r="X42" i="11"/>
  <c r="AJ41" i="11"/>
  <c r="AH41" i="11"/>
  <c r="AI41" i="11" s="1"/>
  <c r="AG41" i="11"/>
  <c r="AF41" i="11"/>
  <c r="AE41" i="11"/>
  <c r="AD41" i="11"/>
  <c r="AC41" i="11"/>
  <c r="AB41" i="11"/>
  <c r="AA41" i="11"/>
  <c r="Z41" i="11"/>
  <c r="Y41" i="11"/>
  <c r="X41" i="11"/>
  <c r="AJ40" i="11"/>
  <c r="AH40" i="11"/>
  <c r="AG40" i="11"/>
  <c r="AI40" i="11" s="1"/>
  <c r="AF40" i="11"/>
  <c r="AE40" i="11"/>
  <c r="AC40" i="11"/>
  <c r="AD40" i="11" s="1"/>
  <c r="AB40" i="11"/>
  <c r="AA40" i="11"/>
  <c r="Z40" i="11"/>
  <c r="Y40" i="11"/>
  <c r="X40" i="11"/>
  <c r="AJ39" i="11"/>
  <c r="AH39" i="11"/>
  <c r="AI39" i="11" s="1"/>
  <c r="AG39" i="11"/>
  <c r="AF39" i="11"/>
  <c r="AE39" i="11"/>
  <c r="AD39" i="11"/>
  <c r="AC39" i="11"/>
  <c r="AB39" i="11"/>
  <c r="AA39" i="11"/>
  <c r="Z39" i="11"/>
  <c r="Y39" i="11"/>
  <c r="X39" i="11"/>
  <c r="AJ38" i="11"/>
  <c r="AI38" i="11"/>
  <c r="AH38" i="11"/>
  <c r="AG38" i="11"/>
  <c r="AF38" i="11"/>
  <c r="AE38" i="11"/>
  <c r="AC38" i="11"/>
  <c r="AD38" i="11" s="1"/>
  <c r="AB38" i="11"/>
  <c r="AA38" i="11"/>
  <c r="Z38" i="11"/>
  <c r="Y38" i="11"/>
  <c r="X38" i="11"/>
  <c r="AJ37" i="11"/>
  <c r="AH37" i="11"/>
  <c r="AI37" i="11" s="1"/>
  <c r="AG37" i="11"/>
  <c r="AF37" i="11"/>
  <c r="AE37" i="11"/>
  <c r="AC37" i="11"/>
  <c r="AB37" i="11"/>
  <c r="AD37" i="11" s="1"/>
  <c r="AA37" i="11"/>
  <c r="Z37" i="11"/>
  <c r="Y37" i="11"/>
  <c r="X37" i="11"/>
  <c r="AJ36" i="11"/>
  <c r="AH36" i="11"/>
  <c r="AI36" i="11" s="1"/>
  <c r="AG36" i="11"/>
  <c r="AF36" i="11"/>
  <c r="AE36" i="11"/>
  <c r="AC36" i="11"/>
  <c r="AD36" i="11" s="1"/>
  <c r="AB36" i="11"/>
  <c r="AA36" i="11"/>
  <c r="Z36" i="11"/>
  <c r="Y36" i="11"/>
  <c r="X36" i="11"/>
  <c r="AJ35" i="11"/>
  <c r="AH35" i="11"/>
  <c r="AI35" i="11" s="1"/>
  <c r="AG35" i="11"/>
  <c r="AF35" i="11"/>
  <c r="AE35" i="11"/>
  <c r="AD35" i="11"/>
  <c r="AC35" i="11"/>
  <c r="AB35" i="11"/>
  <c r="AA35" i="11"/>
  <c r="Z35" i="11"/>
  <c r="Y35" i="11"/>
  <c r="X35" i="11"/>
  <c r="AJ34" i="11"/>
  <c r="AH34" i="11"/>
  <c r="AG34" i="11"/>
  <c r="AI34" i="11" s="1"/>
  <c r="AF34" i="11"/>
  <c r="AE34" i="11"/>
  <c r="AC34" i="11"/>
  <c r="AD34" i="11" s="1"/>
  <c r="AB34" i="11"/>
  <c r="AA34" i="11"/>
  <c r="Z34" i="11"/>
  <c r="Y34" i="11"/>
  <c r="X34" i="11"/>
  <c r="AJ33" i="11"/>
  <c r="AH33" i="11"/>
  <c r="AI33" i="11" s="1"/>
  <c r="AG33" i="11"/>
  <c r="AF33" i="11"/>
  <c r="AE33" i="11"/>
  <c r="AC33" i="11"/>
  <c r="AB33" i="11"/>
  <c r="AD33" i="11" s="1"/>
  <c r="AA33" i="11"/>
  <c r="Z33" i="11"/>
  <c r="Y33" i="11"/>
  <c r="X33" i="11"/>
  <c r="AJ32" i="11"/>
  <c r="AH32" i="11"/>
  <c r="AG32" i="11"/>
  <c r="AI32" i="11" s="1"/>
  <c r="AF32" i="11"/>
  <c r="AE32" i="11"/>
  <c r="AC32" i="11"/>
  <c r="AD32" i="11" s="1"/>
  <c r="AB32" i="11"/>
  <c r="AA32" i="11"/>
  <c r="Z32" i="11"/>
  <c r="Y32" i="11"/>
  <c r="X32" i="11"/>
  <c r="AJ31" i="11"/>
  <c r="AH31" i="11"/>
  <c r="AI31" i="11" s="1"/>
  <c r="AG31" i="11"/>
  <c r="AF31" i="11"/>
  <c r="AE31" i="11"/>
  <c r="AD31" i="11"/>
  <c r="AC31" i="11"/>
  <c r="AB31" i="11"/>
  <c r="AA31" i="11"/>
  <c r="Z31" i="11"/>
  <c r="Y31" i="11"/>
  <c r="X31" i="11"/>
  <c r="AJ30" i="11"/>
  <c r="AI30" i="11"/>
  <c r="AH30" i="11"/>
  <c r="AG30" i="11"/>
  <c r="AF30" i="11"/>
  <c r="AE30" i="11"/>
  <c r="AC30" i="11"/>
  <c r="AD30" i="11" s="1"/>
  <c r="AB30" i="11"/>
  <c r="AA30" i="11"/>
  <c r="Z30" i="11"/>
  <c r="Y30" i="11"/>
  <c r="X30" i="11"/>
  <c r="AJ29" i="11"/>
  <c r="AH29" i="11"/>
  <c r="AI29" i="11" s="1"/>
  <c r="AG29" i="11"/>
  <c r="AF29" i="11"/>
  <c r="AE29" i="11"/>
  <c r="AC29" i="11"/>
  <c r="AB29" i="11"/>
  <c r="AD29" i="11" s="1"/>
  <c r="AA29" i="11"/>
  <c r="Z29" i="11"/>
  <c r="Y29" i="11"/>
  <c r="X29" i="11"/>
  <c r="AJ28" i="11"/>
  <c r="AH28" i="11"/>
  <c r="AI28" i="11" s="1"/>
  <c r="AG28" i="11"/>
  <c r="AF28" i="11"/>
  <c r="AE28" i="11"/>
  <c r="AC28" i="11"/>
  <c r="AD28" i="11" s="1"/>
  <c r="AB28" i="11"/>
  <c r="AA28" i="11"/>
  <c r="Z28" i="11"/>
  <c r="Y28" i="11"/>
  <c r="X28" i="11"/>
  <c r="AJ27" i="11"/>
  <c r="AH27" i="11"/>
  <c r="AI27" i="11" s="1"/>
  <c r="AG27" i="11"/>
  <c r="AF27" i="11"/>
  <c r="AE27" i="11"/>
  <c r="AC27" i="11"/>
  <c r="AB27" i="11"/>
  <c r="AD27" i="11" s="1"/>
  <c r="AA27" i="11"/>
  <c r="Z27" i="11"/>
  <c r="Y27" i="11"/>
  <c r="X27" i="11"/>
  <c r="AJ26" i="11"/>
  <c r="AH26" i="11"/>
  <c r="AG26" i="11"/>
  <c r="AI26" i="11" s="1"/>
  <c r="AF26" i="11"/>
  <c r="AE26" i="11"/>
  <c r="AC26" i="11"/>
  <c r="AD26" i="11" s="1"/>
  <c r="AB26" i="11"/>
  <c r="AA26" i="11"/>
  <c r="Z26" i="11"/>
  <c r="Y26" i="11"/>
  <c r="X26" i="11"/>
  <c r="AJ25" i="11"/>
  <c r="AH25" i="11"/>
  <c r="AI25" i="11" s="1"/>
  <c r="AG25" i="11"/>
  <c r="AF25" i="11"/>
  <c r="AE25" i="11"/>
  <c r="AD25" i="11"/>
  <c r="AC25" i="11"/>
  <c r="AB25" i="11"/>
  <c r="AA25" i="11"/>
  <c r="Z25" i="11"/>
  <c r="Y25" i="11"/>
  <c r="X25" i="11"/>
  <c r="AJ24" i="11"/>
  <c r="AI24" i="11"/>
  <c r="AH24" i="11"/>
  <c r="AG24" i="11"/>
  <c r="AF24" i="11"/>
  <c r="AE24" i="11"/>
  <c r="AC24" i="11"/>
  <c r="AD24" i="11" s="1"/>
  <c r="AB24" i="11"/>
  <c r="AA24" i="11"/>
  <c r="Z24" i="11"/>
  <c r="Y24" i="11"/>
  <c r="X24" i="11"/>
  <c r="AJ23" i="11"/>
  <c r="AH23" i="11"/>
  <c r="AI23" i="11" s="1"/>
  <c r="AG23" i="11"/>
  <c r="AF23" i="11"/>
  <c r="AE23" i="11"/>
  <c r="AD23" i="11"/>
  <c r="AC23" i="11"/>
  <c r="AB23" i="11"/>
  <c r="AA23" i="11"/>
  <c r="Z23" i="11"/>
  <c r="Y23" i="11"/>
  <c r="X23" i="11"/>
  <c r="AJ22" i="11"/>
  <c r="AI22" i="11"/>
  <c r="AH22" i="11"/>
  <c r="AG22" i="11"/>
  <c r="AF22" i="11"/>
  <c r="AE22" i="11"/>
  <c r="AC22" i="11"/>
  <c r="AD22" i="11" s="1"/>
  <c r="AB22" i="11"/>
  <c r="AA22" i="11"/>
  <c r="Z22" i="11"/>
  <c r="Y22" i="11"/>
  <c r="X22" i="11"/>
  <c r="AJ21" i="11"/>
  <c r="AH21" i="11"/>
  <c r="AI21" i="11" s="1"/>
  <c r="AG21" i="11"/>
  <c r="AF21" i="11"/>
  <c r="AE21" i="11"/>
  <c r="AC21" i="11"/>
  <c r="AB21" i="11"/>
  <c r="AD21" i="11" s="1"/>
  <c r="AA21" i="11"/>
  <c r="Z21" i="11"/>
  <c r="Y21" i="11"/>
  <c r="X21" i="11"/>
  <c r="AJ20" i="11"/>
  <c r="AH20" i="11"/>
  <c r="AG20" i="11"/>
  <c r="AI20" i="11" s="1"/>
  <c r="AF20" i="11"/>
  <c r="AE20" i="11"/>
  <c r="AC20" i="11"/>
  <c r="AD20" i="11" s="1"/>
  <c r="AB20" i="11"/>
  <c r="AA20" i="11"/>
  <c r="Z20" i="11"/>
  <c r="Y20" i="11"/>
  <c r="X20" i="11"/>
  <c r="AJ19" i="11"/>
  <c r="AH19" i="11"/>
  <c r="AI19" i="11" s="1"/>
  <c r="AG19" i="11"/>
  <c r="AF19" i="11"/>
  <c r="AE19" i="11"/>
  <c r="AC19" i="11"/>
  <c r="AB19" i="11"/>
  <c r="AD19" i="11" s="1"/>
  <c r="AA19" i="11"/>
  <c r="Z19" i="11"/>
  <c r="Y19" i="11"/>
  <c r="X19" i="11"/>
  <c r="AJ18" i="11"/>
  <c r="AH18" i="11"/>
  <c r="AG18" i="11"/>
  <c r="AI18" i="11" s="1"/>
  <c r="AF18" i="11"/>
  <c r="AE18" i="11"/>
  <c r="AC18" i="11"/>
  <c r="AD18" i="11" s="1"/>
  <c r="AB18" i="11"/>
  <c r="AA18" i="11"/>
  <c r="Z18" i="11"/>
  <c r="Y18" i="11"/>
  <c r="X18" i="11"/>
  <c r="AJ17" i="11"/>
  <c r="AH17" i="11"/>
  <c r="AI17" i="11" s="1"/>
  <c r="AG17" i="11"/>
  <c r="AF17" i="11"/>
  <c r="AE17" i="11"/>
  <c r="AC17" i="11"/>
  <c r="AB17" i="11"/>
  <c r="AD17" i="11" s="1"/>
  <c r="AA17" i="11"/>
  <c r="Z17" i="11"/>
  <c r="Y17" i="11"/>
  <c r="X17" i="11"/>
  <c r="AJ16" i="11"/>
  <c r="AH16" i="11"/>
  <c r="AG16" i="11"/>
  <c r="AI16" i="11" s="1"/>
  <c r="AF16" i="11"/>
  <c r="AE16" i="11"/>
  <c r="AC16" i="11"/>
  <c r="AD16" i="11" s="1"/>
  <c r="AB16" i="11"/>
  <c r="AA16" i="11"/>
  <c r="Z16" i="11"/>
  <c r="Y16" i="11"/>
  <c r="X16" i="11"/>
  <c r="AJ15" i="11"/>
  <c r="AH15" i="11"/>
  <c r="AI15" i="11" s="1"/>
  <c r="AG15" i="11"/>
  <c r="AF15" i="11"/>
  <c r="AE15" i="11"/>
  <c r="AD15" i="11"/>
  <c r="AC15" i="11"/>
  <c r="AB15" i="11"/>
  <c r="AA15" i="11"/>
  <c r="Z15" i="11"/>
  <c r="Y15" i="11"/>
  <c r="X15" i="11"/>
  <c r="AJ14" i="11"/>
  <c r="AI14" i="11"/>
  <c r="AH14" i="11"/>
  <c r="AG14" i="11"/>
  <c r="AF14" i="11"/>
  <c r="AE14" i="11"/>
  <c r="AC14" i="11"/>
  <c r="AD14" i="11" s="1"/>
  <c r="AB14" i="11"/>
  <c r="AA14" i="11"/>
  <c r="Z14" i="11"/>
  <c r="Y14" i="11"/>
  <c r="X14" i="11"/>
  <c r="AJ13" i="11"/>
  <c r="AH13" i="11"/>
  <c r="AI13" i="11" s="1"/>
  <c r="AG13" i="11"/>
  <c r="AF13" i="11"/>
  <c r="AE13" i="11"/>
  <c r="AC13" i="11"/>
  <c r="AB13" i="11"/>
  <c r="AD13" i="11" s="1"/>
  <c r="AA13" i="11"/>
  <c r="Z13" i="11"/>
  <c r="Y13" i="11"/>
  <c r="X13" i="11"/>
  <c r="AJ12" i="11"/>
  <c r="AH12" i="11"/>
  <c r="AG12" i="11"/>
  <c r="AI12" i="11" s="1"/>
  <c r="AF12" i="11"/>
  <c r="AE12" i="11"/>
  <c r="AC12" i="11"/>
  <c r="AD12" i="11" s="1"/>
  <c r="AB12" i="11"/>
  <c r="AA12" i="11"/>
  <c r="Z12" i="11"/>
  <c r="Y12" i="11"/>
  <c r="X12" i="11"/>
  <c r="AJ11" i="11"/>
  <c r="AH11" i="11"/>
  <c r="AI11" i="11" s="1"/>
  <c r="AG11" i="11"/>
  <c r="AF11" i="11"/>
  <c r="AE11" i="11"/>
  <c r="AC11" i="11"/>
  <c r="AB11" i="11"/>
  <c r="AD11" i="11" s="1"/>
  <c r="AA11" i="11"/>
  <c r="Z11" i="11"/>
  <c r="Y11" i="11"/>
  <c r="X11" i="11"/>
  <c r="AJ10" i="11"/>
  <c r="AH10" i="11"/>
  <c r="AG10" i="11"/>
  <c r="AI10" i="11" s="1"/>
  <c r="AF10" i="11"/>
  <c r="AE10" i="11"/>
  <c r="AC10" i="11"/>
  <c r="AD10" i="11" s="1"/>
  <c r="AB10" i="11"/>
  <c r="AA10" i="11"/>
  <c r="Z10" i="11"/>
  <c r="Y10" i="11"/>
  <c r="X10" i="11"/>
  <c r="AJ9" i="11"/>
  <c r="AH9" i="11"/>
  <c r="AI9" i="11" s="1"/>
  <c r="AG9" i="11"/>
  <c r="AF9" i="11"/>
  <c r="AE9" i="11"/>
  <c r="AD9" i="11"/>
  <c r="AC9" i="11"/>
  <c r="AB9" i="11"/>
  <c r="AA9" i="11"/>
  <c r="Z9" i="11"/>
  <c r="Y9" i="11"/>
  <c r="X9" i="11"/>
  <c r="AJ8" i="11"/>
  <c r="AI8" i="11"/>
  <c r="AH8" i="11"/>
  <c r="AG8" i="11"/>
  <c r="AF8" i="11"/>
  <c r="AE8" i="11"/>
  <c r="AC8" i="11"/>
  <c r="AD8" i="11" s="1"/>
  <c r="AB8" i="11"/>
  <c r="AA8" i="11"/>
  <c r="Z8" i="11"/>
  <c r="Y8" i="11"/>
  <c r="X8" i="11"/>
  <c r="AJ7" i="11"/>
  <c r="AH7" i="11"/>
  <c r="AI7" i="11" s="1"/>
  <c r="AG7" i="11"/>
  <c r="AF7" i="11"/>
  <c r="AE7" i="11"/>
  <c r="AD7" i="11"/>
  <c r="AC7" i="11"/>
  <c r="AB7" i="11"/>
  <c r="AA7" i="11"/>
  <c r="Z7" i="11"/>
  <c r="Y7" i="11"/>
  <c r="X7" i="11"/>
  <c r="F41" i="10"/>
  <c r="G41" i="10" s="1"/>
  <c r="I41" i="10" s="1"/>
  <c r="F40" i="10"/>
  <c r="G40" i="10" s="1"/>
  <c r="I40" i="10" s="1"/>
  <c r="F39" i="10"/>
  <c r="G39" i="10" s="1"/>
  <c r="I39" i="10" s="1"/>
  <c r="G38" i="10"/>
  <c r="I38" i="10" s="1"/>
  <c r="F38" i="10"/>
  <c r="F37" i="10"/>
  <c r="G37" i="10" s="1"/>
  <c r="I37" i="10" s="1"/>
  <c r="G36" i="10"/>
  <c r="I36" i="10" s="1"/>
  <c r="F36" i="10"/>
  <c r="F35" i="10"/>
  <c r="G35" i="10" s="1"/>
  <c r="I35" i="10" s="1"/>
  <c r="G34" i="10"/>
  <c r="I34" i="10" s="1"/>
  <c r="F34" i="10"/>
  <c r="F33" i="10"/>
  <c r="G33" i="10" s="1"/>
  <c r="I33" i="10" s="1"/>
  <c r="G32" i="10"/>
  <c r="I32" i="10" s="1"/>
  <c r="F32" i="10"/>
  <c r="I31" i="10"/>
  <c r="F31" i="10"/>
  <c r="G31" i="10" s="1"/>
  <c r="G30" i="10"/>
  <c r="I30" i="10" s="1"/>
  <c r="F30" i="10"/>
  <c r="F29" i="10"/>
  <c r="G29" i="10" s="1"/>
  <c r="I29" i="10" s="1"/>
  <c r="I19" i="10"/>
  <c r="C18" i="10"/>
  <c r="G17" i="10"/>
  <c r="H16" i="10"/>
  <c r="I16" i="10" s="1"/>
  <c r="G16" i="10"/>
  <c r="G15" i="10"/>
  <c r="H15" i="10" s="1"/>
  <c r="G14" i="10"/>
  <c r="H14" i="10" s="1"/>
  <c r="G13" i="10"/>
  <c r="H13" i="10" s="1"/>
  <c r="I13" i="10" s="1"/>
  <c r="G12" i="10"/>
  <c r="H12" i="10" s="1"/>
  <c r="G11" i="10"/>
  <c r="H11" i="10" s="1"/>
  <c r="G10" i="10"/>
  <c r="H10" i="10" s="1"/>
  <c r="I10" i="10" s="1"/>
  <c r="G9" i="10"/>
  <c r="G8" i="10"/>
  <c r="H8" i="10" s="1"/>
  <c r="I8" i="10" s="1"/>
  <c r="G7" i="10"/>
  <c r="H7" i="10" s="1"/>
  <c r="G6" i="10"/>
  <c r="H6" i="10" s="1"/>
  <c r="A22" i="9"/>
  <c r="L155" i="8"/>
  <c r="J155" i="8"/>
  <c r="I155" i="8"/>
  <c r="L152" i="8"/>
  <c r="M152" i="8" s="1"/>
  <c r="K152" i="8"/>
  <c r="K154" i="8" s="1"/>
  <c r="J152" i="8"/>
  <c r="J156" i="8" s="1"/>
  <c r="I152" i="8"/>
  <c r="H152" i="8"/>
  <c r="H153" i="8" s="1"/>
  <c r="G152" i="8"/>
  <c r="G154" i="8" s="1"/>
  <c r="J151" i="8"/>
  <c r="J150" i="8"/>
  <c r="L150" i="8" s="1"/>
  <c r="I150" i="8"/>
  <c r="J149" i="8"/>
  <c r="J148" i="8"/>
  <c r="L147" i="8"/>
  <c r="K147" i="8"/>
  <c r="K148" i="8" s="1"/>
  <c r="L148" i="8" s="1"/>
  <c r="H147" i="8"/>
  <c r="H148" i="8" s="1"/>
  <c r="G147" i="8"/>
  <c r="K146" i="8"/>
  <c r="J146" i="8"/>
  <c r="L146" i="8" s="1"/>
  <c r="J145" i="8"/>
  <c r="L145" i="8" s="1"/>
  <c r="I145" i="8"/>
  <c r="L144" i="8"/>
  <c r="J144" i="8"/>
  <c r="J143" i="8"/>
  <c r="L142" i="8"/>
  <c r="K142" i="8"/>
  <c r="K144" i="8" s="1"/>
  <c r="J142" i="8"/>
  <c r="I142" i="8"/>
  <c r="H142" i="8"/>
  <c r="H143" i="8" s="1"/>
  <c r="G142" i="8"/>
  <c r="G143" i="8" s="1"/>
  <c r="I143" i="8" s="1"/>
  <c r="K137" i="8"/>
  <c r="K140" i="8" s="1"/>
  <c r="G137" i="8"/>
  <c r="G140" i="8" s="1"/>
  <c r="J136" i="8"/>
  <c r="J135" i="8"/>
  <c r="J134" i="8"/>
  <c r="H134" i="8"/>
  <c r="J133" i="8"/>
  <c r="H133" i="8"/>
  <c r="K132" i="8"/>
  <c r="L132" i="8" s="1"/>
  <c r="H132" i="8"/>
  <c r="H135" i="8" s="1"/>
  <c r="G132" i="8"/>
  <c r="J131" i="8"/>
  <c r="H131" i="8"/>
  <c r="G131" i="8"/>
  <c r="J130" i="8"/>
  <c r="H130" i="8"/>
  <c r="G130" i="8"/>
  <c r="I130" i="8" s="1"/>
  <c r="J129" i="8"/>
  <c r="H129" i="8"/>
  <c r="G129" i="8"/>
  <c r="J128" i="8"/>
  <c r="H128" i="8"/>
  <c r="G128" i="8"/>
  <c r="K127" i="8"/>
  <c r="L127" i="8" s="1"/>
  <c r="H127" i="8"/>
  <c r="G127" i="8"/>
  <c r="I127" i="8" s="1"/>
  <c r="K131" i="8" s="1"/>
  <c r="J126" i="8"/>
  <c r="J125" i="8"/>
  <c r="L125" i="8" s="1"/>
  <c r="G125" i="8"/>
  <c r="J124" i="8"/>
  <c r="G124" i="8"/>
  <c r="J123" i="8"/>
  <c r="G123" i="8"/>
  <c r="N122" i="8"/>
  <c r="M122" i="8"/>
  <c r="L122" i="8"/>
  <c r="K122" i="8"/>
  <c r="K125" i="8" s="1"/>
  <c r="H122" i="8"/>
  <c r="H125" i="8" s="1"/>
  <c r="G122" i="8"/>
  <c r="I122" i="8" s="1"/>
  <c r="H121" i="8"/>
  <c r="H120" i="8"/>
  <c r="H119" i="8"/>
  <c r="H118" i="8"/>
  <c r="L117" i="8"/>
  <c r="K117" i="8"/>
  <c r="K120" i="8" s="1"/>
  <c r="J117" i="8"/>
  <c r="J121" i="8" s="1"/>
  <c r="H117" i="8"/>
  <c r="G117" i="8"/>
  <c r="I117" i="8" s="1"/>
  <c r="K115" i="8"/>
  <c r="K113" i="8"/>
  <c r="K112" i="8"/>
  <c r="K114" i="8" s="1"/>
  <c r="J112" i="8"/>
  <c r="J116" i="8" s="1"/>
  <c r="H112" i="8"/>
  <c r="H115" i="8" s="1"/>
  <c r="G112" i="8"/>
  <c r="H111" i="8"/>
  <c r="G111" i="8"/>
  <c r="I111" i="8" s="1"/>
  <c r="J110" i="8"/>
  <c r="K109" i="8"/>
  <c r="H109" i="8"/>
  <c r="G109" i="8"/>
  <c r="H108" i="8"/>
  <c r="G108" i="8"/>
  <c r="K107" i="8"/>
  <c r="K110" i="8" s="1"/>
  <c r="L110" i="8" s="1"/>
  <c r="J107" i="8"/>
  <c r="J111" i="8" s="1"/>
  <c r="H107" i="8"/>
  <c r="H110" i="8" s="1"/>
  <c r="G107" i="8"/>
  <c r="I107" i="8" s="1"/>
  <c r="J106" i="8"/>
  <c r="J105" i="8"/>
  <c r="H105" i="8"/>
  <c r="J104" i="8"/>
  <c r="H104" i="8"/>
  <c r="J103" i="8"/>
  <c r="H103" i="8"/>
  <c r="K102" i="8"/>
  <c r="K104" i="8" s="1"/>
  <c r="L104" i="8" s="1"/>
  <c r="H102" i="8"/>
  <c r="G102" i="8"/>
  <c r="I102" i="8" s="1"/>
  <c r="K106" i="8" s="1"/>
  <c r="L106" i="8" s="1"/>
  <c r="J100" i="8"/>
  <c r="K97" i="8"/>
  <c r="K99" i="8" s="1"/>
  <c r="J97" i="8"/>
  <c r="H97" i="8"/>
  <c r="H100" i="8" s="1"/>
  <c r="G97" i="8"/>
  <c r="I97" i="8" s="1"/>
  <c r="H101" i="8" s="1"/>
  <c r="J93" i="8"/>
  <c r="K92" i="8"/>
  <c r="K94" i="8" s="1"/>
  <c r="J92" i="8"/>
  <c r="H92" i="8"/>
  <c r="H93" i="8" s="1"/>
  <c r="G92" i="8"/>
  <c r="K88" i="8"/>
  <c r="J88" i="8"/>
  <c r="K87" i="8"/>
  <c r="J87" i="8"/>
  <c r="H87" i="8"/>
  <c r="G87" i="8"/>
  <c r="J83" i="8"/>
  <c r="K82" i="8"/>
  <c r="J82" i="8"/>
  <c r="H82" i="8"/>
  <c r="G82" i="8"/>
  <c r="J78" i="8"/>
  <c r="K77" i="8"/>
  <c r="J77" i="8"/>
  <c r="H77" i="8"/>
  <c r="G77" i="8"/>
  <c r="G75" i="8"/>
  <c r="K72" i="8"/>
  <c r="J72" i="8"/>
  <c r="H72" i="8"/>
  <c r="G72" i="8"/>
  <c r="J71" i="8"/>
  <c r="L70" i="8"/>
  <c r="N70" i="8" s="1"/>
  <c r="K70" i="8"/>
  <c r="J70" i="8"/>
  <c r="H70" i="8"/>
  <c r="G70" i="8"/>
  <c r="I70" i="8" s="1"/>
  <c r="J69" i="8"/>
  <c r="H69" i="8"/>
  <c r="J68" i="8"/>
  <c r="L68" i="8" s="1"/>
  <c r="H68" i="8"/>
  <c r="L67" i="8"/>
  <c r="N67" i="8" s="1"/>
  <c r="K67" i="8"/>
  <c r="K68" i="8" s="1"/>
  <c r="I67" i="8"/>
  <c r="K71" i="8" s="1"/>
  <c r="L71" i="8" s="1"/>
  <c r="H67" i="8"/>
  <c r="G67" i="8"/>
  <c r="G69" i="8" s="1"/>
  <c r="J66" i="8"/>
  <c r="K65" i="8"/>
  <c r="J65" i="8"/>
  <c r="L65" i="8" s="1"/>
  <c r="I65" i="8"/>
  <c r="H65" i="8"/>
  <c r="G65" i="8"/>
  <c r="J64" i="8"/>
  <c r="L64" i="8" s="1"/>
  <c r="G64" i="8"/>
  <c r="L63" i="8"/>
  <c r="K63" i="8"/>
  <c r="J63" i="8"/>
  <c r="G63" i="8"/>
  <c r="K62" i="8"/>
  <c r="K64" i="8" s="1"/>
  <c r="H62" i="8"/>
  <c r="G62" i="8"/>
  <c r="J61" i="8"/>
  <c r="J60" i="8"/>
  <c r="K59" i="8"/>
  <c r="J59" i="8"/>
  <c r="J58" i="8"/>
  <c r="K57" i="8"/>
  <c r="L57" i="8" s="1"/>
  <c r="H57" i="8"/>
  <c r="H58" i="8" s="1"/>
  <c r="G57" i="8"/>
  <c r="G58" i="8" s="1"/>
  <c r="J56" i="8"/>
  <c r="J54" i="8"/>
  <c r="J53" i="8"/>
  <c r="K52" i="8"/>
  <c r="K55" i="8" s="1"/>
  <c r="J52" i="8"/>
  <c r="L52" i="8" s="1"/>
  <c r="H52" i="8"/>
  <c r="H54" i="8" s="1"/>
  <c r="G52" i="8"/>
  <c r="G53" i="8" s="1"/>
  <c r="K47" i="8"/>
  <c r="K50" i="8" s="1"/>
  <c r="J47" i="8"/>
  <c r="L47" i="8" s="1"/>
  <c r="H47" i="8"/>
  <c r="H50" i="8" s="1"/>
  <c r="G47" i="8"/>
  <c r="I47" i="8" s="1"/>
  <c r="J46" i="8"/>
  <c r="J45" i="8"/>
  <c r="H45" i="8"/>
  <c r="J44" i="8"/>
  <c r="H44" i="8"/>
  <c r="J43" i="8"/>
  <c r="H43" i="8"/>
  <c r="K42" i="8"/>
  <c r="L42" i="8" s="1"/>
  <c r="H42" i="8"/>
  <c r="G42" i="8"/>
  <c r="I42" i="8" s="1"/>
  <c r="J41" i="8"/>
  <c r="J40" i="8"/>
  <c r="H40" i="8"/>
  <c r="G40" i="8"/>
  <c r="I40" i="8" s="1"/>
  <c r="J39" i="8"/>
  <c r="H39" i="8"/>
  <c r="G39" i="8"/>
  <c r="J38" i="8"/>
  <c r="H38" i="8"/>
  <c r="G38" i="8"/>
  <c r="I38" i="8" s="1"/>
  <c r="K37" i="8"/>
  <c r="L37" i="8" s="1"/>
  <c r="H37" i="8"/>
  <c r="G37" i="8"/>
  <c r="I37" i="8" s="1"/>
  <c r="J36" i="8"/>
  <c r="J35" i="8"/>
  <c r="G35" i="8"/>
  <c r="J34" i="8"/>
  <c r="G34" i="8"/>
  <c r="J33" i="8"/>
  <c r="G33" i="8"/>
  <c r="M32" i="8"/>
  <c r="L32" i="8"/>
  <c r="K32" i="8"/>
  <c r="K35" i="8" s="1"/>
  <c r="L35" i="8" s="1"/>
  <c r="H32" i="8"/>
  <c r="H35" i="8" s="1"/>
  <c r="G32" i="8"/>
  <c r="I32" i="8" s="1"/>
  <c r="J31" i="8"/>
  <c r="J30" i="8"/>
  <c r="H30" i="8"/>
  <c r="J29" i="8"/>
  <c r="H29" i="8"/>
  <c r="J28" i="8"/>
  <c r="H28" i="8"/>
  <c r="M27" i="8"/>
  <c r="L27" i="8"/>
  <c r="K27" i="8"/>
  <c r="K30" i="8" s="1"/>
  <c r="L30" i="8" s="1"/>
  <c r="H27" i="8"/>
  <c r="G27" i="8"/>
  <c r="I27" i="8" s="1"/>
  <c r="J26" i="8"/>
  <c r="J25" i="8"/>
  <c r="H25" i="8"/>
  <c r="G25" i="8"/>
  <c r="I25" i="8" s="1"/>
  <c r="J24" i="8"/>
  <c r="H24" i="8"/>
  <c r="G24" i="8"/>
  <c r="J23" i="8"/>
  <c r="H23" i="8"/>
  <c r="G23" i="8"/>
  <c r="L22" i="8"/>
  <c r="K22" i="8"/>
  <c r="K25" i="8" s="1"/>
  <c r="L25" i="8" s="1"/>
  <c r="H22" i="8"/>
  <c r="G22" i="8"/>
  <c r="I22" i="8" s="1"/>
  <c r="J21" i="8"/>
  <c r="J20" i="8"/>
  <c r="G20" i="8"/>
  <c r="J19" i="8"/>
  <c r="G19" i="8"/>
  <c r="J18" i="8"/>
  <c r="G18" i="8"/>
  <c r="K17" i="8"/>
  <c r="L17" i="8" s="1"/>
  <c r="I17" i="8"/>
  <c r="H21" i="8" s="1"/>
  <c r="H17" i="8"/>
  <c r="H20" i="8" s="1"/>
  <c r="G17" i="8"/>
  <c r="E10" i="8"/>
  <c r="J137" i="8" s="1"/>
  <c r="A2" i="8"/>
  <c r="J81" i="7"/>
  <c r="J80" i="7"/>
  <c r="L80" i="7" s="1"/>
  <c r="I80" i="7"/>
  <c r="L77" i="7"/>
  <c r="K77" i="7"/>
  <c r="K79" i="7" s="1"/>
  <c r="J77" i="7"/>
  <c r="J79" i="7" s="1"/>
  <c r="L79" i="7" s="1"/>
  <c r="H77" i="7"/>
  <c r="H78" i="7" s="1"/>
  <c r="G77" i="7"/>
  <c r="G78" i="7" s="1"/>
  <c r="J76" i="7"/>
  <c r="L75" i="7"/>
  <c r="M75" i="7" s="1"/>
  <c r="K75" i="7"/>
  <c r="J75" i="7"/>
  <c r="H75" i="7"/>
  <c r="G75" i="7"/>
  <c r="I75" i="7" s="1"/>
  <c r="L74" i="7"/>
  <c r="J74" i="7"/>
  <c r="J73" i="7"/>
  <c r="L72" i="7"/>
  <c r="K72" i="7"/>
  <c r="K74" i="7" s="1"/>
  <c r="H72" i="7"/>
  <c r="H73" i="7" s="1"/>
  <c r="G72" i="7"/>
  <c r="G73" i="7" s="1"/>
  <c r="J71" i="7"/>
  <c r="K70" i="7"/>
  <c r="L70" i="7" s="1"/>
  <c r="J70" i="7"/>
  <c r="H70" i="7"/>
  <c r="G70" i="7"/>
  <c r="J69" i="7"/>
  <c r="H69" i="7"/>
  <c r="G69" i="7"/>
  <c r="J68" i="7"/>
  <c r="H68" i="7"/>
  <c r="G68" i="7"/>
  <c r="K67" i="7"/>
  <c r="L67" i="7" s="1"/>
  <c r="H67" i="7"/>
  <c r="G67" i="7"/>
  <c r="J66" i="7"/>
  <c r="J65" i="7"/>
  <c r="H65" i="7"/>
  <c r="J64" i="7"/>
  <c r="H64" i="7"/>
  <c r="J63" i="7"/>
  <c r="H63" i="7"/>
  <c r="G63" i="7"/>
  <c r="K62" i="7"/>
  <c r="L62" i="7" s="1"/>
  <c r="H62" i="7"/>
  <c r="G62" i="7"/>
  <c r="G64" i="7" s="1"/>
  <c r="I64" i="7" s="1"/>
  <c r="J61" i="7"/>
  <c r="J60" i="7"/>
  <c r="G60" i="7"/>
  <c r="J59" i="7"/>
  <c r="G59" i="7"/>
  <c r="J58" i="7"/>
  <c r="G58" i="7"/>
  <c r="K57" i="7"/>
  <c r="L57" i="7" s="1"/>
  <c r="H57" i="7"/>
  <c r="G57" i="7"/>
  <c r="J55" i="7"/>
  <c r="J53" i="7"/>
  <c r="K52" i="7"/>
  <c r="K53" i="7" s="1"/>
  <c r="L53" i="7" s="1"/>
  <c r="J52" i="7"/>
  <c r="J56" i="7" s="1"/>
  <c r="H52" i="7"/>
  <c r="H53" i="7" s="1"/>
  <c r="G52" i="7"/>
  <c r="G55" i="7" s="1"/>
  <c r="J49" i="7"/>
  <c r="J48" i="7"/>
  <c r="L47" i="7"/>
  <c r="K47" i="7"/>
  <c r="K50" i="7" s="1"/>
  <c r="J47" i="7"/>
  <c r="J50" i="7" s="1"/>
  <c r="L50" i="7" s="1"/>
  <c r="H47" i="7"/>
  <c r="H48" i="7" s="1"/>
  <c r="G47" i="7"/>
  <c r="G50" i="7" s="1"/>
  <c r="L42" i="7"/>
  <c r="K42" i="7"/>
  <c r="K45" i="7" s="1"/>
  <c r="J42" i="7"/>
  <c r="J46" i="7" s="1"/>
  <c r="H42" i="7"/>
  <c r="H45" i="7" s="1"/>
  <c r="G42" i="7"/>
  <c r="G45" i="7" s="1"/>
  <c r="I45" i="7" s="1"/>
  <c r="J41" i="7"/>
  <c r="L40" i="7"/>
  <c r="N40" i="7" s="1"/>
  <c r="J40" i="7"/>
  <c r="I40" i="7"/>
  <c r="M37" i="7"/>
  <c r="L37" i="7"/>
  <c r="K37" i="7"/>
  <c r="K39" i="7" s="1"/>
  <c r="J37" i="7"/>
  <c r="J39" i="7" s="1"/>
  <c r="L39" i="7" s="1"/>
  <c r="H37" i="7"/>
  <c r="I37" i="7" s="1"/>
  <c r="G37" i="7"/>
  <c r="G39" i="7" s="1"/>
  <c r="M32" i="7"/>
  <c r="L32" i="7"/>
  <c r="N32" i="7" s="1"/>
  <c r="K32" i="7"/>
  <c r="K35" i="7" s="1"/>
  <c r="J32" i="7"/>
  <c r="J36" i="7" s="1"/>
  <c r="H32" i="7"/>
  <c r="H35" i="7" s="1"/>
  <c r="G32" i="7"/>
  <c r="I32" i="7" s="1"/>
  <c r="L27" i="7"/>
  <c r="K27" i="7"/>
  <c r="K30" i="7" s="1"/>
  <c r="J27" i="7"/>
  <c r="J31" i="7" s="1"/>
  <c r="H27" i="7"/>
  <c r="H30" i="7" s="1"/>
  <c r="G27" i="7"/>
  <c r="M27" i="7" s="1"/>
  <c r="K22" i="7"/>
  <c r="L22" i="7" s="1"/>
  <c r="J22" i="7"/>
  <c r="J26" i="7" s="1"/>
  <c r="H22" i="7"/>
  <c r="H25" i="7" s="1"/>
  <c r="G22" i="7"/>
  <c r="I22" i="7" s="1"/>
  <c r="K17" i="7"/>
  <c r="L17" i="7" s="1"/>
  <c r="J17" i="7"/>
  <c r="J21" i="7" s="1"/>
  <c r="H17" i="7"/>
  <c r="H20" i="7" s="1"/>
  <c r="G17" i="7"/>
  <c r="I17" i="7" s="1"/>
  <c r="E9" i="7"/>
  <c r="A2" i="7"/>
  <c r="J191" i="6"/>
  <c r="J190" i="6"/>
  <c r="L190" i="6" s="1"/>
  <c r="I190" i="6"/>
  <c r="L189" i="6"/>
  <c r="J189" i="6"/>
  <c r="H189" i="6"/>
  <c r="J188" i="6"/>
  <c r="H188" i="6"/>
  <c r="L187" i="6"/>
  <c r="K187" i="6"/>
  <c r="K189" i="6" s="1"/>
  <c r="H187" i="6"/>
  <c r="G187" i="6"/>
  <c r="I187" i="6" s="1"/>
  <c r="K191" i="6" s="1"/>
  <c r="K186" i="6"/>
  <c r="L185" i="6"/>
  <c r="J185" i="6"/>
  <c r="I185" i="6"/>
  <c r="L182" i="6"/>
  <c r="K182" i="6"/>
  <c r="K184" i="6" s="1"/>
  <c r="J182" i="6"/>
  <c r="J184" i="6" s="1"/>
  <c r="L184" i="6" s="1"/>
  <c r="I182" i="6"/>
  <c r="H182" i="6"/>
  <c r="H184" i="6" s="1"/>
  <c r="I184" i="6" s="1"/>
  <c r="G182" i="6"/>
  <c r="G184" i="6" s="1"/>
  <c r="J181" i="6"/>
  <c r="L180" i="6"/>
  <c r="J180" i="6"/>
  <c r="I180" i="6"/>
  <c r="J179" i="6"/>
  <c r="J178" i="6"/>
  <c r="L177" i="6"/>
  <c r="K177" i="6"/>
  <c r="K179" i="6" s="1"/>
  <c r="L179" i="6" s="1"/>
  <c r="H177" i="6"/>
  <c r="G177" i="6"/>
  <c r="M177" i="6" s="1"/>
  <c r="I175" i="6"/>
  <c r="J174" i="6"/>
  <c r="H174" i="6"/>
  <c r="H173" i="6"/>
  <c r="L172" i="6"/>
  <c r="K172" i="6"/>
  <c r="K174" i="6" s="1"/>
  <c r="L174" i="6" s="1"/>
  <c r="J172" i="6"/>
  <c r="J176" i="6" s="1"/>
  <c r="H172" i="6"/>
  <c r="G172" i="6"/>
  <c r="J171" i="6"/>
  <c r="J170" i="6"/>
  <c r="L170" i="6" s="1"/>
  <c r="I170" i="6"/>
  <c r="J169" i="6"/>
  <c r="L169" i="6" s="1"/>
  <c r="J168" i="6"/>
  <c r="L167" i="6"/>
  <c r="K167" i="6"/>
  <c r="K169" i="6" s="1"/>
  <c r="H167" i="6"/>
  <c r="H169" i="6" s="1"/>
  <c r="G167" i="6"/>
  <c r="G168" i="6" s="1"/>
  <c r="J166" i="6"/>
  <c r="J165" i="6"/>
  <c r="H165" i="6"/>
  <c r="J164" i="6"/>
  <c r="H164" i="6"/>
  <c r="J163" i="6"/>
  <c r="H163" i="6"/>
  <c r="K162" i="6"/>
  <c r="L162" i="6" s="1"/>
  <c r="H162" i="6"/>
  <c r="G162" i="6"/>
  <c r="I162" i="6" s="1"/>
  <c r="J161" i="6"/>
  <c r="L161" i="6" s="1"/>
  <c r="G161" i="6"/>
  <c r="J160" i="6"/>
  <c r="H160" i="6"/>
  <c r="G160" i="6"/>
  <c r="I160" i="6" s="1"/>
  <c r="J159" i="6"/>
  <c r="H159" i="6"/>
  <c r="G159" i="6"/>
  <c r="J158" i="6"/>
  <c r="H158" i="6"/>
  <c r="G158" i="6"/>
  <c r="K157" i="6"/>
  <c r="L157" i="6" s="1"/>
  <c r="I157" i="6"/>
  <c r="K161" i="6" s="1"/>
  <c r="H157" i="6"/>
  <c r="G157" i="6"/>
  <c r="J156" i="6"/>
  <c r="J155" i="6"/>
  <c r="G155" i="6"/>
  <c r="J154" i="6"/>
  <c r="G154" i="6"/>
  <c r="J153" i="6"/>
  <c r="G153" i="6"/>
  <c r="K152" i="6"/>
  <c r="L152" i="6" s="1"/>
  <c r="H152" i="6"/>
  <c r="H155" i="6" s="1"/>
  <c r="I155" i="6" s="1"/>
  <c r="G152" i="6"/>
  <c r="I152" i="6" s="1"/>
  <c r="J151" i="6"/>
  <c r="J150" i="6"/>
  <c r="H150" i="6"/>
  <c r="J149" i="6"/>
  <c r="H149" i="6"/>
  <c r="J148" i="6"/>
  <c r="H148" i="6"/>
  <c r="L147" i="6"/>
  <c r="K147" i="6"/>
  <c r="K150" i="6" s="1"/>
  <c r="L150" i="6" s="1"/>
  <c r="H147" i="6"/>
  <c r="G147" i="6"/>
  <c r="I147" i="6" s="1"/>
  <c r="J146" i="6"/>
  <c r="J145" i="6"/>
  <c r="H145" i="6"/>
  <c r="G145" i="6"/>
  <c r="I145" i="6" s="1"/>
  <c r="J144" i="6"/>
  <c r="H144" i="6"/>
  <c r="G144" i="6"/>
  <c r="J143" i="6"/>
  <c r="H143" i="6"/>
  <c r="G143" i="6"/>
  <c r="L142" i="6"/>
  <c r="K142" i="6"/>
  <c r="K145" i="6" s="1"/>
  <c r="L145" i="6" s="1"/>
  <c r="H142" i="6"/>
  <c r="G142" i="6"/>
  <c r="I142" i="6" s="1"/>
  <c r="J141" i="6"/>
  <c r="J140" i="6"/>
  <c r="G140" i="6"/>
  <c r="I140" i="6" s="1"/>
  <c r="J139" i="6"/>
  <c r="G139" i="6"/>
  <c r="J138" i="6"/>
  <c r="G138" i="6"/>
  <c r="K137" i="6"/>
  <c r="L137" i="6" s="1"/>
  <c r="H137" i="6"/>
  <c r="H140" i="6" s="1"/>
  <c r="G137" i="6"/>
  <c r="I137" i="6" s="1"/>
  <c r="J136" i="6"/>
  <c r="J135" i="6"/>
  <c r="J134" i="6"/>
  <c r="J133" i="6"/>
  <c r="K132" i="6"/>
  <c r="L132" i="6" s="1"/>
  <c r="I132" i="6"/>
  <c r="H136" i="6" s="1"/>
  <c r="H132" i="6"/>
  <c r="H135" i="6" s="1"/>
  <c r="G132" i="6"/>
  <c r="G135" i="6" s="1"/>
  <c r="I135" i="6" s="1"/>
  <c r="J131" i="6"/>
  <c r="J130" i="6"/>
  <c r="J129" i="6"/>
  <c r="J128" i="6"/>
  <c r="L127" i="6"/>
  <c r="K127" i="6"/>
  <c r="K130" i="6" s="1"/>
  <c r="L130" i="6" s="1"/>
  <c r="H127" i="6"/>
  <c r="H130" i="6" s="1"/>
  <c r="G127" i="6"/>
  <c r="G130" i="6" s="1"/>
  <c r="I130" i="6" s="1"/>
  <c r="K125" i="6"/>
  <c r="H125" i="6"/>
  <c r="G125" i="6"/>
  <c r="I125" i="6" s="1"/>
  <c r="K122" i="6"/>
  <c r="K124" i="6" s="1"/>
  <c r="J122" i="6"/>
  <c r="L122" i="6" s="1"/>
  <c r="H122" i="6"/>
  <c r="H124" i="6" s="1"/>
  <c r="G122" i="6"/>
  <c r="I122" i="6" s="1"/>
  <c r="K117" i="6"/>
  <c r="K120" i="6" s="1"/>
  <c r="J117" i="6"/>
  <c r="L117" i="6" s="1"/>
  <c r="H117" i="6"/>
  <c r="H120" i="6" s="1"/>
  <c r="G117" i="6"/>
  <c r="I117" i="6" s="1"/>
  <c r="J116" i="6"/>
  <c r="J115" i="6"/>
  <c r="H115" i="6"/>
  <c r="J114" i="6"/>
  <c r="H114" i="6"/>
  <c r="J113" i="6"/>
  <c r="H113" i="6"/>
  <c r="K112" i="6"/>
  <c r="L112" i="6" s="1"/>
  <c r="H112" i="6"/>
  <c r="G112" i="6"/>
  <c r="I112" i="6" s="1"/>
  <c r="J111" i="6"/>
  <c r="L111" i="6" s="1"/>
  <c r="G111" i="6"/>
  <c r="J110" i="6"/>
  <c r="G110" i="6"/>
  <c r="I110" i="6" s="1"/>
  <c r="J109" i="6"/>
  <c r="G109" i="6"/>
  <c r="J108" i="6"/>
  <c r="G108" i="6"/>
  <c r="K107" i="6"/>
  <c r="L107" i="6" s="1"/>
  <c r="I107" i="6"/>
  <c r="K111" i="6" s="1"/>
  <c r="H107" i="6"/>
  <c r="H110" i="6" s="1"/>
  <c r="G107" i="6"/>
  <c r="N102" i="6"/>
  <c r="K102" i="6"/>
  <c r="K105" i="6" s="1"/>
  <c r="J102" i="6"/>
  <c r="L102" i="6" s="1"/>
  <c r="M102" i="6" s="1"/>
  <c r="I102" i="6"/>
  <c r="K106" i="6" s="1"/>
  <c r="H102" i="6"/>
  <c r="H105" i="6" s="1"/>
  <c r="G102" i="6"/>
  <c r="G105" i="6" s="1"/>
  <c r="I105" i="6" s="1"/>
  <c r="J101" i="6"/>
  <c r="J100" i="6"/>
  <c r="J99" i="6"/>
  <c r="J98" i="6"/>
  <c r="K97" i="6"/>
  <c r="L97" i="6" s="1"/>
  <c r="M97" i="6" s="1"/>
  <c r="H97" i="6"/>
  <c r="H100" i="6" s="1"/>
  <c r="G97" i="6"/>
  <c r="I97" i="6" s="1"/>
  <c r="J96" i="6"/>
  <c r="J95" i="6"/>
  <c r="H95" i="6"/>
  <c r="J94" i="6"/>
  <c r="H94" i="6"/>
  <c r="J93" i="6"/>
  <c r="H93" i="6"/>
  <c r="K92" i="6"/>
  <c r="K95" i="6" s="1"/>
  <c r="H92" i="6"/>
  <c r="G92" i="6"/>
  <c r="J91" i="6"/>
  <c r="G91" i="6"/>
  <c r="L90" i="6"/>
  <c r="J90" i="6"/>
  <c r="G90" i="6"/>
  <c r="I90" i="6" s="1"/>
  <c r="J89" i="6"/>
  <c r="G89" i="6"/>
  <c r="J88" i="6"/>
  <c r="G88" i="6"/>
  <c r="L87" i="6"/>
  <c r="K87" i="6"/>
  <c r="K90" i="6" s="1"/>
  <c r="H87" i="6"/>
  <c r="H90" i="6" s="1"/>
  <c r="G87" i="6"/>
  <c r="I87" i="6" s="1"/>
  <c r="K82" i="6"/>
  <c r="K83" i="6" s="1"/>
  <c r="J82" i="6"/>
  <c r="H82" i="6"/>
  <c r="H85" i="6" s="1"/>
  <c r="G82" i="6"/>
  <c r="I82" i="6" s="1"/>
  <c r="K81" i="6"/>
  <c r="J81" i="6"/>
  <c r="H81" i="6"/>
  <c r="K80" i="6"/>
  <c r="J80" i="6"/>
  <c r="H80" i="6"/>
  <c r="G80" i="6"/>
  <c r="I80" i="6" s="1"/>
  <c r="K79" i="6"/>
  <c r="J79" i="6"/>
  <c r="H79" i="6"/>
  <c r="G79" i="6"/>
  <c r="I79" i="6" s="1"/>
  <c r="K78" i="6"/>
  <c r="J78" i="6"/>
  <c r="L78" i="6" s="1"/>
  <c r="M78" i="6" s="1"/>
  <c r="H78" i="6"/>
  <c r="G78" i="6"/>
  <c r="I78" i="6" s="1"/>
  <c r="K77" i="6"/>
  <c r="L77" i="6" s="1"/>
  <c r="H77" i="6"/>
  <c r="G77" i="6"/>
  <c r="I77" i="6" s="1"/>
  <c r="G81" i="6" s="1"/>
  <c r="J76" i="6"/>
  <c r="J75" i="6"/>
  <c r="G75" i="6"/>
  <c r="J74" i="6"/>
  <c r="J73" i="6"/>
  <c r="G73" i="6"/>
  <c r="K72" i="6"/>
  <c r="L72" i="6" s="1"/>
  <c r="H72" i="6"/>
  <c r="H75" i="6" s="1"/>
  <c r="G72" i="6"/>
  <c r="G74" i="6" s="1"/>
  <c r="J71" i="6"/>
  <c r="J70" i="6"/>
  <c r="H70" i="6"/>
  <c r="J69" i="6"/>
  <c r="H69" i="6"/>
  <c r="J68" i="6"/>
  <c r="H68" i="6"/>
  <c r="K67" i="6"/>
  <c r="L67" i="6" s="1"/>
  <c r="H67" i="6"/>
  <c r="G67" i="6"/>
  <c r="I67" i="6" s="1"/>
  <c r="K62" i="6"/>
  <c r="K65" i="6" s="1"/>
  <c r="J62" i="6"/>
  <c r="L62" i="6" s="1"/>
  <c r="H62" i="6"/>
  <c r="H65" i="6" s="1"/>
  <c r="G62" i="6"/>
  <c r="I62" i="6" s="1"/>
  <c r="J61" i="6"/>
  <c r="J60" i="6"/>
  <c r="H60" i="6"/>
  <c r="G60" i="6"/>
  <c r="I60" i="6" s="1"/>
  <c r="J59" i="6"/>
  <c r="H59" i="6"/>
  <c r="G59" i="6"/>
  <c r="I59" i="6" s="1"/>
  <c r="J58" i="6"/>
  <c r="H58" i="6"/>
  <c r="G58" i="6"/>
  <c r="I58" i="6" s="1"/>
  <c r="K57" i="6"/>
  <c r="L57" i="6" s="1"/>
  <c r="H57" i="6"/>
  <c r="G57" i="6"/>
  <c r="I57" i="6" s="1"/>
  <c r="K52" i="6"/>
  <c r="K55" i="6" s="1"/>
  <c r="J52" i="6"/>
  <c r="J56" i="6" s="1"/>
  <c r="H52" i="6"/>
  <c r="H55" i="6" s="1"/>
  <c r="G52" i="6"/>
  <c r="I52" i="6" s="1"/>
  <c r="J51" i="6"/>
  <c r="K50" i="6"/>
  <c r="J50" i="6"/>
  <c r="L50" i="6" s="1"/>
  <c r="H50" i="6"/>
  <c r="G50" i="6"/>
  <c r="I50" i="6" s="1"/>
  <c r="J49" i="6"/>
  <c r="L49" i="6" s="1"/>
  <c r="H49" i="6"/>
  <c r="G49" i="6"/>
  <c r="J48" i="6"/>
  <c r="H48" i="6"/>
  <c r="G48" i="6"/>
  <c r="K47" i="6"/>
  <c r="K49" i="6" s="1"/>
  <c r="H47" i="6"/>
  <c r="G47" i="6"/>
  <c r="I47" i="6" s="1"/>
  <c r="J46" i="6"/>
  <c r="G46" i="6"/>
  <c r="J45" i="6"/>
  <c r="G45" i="6"/>
  <c r="J44" i="6"/>
  <c r="G44" i="6"/>
  <c r="J43" i="6"/>
  <c r="G43" i="6"/>
  <c r="K42" i="6"/>
  <c r="L42" i="6" s="1"/>
  <c r="I42" i="6"/>
  <c r="H46" i="6" s="1"/>
  <c r="H42" i="6"/>
  <c r="H45" i="6" s="1"/>
  <c r="G42" i="6"/>
  <c r="M37" i="6"/>
  <c r="L37" i="6"/>
  <c r="K37" i="6"/>
  <c r="K40" i="6" s="1"/>
  <c r="J37" i="6"/>
  <c r="J41" i="6" s="1"/>
  <c r="H37" i="6"/>
  <c r="H40" i="6" s="1"/>
  <c r="G37" i="6"/>
  <c r="I37" i="6" s="1"/>
  <c r="K32" i="6"/>
  <c r="L32" i="6" s="1"/>
  <c r="J32" i="6"/>
  <c r="J36" i="6" s="1"/>
  <c r="H32" i="6"/>
  <c r="H35" i="6" s="1"/>
  <c r="G32" i="6"/>
  <c r="I32" i="6" s="1"/>
  <c r="J31" i="6"/>
  <c r="J30" i="6"/>
  <c r="J29" i="6"/>
  <c r="J28" i="6"/>
  <c r="K27" i="6"/>
  <c r="L27" i="6" s="1"/>
  <c r="H27" i="6"/>
  <c r="H30" i="6" s="1"/>
  <c r="G27" i="6"/>
  <c r="G30" i="6" s="1"/>
  <c r="J26" i="6"/>
  <c r="J25" i="6"/>
  <c r="J24" i="6"/>
  <c r="J23" i="6"/>
  <c r="K22" i="6"/>
  <c r="L22" i="6" s="1"/>
  <c r="H22" i="6"/>
  <c r="H25" i="6" s="1"/>
  <c r="G22" i="6"/>
  <c r="G25" i="6" s="1"/>
  <c r="K17" i="6"/>
  <c r="K20" i="6" s="1"/>
  <c r="J17" i="6"/>
  <c r="L17" i="6" s="1"/>
  <c r="H17" i="6"/>
  <c r="H20" i="6" s="1"/>
  <c r="G17" i="6"/>
  <c r="G20" i="6" s="1"/>
  <c r="I20" i="6" s="1"/>
  <c r="E9" i="6"/>
  <c r="A2" i="6"/>
  <c r="I90" i="5"/>
  <c r="L87" i="5"/>
  <c r="N87" i="5" s="1"/>
  <c r="K87" i="5"/>
  <c r="K89" i="5" s="1"/>
  <c r="J87" i="5"/>
  <c r="J89" i="5" s="1"/>
  <c r="H87" i="5"/>
  <c r="H89" i="5" s="1"/>
  <c r="G87" i="5"/>
  <c r="I87" i="5" s="1"/>
  <c r="J86" i="5"/>
  <c r="L85" i="5"/>
  <c r="N85" i="5" s="1"/>
  <c r="J85" i="5"/>
  <c r="I85" i="5"/>
  <c r="J84" i="5"/>
  <c r="J83" i="5"/>
  <c r="K82" i="5"/>
  <c r="L82" i="5" s="1"/>
  <c r="H82" i="5"/>
  <c r="H84" i="5" s="1"/>
  <c r="G82" i="5"/>
  <c r="G84" i="5" s="1"/>
  <c r="J81" i="5"/>
  <c r="K80" i="5"/>
  <c r="J80" i="5"/>
  <c r="L80" i="5" s="1"/>
  <c r="H80" i="5"/>
  <c r="G80" i="5"/>
  <c r="I80" i="5" s="1"/>
  <c r="J79" i="5"/>
  <c r="H79" i="5"/>
  <c r="J78" i="5"/>
  <c r="H78" i="5"/>
  <c r="K77" i="5"/>
  <c r="L77" i="5" s="1"/>
  <c r="H77" i="5"/>
  <c r="G77" i="5"/>
  <c r="G79" i="5" s="1"/>
  <c r="J76" i="5"/>
  <c r="G76" i="5"/>
  <c r="J75" i="5"/>
  <c r="G75" i="5"/>
  <c r="I75" i="5" s="1"/>
  <c r="J74" i="5"/>
  <c r="G74" i="5"/>
  <c r="J73" i="5"/>
  <c r="G73" i="5"/>
  <c r="K72" i="5"/>
  <c r="L72" i="5" s="1"/>
  <c r="I72" i="5"/>
  <c r="K76" i="5" s="1"/>
  <c r="H72" i="5"/>
  <c r="H75" i="5" s="1"/>
  <c r="G72" i="5"/>
  <c r="J71" i="5"/>
  <c r="J70" i="5"/>
  <c r="J69" i="5"/>
  <c r="J68" i="5"/>
  <c r="K67" i="5"/>
  <c r="L67" i="5" s="1"/>
  <c r="H67" i="5"/>
  <c r="H70" i="5" s="1"/>
  <c r="G67" i="5"/>
  <c r="I67" i="5" s="1"/>
  <c r="M62" i="5"/>
  <c r="L62" i="5"/>
  <c r="N62" i="5" s="1"/>
  <c r="K62" i="5"/>
  <c r="K65" i="5" s="1"/>
  <c r="J62" i="5"/>
  <c r="J66" i="5" s="1"/>
  <c r="H62" i="5"/>
  <c r="H65" i="5" s="1"/>
  <c r="G62" i="5"/>
  <c r="I62" i="5" s="1"/>
  <c r="J61" i="5"/>
  <c r="J60" i="5"/>
  <c r="H60" i="5"/>
  <c r="J59" i="5"/>
  <c r="H59" i="5"/>
  <c r="J58" i="5"/>
  <c r="H58" i="5"/>
  <c r="L57" i="5"/>
  <c r="K57" i="5"/>
  <c r="K60" i="5" s="1"/>
  <c r="L60" i="5" s="1"/>
  <c r="H57" i="5"/>
  <c r="G57" i="5"/>
  <c r="J56" i="5"/>
  <c r="J55" i="5"/>
  <c r="H55" i="5"/>
  <c r="G55" i="5"/>
  <c r="I55" i="5" s="1"/>
  <c r="J54" i="5"/>
  <c r="H54" i="5"/>
  <c r="J53" i="5"/>
  <c r="H53" i="5"/>
  <c r="G53" i="5"/>
  <c r="I53" i="5" s="1"/>
  <c r="L52" i="5"/>
  <c r="K52" i="5"/>
  <c r="K55" i="5" s="1"/>
  <c r="L55" i="5" s="1"/>
  <c r="H52" i="5"/>
  <c r="G52" i="5"/>
  <c r="I52" i="5" s="1"/>
  <c r="K51" i="5"/>
  <c r="J51" i="5"/>
  <c r="J50" i="5"/>
  <c r="G50" i="5"/>
  <c r="J49" i="5"/>
  <c r="G49" i="5"/>
  <c r="K48" i="5"/>
  <c r="J48" i="5"/>
  <c r="L48" i="5" s="1"/>
  <c r="G48" i="5"/>
  <c r="K47" i="5"/>
  <c r="L47" i="5" s="1"/>
  <c r="N47" i="5" s="1"/>
  <c r="I47" i="5"/>
  <c r="H51" i="5" s="1"/>
  <c r="H47" i="5"/>
  <c r="H50" i="5" s="1"/>
  <c r="G47" i="5"/>
  <c r="K42" i="5"/>
  <c r="L42" i="5" s="1"/>
  <c r="J42" i="5"/>
  <c r="J46" i="5" s="1"/>
  <c r="H42" i="5"/>
  <c r="H45" i="5" s="1"/>
  <c r="G42" i="5"/>
  <c r="I42" i="5" s="1"/>
  <c r="J41" i="5"/>
  <c r="K40" i="5"/>
  <c r="L40" i="5" s="1"/>
  <c r="J40" i="5"/>
  <c r="H40" i="5"/>
  <c r="G40" i="5"/>
  <c r="I40" i="5" s="1"/>
  <c r="J39" i="5"/>
  <c r="H39" i="5"/>
  <c r="J38" i="5"/>
  <c r="H38" i="5"/>
  <c r="G38" i="5"/>
  <c r="K37" i="5"/>
  <c r="L37" i="5" s="1"/>
  <c r="H37" i="5"/>
  <c r="G37" i="5"/>
  <c r="I37" i="5" s="1"/>
  <c r="K32" i="5"/>
  <c r="K35" i="5" s="1"/>
  <c r="J32" i="5"/>
  <c r="L32" i="5" s="1"/>
  <c r="H32" i="5"/>
  <c r="H35" i="5" s="1"/>
  <c r="G32" i="5"/>
  <c r="I32" i="5" s="1"/>
  <c r="K27" i="5"/>
  <c r="K30" i="5" s="1"/>
  <c r="J27" i="5"/>
  <c r="L27" i="5" s="1"/>
  <c r="H27" i="5"/>
  <c r="H30" i="5" s="1"/>
  <c r="G27" i="5"/>
  <c r="I27" i="5" s="1"/>
  <c r="K22" i="5"/>
  <c r="K25" i="5" s="1"/>
  <c r="J22" i="5"/>
  <c r="L22" i="5" s="1"/>
  <c r="H22" i="5"/>
  <c r="H25" i="5" s="1"/>
  <c r="G22" i="5"/>
  <c r="I22" i="5" s="1"/>
  <c r="K17" i="5"/>
  <c r="K20" i="5" s="1"/>
  <c r="J17" i="5"/>
  <c r="L17" i="5" s="1"/>
  <c r="H17" i="5"/>
  <c r="H20" i="5" s="1"/>
  <c r="G17" i="5"/>
  <c r="I17" i="5" s="1"/>
  <c r="E9" i="5"/>
  <c r="A2" i="5"/>
  <c r="K182" i="4"/>
  <c r="K181" i="4"/>
  <c r="M181" i="4" s="1"/>
  <c r="J181" i="4"/>
  <c r="L178" i="4"/>
  <c r="L180" i="4" s="1"/>
  <c r="K178" i="4"/>
  <c r="K180" i="4" s="1"/>
  <c r="I178" i="4"/>
  <c r="I180" i="4" s="1"/>
  <c r="H178" i="4"/>
  <c r="K177" i="4"/>
  <c r="K176" i="4"/>
  <c r="K175" i="4"/>
  <c r="K174" i="4"/>
  <c r="L173" i="4"/>
  <c r="L176" i="4" s="1"/>
  <c r="M176" i="4" s="1"/>
  <c r="I173" i="4"/>
  <c r="I176" i="4" s="1"/>
  <c r="H173" i="4"/>
  <c r="K172" i="4"/>
  <c r="K171" i="4"/>
  <c r="K170" i="4"/>
  <c r="K169" i="4"/>
  <c r="L168" i="4"/>
  <c r="M168" i="4" s="1"/>
  <c r="I168" i="4"/>
  <c r="I171" i="4" s="1"/>
  <c r="H168" i="4"/>
  <c r="H170" i="4" s="1"/>
  <c r="K167" i="4"/>
  <c r="K166" i="4"/>
  <c r="K165" i="4"/>
  <c r="K164" i="4"/>
  <c r="L163" i="4"/>
  <c r="M163" i="4" s="1"/>
  <c r="I163" i="4"/>
  <c r="I166" i="4" s="1"/>
  <c r="H163" i="4"/>
  <c r="J163" i="4" s="1"/>
  <c r="L167" i="4" s="1"/>
  <c r="K162" i="4"/>
  <c r="M161" i="4"/>
  <c r="L161" i="4"/>
  <c r="K161" i="4"/>
  <c r="I161" i="4"/>
  <c r="H161" i="4"/>
  <c r="J161" i="4" s="1"/>
  <c r="K160" i="4"/>
  <c r="K159" i="4"/>
  <c r="M158" i="4"/>
  <c r="L158" i="4"/>
  <c r="L160" i="4" s="1"/>
  <c r="M160" i="4" s="1"/>
  <c r="I158" i="4"/>
  <c r="I160" i="4" s="1"/>
  <c r="H158" i="4"/>
  <c r="L153" i="4"/>
  <c r="L156" i="4" s="1"/>
  <c r="K153" i="4"/>
  <c r="K157" i="4" s="1"/>
  <c r="I153" i="4"/>
  <c r="I156" i="4" s="1"/>
  <c r="H153" i="4"/>
  <c r="J153" i="4" s="1"/>
  <c r="L148" i="4"/>
  <c r="L151" i="4" s="1"/>
  <c r="K148" i="4"/>
  <c r="K152" i="4" s="1"/>
  <c r="I148" i="4"/>
  <c r="I151" i="4" s="1"/>
  <c r="H148" i="4"/>
  <c r="L143" i="4"/>
  <c r="M143" i="4" s="1"/>
  <c r="K143" i="4"/>
  <c r="K147" i="4" s="1"/>
  <c r="I143" i="4"/>
  <c r="I145" i="4" s="1"/>
  <c r="H143" i="4"/>
  <c r="L138" i="4"/>
  <c r="M138" i="4" s="1"/>
  <c r="K138" i="4"/>
  <c r="K142" i="4" s="1"/>
  <c r="I138" i="4"/>
  <c r="I140" i="4" s="1"/>
  <c r="H138" i="4"/>
  <c r="L133" i="4"/>
  <c r="M133" i="4" s="1"/>
  <c r="K133" i="4"/>
  <c r="K137" i="4" s="1"/>
  <c r="I133" i="4"/>
  <c r="I136" i="4" s="1"/>
  <c r="H133" i="4"/>
  <c r="L128" i="4"/>
  <c r="M128" i="4" s="1"/>
  <c r="K128" i="4"/>
  <c r="K132" i="4" s="1"/>
  <c r="I128" i="4"/>
  <c r="I129" i="4" s="1"/>
  <c r="H128" i="4"/>
  <c r="H130" i="4" s="1"/>
  <c r="I125" i="4"/>
  <c r="L123" i="4"/>
  <c r="L126" i="4" s="1"/>
  <c r="K123" i="4"/>
  <c r="K127" i="4" s="1"/>
  <c r="I123" i="4"/>
  <c r="I126" i="4" s="1"/>
  <c r="H123" i="4"/>
  <c r="H126" i="4" s="1"/>
  <c r="I119" i="4"/>
  <c r="M118" i="4"/>
  <c r="L118" i="4"/>
  <c r="L121" i="4" s="1"/>
  <c r="K118" i="4"/>
  <c r="K122" i="4" s="1"/>
  <c r="I118" i="4"/>
  <c r="I120" i="4" s="1"/>
  <c r="H118" i="4"/>
  <c r="J118" i="4" s="1"/>
  <c r="I122" i="4" s="1"/>
  <c r="K116" i="4"/>
  <c r="L113" i="4"/>
  <c r="L114" i="4" s="1"/>
  <c r="K113" i="4"/>
  <c r="K117" i="4" s="1"/>
  <c r="I113" i="4"/>
  <c r="I114" i="4" s="1"/>
  <c r="H113" i="4"/>
  <c r="H116" i="4" s="1"/>
  <c r="L108" i="4"/>
  <c r="L111" i="4" s="1"/>
  <c r="K108" i="4"/>
  <c r="K112" i="4" s="1"/>
  <c r="I108" i="4"/>
  <c r="I111" i="4" s="1"/>
  <c r="H108" i="4"/>
  <c r="L103" i="4"/>
  <c r="L106" i="4" s="1"/>
  <c r="K103" i="4"/>
  <c r="K107" i="4" s="1"/>
  <c r="I103" i="4"/>
  <c r="I106" i="4" s="1"/>
  <c r="H103" i="4"/>
  <c r="J103" i="4" s="1"/>
  <c r="L98" i="4"/>
  <c r="L101" i="4" s="1"/>
  <c r="K98" i="4"/>
  <c r="K102" i="4" s="1"/>
  <c r="I98" i="4"/>
  <c r="I101" i="4" s="1"/>
  <c r="H98" i="4"/>
  <c r="J98" i="4" s="1"/>
  <c r="L93" i="4"/>
  <c r="L96" i="4" s="1"/>
  <c r="K93" i="4"/>
  <c r="K97" i="4" s="1"/>
  <c r="I93" i="4"/>
  <c r="I96" i="4" s="1"/>
  <c r="H93" i="4"/>
  <c r="L88" i="4"/>
  <c r="L91" i="4" s="1"/>
  <c r="K88" i="4"/>
  <c r="K92" i="4" s="1"/>
  <c r="I88" i="4"/>
  <c r="I91" i="4" s="1"/>
  <c r="H88" i="4"/>
  <c r="J88" i="4" s="1"/>
  <c r="K87" i="4"/>
  <c r="K86" i="4"/>
  <c r="K85" i="4"/>
  <c r="K84" i="4"/>
  <c r="L83" i="4"/>
  <c r="L86" i="4" s="1"/>
  <c r="M86" i="4" s="1"/>
  <c r="I83" i="4"/>
  <c r="I84" i="4" s="1"/>
  <c r="H83" i="4"/>
  <c r="H86" i="4" s="1"/>
  <c r="L78" i="4"/>
  <c r="L81" i="4" s="1"/>
  <c r="K78" i="4"/>
  <c r="K82" i="4" s="1"/>
  <c r="I78" i="4"/>
  <c r="I81" i="4" s="1"/>
  <c r="H78" i="4"/>
  <c r="L73" i="4"/>
  <c r="L76" i="4" s="1"/>
  <c r="K73" i="4"/>
  <c r="K77" i="4" s="1"/>
  <c r="I73" i="4"/>
  <c r="I76" i="4" s="1"/>
  <c r="H73" i="4"/>
  <c r="L68" i="4"/>
  <c r="L71" i="4" s="1"/>
  <c r="K68" i="4"/>
  <c r="K72" i="4" s="1"/>
  <c r="I68" i="4"/>
  <c r="I71" i="4" s="1"/>
  <c r="H68" i="4"/>
  <c r="L63" i="4"/>
  <c r="L66" i="4" s="1"/>
  <c r="K63" i="4"/>
  <c r="K67" i="4" s="1"/>
  <c r="I63" i="4"/>
  <c r="I66" i="4" s="1"/>
  <c r="H63" i="4"/>
  <c r="L58" i="4"/>
  <c r="L61" i="4" s="1"/>
  <c r="K58" i="4"/>
  <c r="K62" i="4" s="1"/>
  <c r="I58" i="4"/>
  <c r="I61" i="4" s="1"/>
  <c r="H58" i="4"/>
  <c r="L53" i="4"/>
  <c r="L56" i="4" s="1"/>
  <c r="K53" i="4"/>
  <c r="K57" i="4" s="1"/>
  <c r="I53" i="4"/>
  <c r="I56" i="4" s="1"/>
  <c r="H53" i="4"/>
  <c r="K52" i="4"/>
  <c r="K51" i="4"/>
  <c r="K50" i="4"/>
  <c r="K49" i="4"/>
  <c r="I49" i="4"/>
  <c r="L48" i="4"/>
  <c r="M48" i="4" s="1"/>
  <c r="I48" i="4"/>
  <c r="I50" i="4" s="1"/>
  <c r="H48" i="4"/>
  <c r="H50" i="4" s="1"/>
  <c r="K47" i="4"/>
  <c r="K46" i="4"/>
  <c r="K45" i="4"/>
  <c r="K44" i="4"/>
  <c r="L43" i="4"/>
  <c r="M43" i="4" s="1"/>
  <c r="I43" i="4"/>
  <c r="I46" i="4" s="1"/>
  <c r="H43" i="4"/>
  <c r="H45" i="4" s="1"/>
  <c r="K42" i="4"/>
  <c r="K41" i="4"/>
  <c r="K40" i="4"/>
  <c r="K39" i="4"/>
  <c r="L38" i="4"/>
  <c r="L41" i="4" s="1"/>
  <c r="I38" i="4"/>
  <c r="I41" i="4" s="1"/>
  <c r="H38" i="4"/>
  <c r="H41" i="4" s="1"/>
  <c r="L33" i="4"/>
  <c r="L36" i="4" s="1"/>
  <c r="K33" i="4"/>
  <c r="K37" i="4" s="1"/>
  <c r="I33" i="4"/>
  <c r="I36" i="4" s="1"/>
  <c r="H33" i="4"/>
  <c r="H36" i="4" s="1"/>
  <c r="L28" i="4"/>
  <c r="L31" i="4" s="1"/>
  <c r="K28" i="4"/>
  <c r="K32" i="4" s="1"/>
  <c r="I28" i="4"/>
  <c r="I31" i="4" s="1"/>
  <c r="H28" i="4"/>
  <c r="H31" i="4" s="1"/>
  <c r="J31" i="4" s="1"/>
  <c r="L23" i="4"/>
  <c r="M23" i="4" s="1"/>
  <c r="K23" i="4"/>
  <c r="K27" i="4" s="1"/>
  <c r="I23" i="4"/>
  <c r="I26" i="4" s="1"/>
  <c r="H23" i="4"/>
  <c r="H26" i="4" s="1"/>
  <c r="L18" i="4"/>
  <c r="M18" i="4" s="1"/>
  <c r="K18" i="4"/>
  <c r="K22" i="4" s="1"/>
  <c r="I21" i="4"/>
  <c r="H18" i="4"/>
  <c r="H21" i="4" s="1"/>
  <c r="J21" i="4" s="1"/>
  <c r="B2" i="4"/>
  <c r="F28" i="2"/>
  <c r="E28" i="2"/>
  <c r="D28" i="2"/>
  <c r="C28" i="2"/>
  <c r="F27" i="2"/>
  <c r="E27" i="2"/>
  <c r="D27" i="2"/>
  <c r="C27" i="2"/>
  <c r="F26" i="2"/>
  <c r="E26" i="2"/>
  <c r="D26" i="2"/>
  <c r="C26" i="2"/>
  <c r="F25" i="2"/>
  <c r="E25" i="2"/>
  <c r="D25" i="2"/>
  <c r="C25" i="2"/>
  <c r="F24" i="2"/>
  <c r="E24" i="2"/>
  <c r="D24" i="2"/>
  <c r="C24" i="2"/>
  <c r="F23" i="2"/>
  <c r="E23" i="2"/>
  <c r="D23" i="2"/>
  <c r="C23" i="2"/>
  <c r="G22" i="2"/>
  <c r="F22" i="2"/>
  <c r="E22" i="2"/>
  <c r="D22" i="2"/>
  <c r="C22" i="2"/>
  <c r="F21" i="2"/>
  <c r="E21" i="2"/>
  <c r="D21" i="2"/>
  <c r="C21" i="2"/>
  <c r="F20" i="2"/>
  <c r="E20" i="2"/>
  <c r="D20" i="2"/>
  <c r="C20" i="2"/>
  <c r="G19" i="2"/>
  <c r="F19" i="2"/>
  <c r="E19" i="2"/>
  <c r="D19" i="2"/>
  <c r="C19" i="2"/>
  <c r="F18" i="2"/>
  <c r="E18" i="2"/>
  <c r="D18" i="2"/>
  <c r="C18" i="2"/>
  <c r="F17" i="2"/>
  <c r="E17" i="2"/>
  <c r="D17" i="2"/>
  <c r="C17" i="2"/>
  <c r="F16" i="2"/>
  <c r="E16" i="2"/>
  <c r="D16" i="2"/>
  <c r="C16" i="2"/>
  <c r="G15" i="2"/>
  <c r="F15" i="2"/>
  <c r="E15" i="2"/>
  <c r="D15" i="2"/>
  <c r="C15" i="2"/>
  <c r="F14" i="2"/>
  <c r="E14" i="2"/>
  <c r="D14" i="2"/>
  <c r="C14" i="2"/>
  <c r="F13" i="2"/>
  <c r="E13" i="2"/>
  <c r="D13" i="2"/>
  <c r="C13" i="2"/>
  <c r="G12" i="2"/>
  <c r="F12" i="2"/>
  <c r="E12" i="2"/>
  <c r="D12" i="2"/>
  <c r="C12" i="2"/>
  <c r="F11" i="2"/>
  <c r="E11" i="2"/>
  <c r="D11" i="2"/>
  <c r="C11" i="2"/>
  <c r="F10" i="2"/>
  <c r="E10" i="2"/>
  <c r="D10" i="2"/>
  <c r="C10" i="2"/>
  <c r="F9" i="2"/>
  <c r="E9" i="2"/>
  <c r="D9" i="2"/>
  <c r="C9" i="2"/>
  <c r="F8" i="2"/>
  <c r="E8" i="2"/>
  <c r="D8" i="2"/>
  <c r="C8" i="2"/>
  <c r="G7" i="2"/>
  <c r="F7" i="2"/>
  <c r="E7" i="2"/>
  <c r="D7" i="2"/>
  <c r="C7" i="2"/>
  <c r="B2" i="2"/>
  <c r="J26" i="4" l="1"/>
  <c r="M28" i="4"/>
  <c r="I121" i="4"/>
  <c r="L134" i="4"/>
  <c r="I174" i="4"/>
  <c r="H44" i="4"/>
  <c r="I135" i="4"/>
  <c r="J135" i="4" s="1"/>
  <c r="I85" i="4"/>
  <c r="L129" i="4"/>
  <c r="M153" i="4"/>
  <c r="I175" i="4"/>
  <c r="I51" i="4"/>
  <c r="J93" i="4"/>
  <c r="L97" i="4" s="1"/>
  <c r="M97" i="4" s="1"/>
  <c r="M98" i="4"/>
  <c r="L130" i="4"/>
  <c r="J41" i="4"/>
  <c r="J173" i="4"/>
  <c r="H46" i="4"/>
  <c r="J53" i="4"/>
  <c r="L57" i="4" s="1"/>
  <c r="M57" i="4" s="1"/>
  <c r="J63" i="4"/>
  <c r="L67" i="4" s="1"/>
  <c r="M67" i="4" s="1"/>
  <c r="J73" i="4"/>
  <c r="H77" i="4" s="1"/>
  <c r="J83" i="4"/>
  <c r="J108" i="4"/>
  <c r="O108" i="4" s="1"/>
  <c r="L116" i="4"/>
  <c r="M116" i="4" s="1"/>
  <c r="N116" i="4" s="1"/>
  <c r="H121" i="4"/>
  <c r="J133" i="4"/>
  <c r="M148" i="4"/>
  <c r="H164" i="4"/>
  <c r="M180" i="4"/>
  <c r="O98" i="4"/>
  <c r="O158" i="4"/>
  <c r="O161" i="4"/>
  <c r="J168" i="4"/>
  <c r="J36" i="4"/>
  <c r="M38" i="4"/>
  <c r="N38" i="4" s="1"/>
  <c r="J43" i="4"/>
  <c r="I47" i="4" s="1"/>
  <c r="I86" i="4"/>
  <c r="J86" i="4" s="1"/>
  <c r="O86" i="4" s="1"/>
  <c r="M113" i="4"/>
  <c r="J123" i="4"/>
  <c r="I127" i="4" s="1"/>
  <c r="I146" i="4"/>
  <c r="N161" i="4"/>
  <c r="H165" i="4"/>
  <c r="M178" i="4"/>
  <c r="J50" i="4"/>
  <c r="J48" i="4"/>
  <c r="H84" i="4"/>
  <c r="H169" i="4"/>
  <c r="H51" i="4"/>
  <c r="J51" i="4" s="1"/>
  <c r="J58" i="4"/>
  <c r="J68" i="4"/>
  <c r="L72" i="4" s="1"/>
  <c r="M72" i="4" s="1"/>
  <c r="J78" i="4"/>
  <c r="I82" i="4" s="1"/>
  <c r="M108" i="4"/>
  <c r="N108" i="4" s="1"/>
  <c r="I115" i="4"/>
  <c r="I134" i="4"/>
  <c r="J148" i="4"/>
  <c r="I152" i="4" s="1"/>
  <c r="H166" i="4"/>
  <c r="J166" i="4" s="1"/>
  <c r="H171" i="4"/>
  <c r="M33" i="4"/>
  <c r="H49" i="4"/>
  <c r="J49" i="4" s="1"/>
  <c r="H85" i="4"/>
  <c r="J85" i="4" s="1"/>
  <c r="M103" i="4"/>
  <c r="N103" i="4" s="1"/>
  <c r="J113" i="4"/>
  <c r="H117" i="4" s="1"/>
  <c r="I116" i="4"/>
  <c r="J116" i="4" s="1"/>
  <c r="H119" i="4"/>
  <c r="J119" i="4" s="1"/>
  <c r="H124" i="4"/>
  <c r="H135" i="4"/>
  <c r="J143" i="4"/>
  <c r="I147" i="4" s="1"/>
  <c r="J158" i="4"/>
  <c r="M173" i="4"/>
  <c r="J178" i="4"/>
  <c r="I182" i="4" s="1"/>
  <c r="I69" i="8"/>
  <c r="J84" i="4"/>
  <c r="I38" i="5"/>
  <c r="I84" i="5"/>
  <c r="I79" i="5"/>
  <c r="I48" i="6"/>
  <c r="I23" i="8"/>
  <c r="I39" i="8"/>
  <c r="I129" i="8"/>
  <c r="I159" i="6"/>
  <c r="I69" i="7"/>
  <c r="I73" i="7"/>
  <c r="I49" i="6"/>
  <c r="I81" i="6"/>
  <c r="I24" i="8"/>
  <c r="I143" i="6"/>
  <c r="I63" i="7"/>
  <c r="I58" i="8"/>
  <c r="I144" i="6"/>
  <c r="I158" i="6"/>
  <c r="I68" i="7"/>
  <c r="I108" i="8"/>
  <c r="I131" i="8"/>
  <c r="I12" i="10"/>
  <c r="J46" i="4"/>
  <c r="I57" i="4"/>
  <c r="H57" i="4"/>
  <c r="I67" i="4"/>
  <c r="H67" i="4"/>
  <c r="I77" i="4"/>
  <c r="L77" i="4"/>
  <c r="M77" i="4" s="1"/>
  <c r="L87" i="4"/>
  <c r="M87" i="4" s="1"/>
  <c r="I87" i="4"/>
  <c r="H87" i="4"/>
  <c r="I112" i="4"/>
  <c r="H112" i="4"/>
  <c r="I97" i="4"/>
  <c r="H97" i="4"/>
  <c r="N86" i="4"/>
  <c r="L107" i="4"/>
  <c r="M107" i="4" s="1"/>
  <c r="I107" i="4"/>
  <c r="H107" i="4"/>
  <c r="N43" i="4"/>
  <c r="I52" i="4"/>
  <c r="H52" i="4"/>
  <c r="L52" i="4"/>
  <c r="M52" i="4" s="1"/>
  <c r="N23" i="4"/>
  <c r="I62" i="4"/>
  <c r="H62" i="4"/>
  <c r="L62" i="4"/>
  <c r="M62" i="4" s="1"/>
  <c r="I72" i="4"/>
  <c r="H72" i="4"/>
  <c r="L82" i="4"/>
  <c r="M82" i="4" s="1"/>
  <c r="O48" i="4"/>
  <c r="N48" i="4"/>
  <c r="L92" i="4"/>
  <c r="M92" i="4" s="1"/>
  <c r="I92" i="4"/>
  <c r="H92" i="4"/>
  <c r="L102" i="4"/>
  <c r="M102" i="4" s="1"/>
  <c r="I102" i="4"/>
  <c r="H102" i="4"/>
  <c r="M41" i="4"/>
  <c r="I19" i="4"/>
  <c r="I20" i="4"/>
  <c r="I24" i="4"/>
  <c r="I25" i="4"/>
  <c r="I29" i="4"/>
  <c r="I30" i="4"/>
  <c r="I34" i="4"/>
  <c r="I35" i="4"/>
  <c r="L49" i="4"/>
  <c r="M49" i="4" s="1"/>
  <c r="L50" i="4"/>
  <c r="M50" i="4" s="1"/>
  <c r="L51" i="4"/>
  <c r="M51" i="4" s="1"/>
  <c r="L54" i="4"/>
  <c r="L55" i="4"/>
  <c r="L59" i="4"/>
  <c r="L60" i="4"/>
  <c r="L64" i="4"/>
  <c r="L65" i="4"/>
  <c r="L69" i="4"/>
  <c r="L70" i="4"/>
  <c r="L74" i="4"/>
  <c r="L75" i="4"/>
  <c r="L79" i="4"/>
  <c r="L80" i="4"/>
  <c r="M83" i="4"/>
  <c r="M88" i="4"/>
  <c r="M93" i="4"/>
  <c r="L120" i="4"/>
  <c r="L122" i="4"/>
  <c r="M122" i="4" s="1"/>
  <c r="J138" i="4"/>
  <c r="H141" i="4"/>
  <c r="O163" i="4"/>
  <c r="N163" i="4"/>
  <c r="J171" i="4"/>
  <c r="J18" i="4"/>
  <c r="J23" i="4"/>
  <c r="J28" i="4"/>
  <c r="J33" i="4"/>
  <c r="O33" i="4" s="1"/>
  <c r="J38" i="4"/>
  <c r="L44" i="4"/>
  <c r="M44" i="4" s="1"/>
  <c r="L45" i="4"/>
  <c r="M45" i="4" s="1"/>
  <c r="L46" i="4"/>
  <c r="M46" i="4" s="1"/>
  <c r="L47" i="4"/>
  <c r="M47" i="4" s="1"/>
  <c r="M53" i="4"/>
  <c r="M58" i="4"/>
  <c r="M63" i="4"/>
  <c r="M68" i="4"/>
  <c r="M73" i="4"/>
  <c r="M78" i="4"/>
  <c r="N98" i="4"/>
  <c r="O118" i="4"/>
  <c r="N118" i="4"/>
  <c r="L125" i="4"/>
  <c r="I141" i="4"/>
  <c r="H21" i="5"/>
  <c r="G21" i="5"/>
  <c r="K21" i="5"/>
  <c r="H31" i="5"/>
  <c r="G31" i="5"/>
  <c r="K31" i="5"/>
  <c r="H41" i="5"/>
  <c r="G41" i="5"/>
  <c r="K41" i="5"/>
  <c r="L41" i="5" s="1"/>
  <c r="N42" i="5"/>
  <c r="M42" i="5"/>
  <c r="N55" i="5"/>
  <c r="M55" i="5"/>
  <c r="K19" i="4"/>
  <c r="K20" i="4"/>
  <c r="K21" i="4"/>
  <c r="K24" i="4"/>
  <c r="K25" i="4"/>
  <c r="K26" i="4"/>
  <c r="K29" i="4"/>
  <c r="K30" i="4"/>
  <c r="K31" i="4"/>
  <c r="M31" i="4" s="1"/>
  <c r="K34" i="4"/>
  <c r="K35" i="4"/>
  <c r="K36" i="4"/>
  <c r="M36" i="4" s="1"/>
  <c r="L39" i="4"/>
  <c r="M39" i="4" s="1"/>
  <c r="L40" i="4"/>
  <c r="M40" i="4" s="1"/>
  <c r="H115" i="4"/>
  <c r="J115" i="4" s="1"/>
  <c r="M123" i="4"/>
  <c r="J128" i="4"/>
  <c r="O128" i="4" s="1"/>
  <c r="I130" i="4"/>
  <c r="J130" i="4" s="1"/>
  <c r="H147" i="4"/>
  <c r="J147" i="4" s="1"/>
  <c r="L147" i="4"/>
  <c r="M147" i="4" s="1"/>
  <c r="I157" i="4"/>
  <c r="H157" i="4"/>
  <c r="L157" i="4"/>
  <c r="M157" i="4" s="1"/>
  <c r="L19" i="4"/>
  <c r="L20" i="4"/>
  <c r="L21" i="4"/>
  <c r="L24" i="4"/>
  <c r="L25" i="4"/>
  <c r="L26" i="4"/>
  <c r="L29" i="4"/>
  <c r="L30" i="4"/>
  <c r="L34" i="4"/>
  <c r="L35" i="4"/>
  <c r="H89" i="4"/>
  <c r="H90" i="4"/>
  <c r="H91" i="4"/>
  <c r="J91" i="4" s="1"/>
  <c r="H94" i="4"/>
  <c r="H95" i="4"/>
  <c r="H96" i="4"/>
  <c r="J96" i="4" s="1"/>
  <c r="H99" i="4"/>
  <c r="H100" i="4"/>
  <c r="H101" i="4"/>
  <c r="J101" i="4" s="1"/>
  <c r="H104" i="4"/>
  <c r="H105" i="4"/>
  <c r="H106" i="4"/>
  <c r="J106" i="4" s="1"/>
  <c r="H109" i="4"/>
  <c r="H110" i="4"/>
  <c r="H111" i="4"/>
  <c r="J111" i="4" s="1"/>
  <c r="H114" i="4"/>
  <c r="J114" i="4" s="1"/>
  <c r="J126" i="4"/>
  <c r="N138" i="4"/>
  <c r="N168" i="4"/>
  <c r="O168" i="4"/>
  <c r="N17" i="5"/>
  <c r="M17" i="5"/>
  <c r="N27" i="5"/>
  <c r="M27" i="5"/>
  <c r="N37" i="5"/>
  <c r="M37" i="5"/>
  <c r="H54" i="4"/>
  <c r="H55" i="4"/>
  <c r="H56" i="4"/>
  <c r="J56" i="4" s="1"/>
  <c r="H59" i="4"/>
  <c r="H60" i="4"/>
  <c r="H61" i="4"/>
  <c r="J61" i="4" s="1"/>
  <c r="H64" i="4"/>
  <c r="H65" i="4"/>
  <c r="H66" i="4"/>
  <c r="J66" i="4" s="1"/>
  <c r="H69" i="4"/>
  <c r="H70" i="4"/>
  <c r="H71" i="4"/>
  <c r="J71" i="4" s="1"/>
  <c r="H74" i="4"/>
  <c r="H75" i="4"/>
  <c r="H76" i="4"/>
  <c r="J76" i="4" s="1"/>
  <c r="H79" i="4"/>
  <c r="H80" i="4"/>
  <c r="H81" i="4"/>
  <c r="J81" i="4" s="1"/>
  <c r="I89" i="4"/>
  <c r="I90" i="4"/>
  <c r="I94" i="4"/>
  <c r="I95" i="4"/>
  <c r="I99" i="4"/>
  <c r="I100" i="4"/>
  <c r="I104" i="4"/>
  <c r="I105" i="4"/>
  <c r="I109" i="4"/>
  <c r="I110" i="4"/>
  <c r="K115" i="4"/>
  <c r="L119" i="4"/>
  <c r="I124" i="4"/>
  <c r="H131" i="4"/>
  <c r="L135" i="4"/>
  <c r="H139" i="4"/>
  <c r="L177" i="4"/>
  <c r="M177" i="4" s="1"/>
  <c r="I177" i="4"/>
  <c r="H177" i="4"/>
  <c r="N40" i="5"/>
  <c r="M40" i="5"/>
  <c r="N28" i="4"/>
  <c r="N33" i="4"/>
  <c r="H47" i="4"/>
  <c r="J47" i="4" s="1"/>
  <c r="I54" i="4"/>
  <c r="I55" i="4"/>
  <c r="I59" i="4"/>
  <c r="I60" i="4"/>
  <c r="I64" i="4"/>
  <c r="I65" i="4"/>
  <c r="I69" i="4"/>
  <c r="I70" i="4"/>
  <c r="I74" i="4"/>
  <c r="I75" i="4"/>
  <c r="I79" i="4"/>
  <c r="I80" i="4"/>
  <c r="K114" i="4"/>
  <c r="M114" i="4" s="1"/>
  <c r="L115" i="4"/>
  <c r="L124" i="4"/>
  <c r="N128" i="4"/>
  <c r="I131" i="4"/>
  <c r="H136" i="4"/>
  <c r="J136" i="4" s="1"/>
  <c r="I139" i="4"/>
  <c r="O143" i="4"/>
  <c r="N143" i="4"/>
  <c r="O181" i="4"/>
  <c r="N181" i="4"/>
  <c r="H26" i="5"/>
  <c r="G26" i="5"/>
  <c r="K26" i="5"/>
  <c r="H36" i="5"/>
  <c r="G36" i="5"/>
  <c r="K36" i="5"/>
  <c r="H39" i="4"/>
  <c r="H40" i="4"/>
  <c r="I44" i="4"/>
  <c r="J44" i="4" s="1"/>
  <c r="I45" i="4"/>
  <c r="J45" i="4" s="1"/>
  <c r="K89" i="4"/>
  <c r="K90" i="4"/>
  <c r="K91" i="4"/>
  <c r="M91" i="4" s="1"/>
  <c r="K94" i="4"/>
  <c r="K95" i="4"/>
  <c r="K96" i="4"/>
  <c r="M96" i="4" s="1"/>
  <c r="K99" i="4"/>
  <c r="K100" i="4"/>
  <c r="K101" i="4"/>
  <c r="M101" i="4" s="1"/>
  <c r="K104" i="4"/>
  <c r="K105" i="4"/>
  <c r="K106" i="4"/>
  <c r="M106" i="4" s="1"/>
  <c r="K109" i="4"/>
  <c r="K110" i="4"/>
  <c r="K111" i="4"/>
  <c r="M111" i="4" s="1"/>
  <c r="H120" i="4"/>
  <c r="J120" i="4" s="1"/>
  <c r="H122" i="4"/>
  <c r="J122" i="4" s="1"/>
  <c r="H129" i="4"/>
  <c r="J129" i="4" s="1"/>
  <c r="L131" i="4"/>
  <c r="O133" i="4"/>
  <c r="N133" i="4"/>
  <c r="H140" i="4"/>
  <c r="J140" i="4" s="1"/>
  <c r="I144" i="4"/>
  <c r="O153" i="4"/>
  <c r="H46" i="5"/>
  <c r="G46" i="5"/>
  <c r="K46" i="5"/>
  <c r="L46" i="5" s="1"/>
  <c r="H19" i="4"/>
  <c r="H20" i="4"/>
  <c r="H24" i="4"/>
  <c r="H25" i="4"/>
  <c r="H29" i="4"/>
  <c r="J29" i="4" s="1"/>
  <c r="H30" i="4"/>
  <c r="H34" i="4"/>
  <c r="J34" i="4" s="1"/>
  <c r="H35" i="4"/>
  <c r="I39" i="4"/>
  <c r="I40" i="4"/>
  <c r="K54" i="4"/>
  <c r="K55" i="4"/>
  <c r="M55" i="4" s="1"/>
  <c r="K56" i="4"/>
  <c r="M56" i="4" s="1"/>
  <c r="K59" i="4"/>
  <c r="M59" i="4" s="1"/>
  <c r="K60" i="4"/>
  <c r="M60" i="4" s="1"/>
  <c r="K61" i="4"/>
  <c r="M61" i="4" s="1"/>
  <c r="K64" i="4"/>
  <c r="K65" i="4"/>
  <c r="K66" i="4"/>
  <c r="M66" i="4" s="1"/>
  <c r="K69" i="4"/>
  <c r="K70" i="4"/>
  <c r="K71" i="4"/>
  <c r="M71" i="4" s="1"/>
  <c r="K74" i="4"/>
  <c r="M74" i="4" s="1"/>
  <c r="K75" i="4"/>
  <c r="M75" i="4" s="1"/>
  <c r="K76" i="4"/>
  <c r="M76" i="4" s="1"/>
  <c r="K79" i="4"/>
  <c r="M79" i="4" s="1"/>
  <c r="K80" i="4"/>
  <c r="M80" i="4" s="1"/>
  <c r="K81" i="4"/>
  <c r="M81" i="4" s="1"/>
  <c r="L84" i="4"/>
  <c r="M84" i="4" s="1"/>
  <c r="L85" i="4"/>
  <c r="M85" i="4" s="1"/>
  <c r="L89" i="4"/>
  <c r="L90" i="4"/>
  <c r="L94" i="4"/>
  <c r="L95" i="4"/>
  <c r="L99" i="4"/>
  <c r="L100" i="4"/>
  <c r="L104" i="4"/>
  <c r="L105" i="4"/>
  <c r="L109" i="4"/>
  <c r="L110" i="4"/>
  <c r="H125" i="4"/>
  <c r="J125" i="4" s="1"/>
  <c r="H134" i="4"/>
  <c r="J134" i="4" s="1"/>
  <c r="L136" i="4"/>
  <c r="L162" i="4"/>
  <c r="M162" i="4" s="1"/>
  <c r="I162" i="4"/>
  <c r="H162" i="4"/>
  <c r="M167" i="4"/>
  <c r="O173" i="4"/>
  <c r="N22" i="5"/>
  <c r="M22" i="5"/>
  <c r="N32" i="5"/>
  <c r="M32" i="5"/>
  <c r="L139" i="4"/>
  <c r="L140" i="4"/>
  <c r="L141" i="4"/>
  <c r="L144" i="4"/>
  <c r="L145" i="4"/>
  <c r="L146" i="4"/>
  <c r="L149" i="4"/>
  <c r="L150" i="4"/>
  <c r="L154" i="4"/>
  <c r="L155" i="4"/>
  <c r="H174" i="4"/>
  <c r="J174" i="4" s="1"/>
  <c r="H175" i="4"/>
  <c r="J175" i="4" s="1"/>
  <c r="H176" i="4"/>
  <c r="J176" i="4" s="1"/>
  <c r="O176" i="4" s="1"/>
  <c r="H179" i="4"/>
  <c r="H180" i="4"/>
  <c r="J180" i="4" s="1"/>
  <c r="O180" i="4" s="1"/>
  <c r="J18" i="5"/>
  <c r="J19" i="5"/>
  <c r="J20" i="5"/>
  <c r="L20" i="5" s="1"/>
  <c r="J21" i="5"/>
  <c r="L21" i="5" s="1"/>
  <c r="J23" i="5"/>
  <c r="L23" i="5" s="1"/>
  <c r="J24" i="5"/>
  <c r="J25" i="5"/>
  <c r="L25" i="5" s="1"/>
  <c r="J26" i="5"/>
  <c r="L26" i="5" s="1"/>
  <c r="J28" i="5"/>
  <c r="L28" i="5" s="1"/>
  <c r="J29" i="5"/>
  <c r="J30" i="5"/>
  <c r="L30" i="5" s="1"/>
  <c r="J31" i="5"/>
  <c r="L31" i="5" s="1"/>
  <c r="J33" i="5"/>
  <c r="L33" i="5" s="1"/>
  <c r="J34" i="5"/>
  <c r="J35" i="5"/>
  <c r="L35" i="5" s="1"/>
  <c r="J36" i="5"/>
  <c r="L36" i="5" s="1"/>
  <c r="K38" i="5"/>
  <c r="L38" i="5" s="1"/>
  <c r="K39" i="5"/>
  <c r="L39" i="5" s="1"/>
  <c r="K43" i="5"/>
  <c r="K44" i="5"/>
  <c r="K45" i="5"/>
  <c r="L51" i="5"/>
  <c r="I57" i="5"/>
  <c r="G60" i="5"/>
  <c r="I60" i="5" s="1"/>
  <c r="N60" i="5" s="1"/>
  <c r="G59" i="5"/>
  <c r="I59" i="5" s="1"/>
  <c r="G58" i="5"/>
  <c r="I58" i="5" s="1"/>
  <c r="I30" i="6"/>
  <c r="N50" i="6"/>
  <c r="M50" i="6"/>
  <c r="K71" i="6"/>
  <c r="H71" i="6"/>
  <c r="G71" i="6"/>
  <c r="N158" i="4"/>
  <c r="I179" i="4"/>
  <c r="K18" i="5"/>
  <c r="K19" i="5"/>
  <c r="K23" i="5"/>
  <c r="K24" i="5"/>
  <c r="K28" i="5"/>
  <c r="K29" i="5"/>
  <c r="K33" i="5"/>
  <c r="K34" i="5"/>
  <c r="N80" i="5"/>
  <c r="M80" i="5"/>
  <c r="I25" i="6"/>
  <c r="I45" i="6"/>
  <c r="N57" i="6"/>
  <c r="M57" i="6"/>
  <c r="L71" i="6"/>
  <c r="N148" i="4"/>
  <c r="N153" i="4"/>
  <c r="H167" i="4"/>
  <c r="I169" i="4"/>
  <c r="I170" i="4"/>
  <c r="J170" i="4" s="1"/>
  <c r="I50" i="5"/>
  <c r="N52" i="5"/>
  <c r="M52" i="5"/>
  <c r="M77" i="5"/>
  <c r="M27" i="6"/>
  <c r="N32" i="6"/>
  <c r="M32" i="6"/>
  <c r="M67" i="6"/>
  <c r="N67" i="6"/>
  <c r="H159" i="4"/>
  <c r="H160" i="4"/>
  <c r="J160" i="4" s="1"/>
  <c r="O160" i="4" s="1"/>
  <c r="I164" i="4"/>
  <c r="J164" i="4" s="1"/>
  <c r="I165" i="4"/>
  <c r="I167" i="4"/>
  <c r="K179" i="4"/>
  <c r="M48" i="5"/>
  <c r="N57" i="5"/>
  <c r="M22" i="6"/>
  <c r="H41" i="6"/>
  <c r="G41" i="6"/>
  <c r="N37" i="6"/>
  <c r="K41" i="6"/>
  <c r="L41" i="6" s="1"/>
  <c r="I46" i="6"/>
  <c r="K56" i="6"/>
  <c r="H56" i="6"/>
  <c r="G56" i="6"/>
  <c r="H144" i="4"/>
  <c r="J144" i="4" s="1"/>
  <c r="H145" i="4"/>
  <c r="J145" i="4" s="1"/>
  <c r="H146" i="4"/>
  <c r="H149" i="4"/>
  <c r="H150" i="4"/>
  <c r="H151" i="4"/>
  <c r="J151" i="4" s="1"/>
  <c r="H154" i="4"/>
  <c r="J154" i="4" s="1"/>
  <c r="H155" i="4"/>
  <c r="H156" i="4"/>
  <c r="J156" i="4" s="1"/>
  <c r="I159" i="4"/>
  <c r="L174" i="4"/>
  <c r="M174" i="4" s="1"/>
  <c r="L175" i="4"/>
  <c r="M175" i="4" s="1"/>
  <c r="L179" i="4"/>
  <c r="G39" i="5"/>
  <c r="I39" i="5" s="1"/>
  <c r="G43" i="5"/>
  <c r="G44" i="5"/>
  <c r="G45" i="5"/>
  <c r="I45" i="5" s="1"/>
  <c r="K50" i="5"/>
  <c r="L50" i="5" s="1"/>
  <c r="M57" i="5"/>
  <c r="N42" i="6"/>
  <c r="M42" i="6"/>
  <c r="K66" i="6"/>
  <c r="H66" i="6"/>
  <c r="G66" i="6"/>
  <c r="I149" i="4"/>
  <c r="I150" i="4"/>
  <c r="I154" i="4"/>
  <c r="I155" i="4"/>
  <c r="L169" i="4"/>
  <c r="M169" i="4" s="1"/>
  <c r="L170" i="4"/>
  <c r="M170" i="4" s="1"/>
  <c r="L171" i="4"/>
  <c r="M171" i="4" s="1"/>
  <c r="L172" i="4"/>
  <c r="M172" i="4" s="1"/>
  <c r="G18" i="5"/>
  <c r="G19" i="5"/>
  <c r="G20" i="5"/>
  <c r="I20" i="5" s="1"/>
  <c r="G23" i="5"/>
  <c r="G24" i="5"/>
  <c r="G25" i="5"/>
  <c r="I25" i="5" s="1"/>
  <c r="G28" i="5"/>
  <c r="G29" i="5"/>
  <c r="G30" i="5"/>
  <c r="I30" i="5" s="1"/>
  <c r="G33" i="5"/>
  <c r="G34" i="5"/>
  <c r="G35" i="5"/>
  <c r="I35" i="5" s="1"/>
  <c r="H43" i="5"/>
  <c r="H44" i="5"/>
  <c r="M60" i="5"/>
  <c r="K71" i="5"/>
  <c r="L71" i="5" s="1"/>
  <c r="H71" i="5"/>
  <c r="G71" i="5"/>
  <c r="G91" i="5"/>
  <c r="K91" i="5"/>
  <c r="H91" i="5"/>
  <c r="K51" i="6"/>
  <c r="L51" i="6" s="1"/>
  <c r="H51" i="6"/>
  <c r="G51" i="6"/>
  <c r="N49" i="6"/>
  <c r="M49" i="6"/>
  <c r="L56" i="6"/>
  <c r="L164" i="4"/>
  <c r="M164" i="4" s="1"/>
  <c r="L165" i="4"/>
  <c r="M165" i="4" s="1"/>
  <c r="L166" i="4"/>
  <c r="M166" i="4" s="1"/>
  <c r="N173" i="4"/>
  <c r="H18" i="5"/>
  <c r="H19" i="5"/>
  <c r="H23" i="5"/>
  <c r="H24" i="5"/>
  <c r="H28" i="5"/>
  <c r="H29" i="5"/>
  <c r="H33" i="5"/>
  <c r="H34" i="5"/>
  <c r="M47" i="5"/>
  <c r="L49" i="5"/>
  <c r="M82" i="5"/>
  <c r="N62" i="6"/>
  <c r="M62" i="6"/>
  <c r="K119" i="4"/>
  <c r="K120" i="4"/>
  <c r="M120" i="4" s="1"/>
  <c r="K121" i="4"/>
  <c r="M121" i="4" s="1"/>
  <c r="K124" i="4"/>
  <c r="M124" i="4" s="1"/>
  <c r="K125" i="4"/>
  <c r="M125" i="4" s="1"/>
  <c r="K126" i="4"/>
  <c r="M126" i="4" s="1"/>
  <c r="K129" i="4"/>
  <c r="M129" i="4" s="1"/>
  <c r="K130" i="4"/>
  <c r="K131" i="4"/>
  <c r="K134" i="4"/>
  <c r="M134" i="4" s="1"/>
  <c r="K135" i="4"/>
  <c r="K136" i="4"/>
  <c r="M136" i="4" s="1"/>
  <c r="K139" i="4"/>
  <c r="M139" i="4" s="1"/>
  <c r="K140" i="4"/>
  <c r="K141" i="4"/>
  <c r="M141" i="4" s="1"/>
  <c r="K144" i="4"/>
  <c r="M144" i="4" s="1"/>
  <c r="K145" i="4"/>
  <c r="M145" i="4" s="1"/>
  <c r="K146" i="4"/>
  <c r="K149" i="4"/>
  <c r="K150" i="4"/>
  <c r="M150" i="4" s="1"/>
  <c r="K151" i="4"/>
  <c r="M151" i="4" s="1"/>
  <c r="K154" i="4"/>
  <c r="K155" i="4"/>
  <c r="M155" i="4" s="1"/>
  <c r="K156" i="4"/>
  <c r="M156" i="4" s="1"/>
  <c r="L159" i="4"/>
  <c r="M159" i="4" s="1"/>
  <c r="J43" i="5"/>
  <c r="L43" i="5" s="1"/>
  <c r="J44" i="5"/>
  <c r="L44" i="5" s="1"/>
  <c r="J45" i="5"/>
  <c r="L45" i="5" s="1"/>
  <c r="K49" i="5"/>
  <c r="G51" i="5"/>
  <c r="I51" i="5" s="1"/>
  <c r="K56" i="5"/>
  <c r="L56" i="5" s="1"/>
  <c r="H56" i="5"/>
  <c r="G54" i="5"/>
  <c r="I54" i="5" s="1"/>
  <c r="G56" i="5"/>
  <c r="K66" i="5"/>
  <c r="L66" i="5" s="1"/>
  <c r="H66" i="5"/>
  <c r="G66" i="5"/>
  <c r="N67" i="5"/>
  <c r="M67" i="5"/>
  <c r="N72" i="5"/>
  <c r="M72" i="5"/>
  <c r="L76" i="5"/>
  <c r="L89" i="5"/>
  <c r="M17" i="6"/>
  <c r="H36" i="6"/>
  <c r="G36" i="6"/>
  <c r="K36" i="6"/>
  <c r="L36" i="6" s="1"/>
  <c r="K61" i="6"/>
  <c r="L61" i="6" s="1"/>
  <c r="H61" i="6"/>
  <c r="G61" i="6"/>
  <c r="I61" i="6" s="1"/>
  <c r="G68" i="5"/>
  <c r="G69" i="5"/>
  <c r="G70" i="5"/>
  <c r="I70" i="5" s="1"/>
  <c r="H73" i="5"/>
  <c r="I73" i="5" s="1"/>
  <c r="H74" i="5"/>
  <c r="I74" i="5" s="1"/>
  <c r="H76" i="5"/>
  <c r="I76" i="5" s="1"/>
  <c r="I82" i="5"/>
  <c r="M85" i="5"/>
  <c r="M87" i="5"/>
  <c r="H18" i="6"/>
  <c r="H19" i="6"/>
  <c r="I27" i="6"/>
  <c r="N27" i="6" s="1"/>
  <c r="J33" i="6"/>
  <c r="J34" i="6"/>
  <c r="J35" i="6"/>
  <c r="J38" i="6"/>
  <c r="J39" i="6"/>
  <c r="J40" i="6"/>
  <c r="L40" i="6" s="1"/>
  <c r="K43" i="6"/>
  <c r="L43" i="6" s="1"/>
  <c r="K44" i="6"/>
  <c r="L44" i="6" s="1"/>
  <c r="K45" i="6"/>
  <c r="L45" i="6" s="1"/>
  <c r="K46" i="6"/>
  <c r="L46" i="6" s="1"/>
  <c r="L47" i="6"/>
  <c r="L52" i="6"/>
  <c r="I75" i="6"/>
  <c r="N87" i="6"/>
  <c r="M87" i="6"/>
  <c r="M107" i="6"/>
  <c r="N107" i="6"/>
  <c r="M111" i="6"/>
  <c r="N130" i="6"/>
  <c r="M130" i="6"/>
  <c r="N137" i="6"/>
  <c r="M137" i="6"/>
  <c r="H146" i="6"/>
  <c r="G146" i="6"/>
  <c r="K146" i="6"/>
  <c r="L146" i="6" s="1"/>
  <c r="G63" i="5"/>
  <c r="G64" i="5"/>
  <c r="G65" i="5"/>
  <c r="I65" i="5" s="1"/>
  <c r="H68" i="5"/>
  <c r="H69" i="5"/>
  <c r="I77" i="5"/>
  <c r="K83" i="5"/>
  <c r="L83" i="5" s="1"/>
  <c r="K84" i="5"/>
  <c r="L84" i="5" s="1"/>
  <c r="I17" i="6"/>
  <c r="I22" i="6"/>
  <c r="N22" i="6" s="1"/>
  <c r="K28" i="6"/>
  <c r="L28" i="6" s="1"/>
  <c r="K29" i="6"/>
  <c r="L29" i="6" s="1"/>
  <c r="K30" i="6"/>
  <c r="L30" i="6" s="1"/>
  <c r="K33" i="6"/>
  <c r="K34" i="6"/>
  <c r="K35" i="6"/>
  <c r="K38" i="6"/>
  <c r="K39" i="6"/>
  <c r="G68" i="6"/>
  <c r="I68" i="6" s="1"/>
  <c r="G69" i="6"/>
  <c r="I69" i="6" s="1"/>
  <c r="G70" i="6"/>
  <c r="I70" i="6" s="1"/>
  <c r="I72" i="6"/>
  <c r="N72" i="6" s="1"/>
  <c r="L81" i="6"/>
  <c r="K84" i="6"/>
  <c r="N90" i="6"/>
  <c r="M90" i="6"/>
  <c r="K101" i="6"/>
  <c r="H101" i="6"/>
  <c r="G101" i="6"/>
  <c r="I101" i="6" s="1"/>
  <c r="K116" i="6"/>
  <c r="H116" i="6"/>
  <c r="G116" i="6"/>
  <c r="N122" i="6"/>
  <c r="M122" i="6"/>
  <c r="N132" i="6"/>
  <c r="M132" i="6"/>
  <c r="K156" i="6"/>
  <c r="H156" i="6"/>
  <c r="G156" i="6"/>
  <c r="M161" i="6"/>
  <c r="H63" i="5"/>
  <c r="H64" i="5"/>
  <c r="K78" i="5"/>
  <c r="L78" i="5" s="1"/>
  <c r="K79" i="5"/>
  <c r="L79" i="5" s="1"/>
  <c r="G88" i="5"/>
  <c r="G89" i="5"/>
  <c r="I89" i="5" s="1"/>
  <c r="J91" i="5"/>
  <c r="L91" i="5" s="1"/>
  <c r="J18" i="6"/>
  <c r="J19" i="6"/>
  <c r="J20" i="6"/>
  <c r="L20" i="6" s="1"/>
  <c r="J21" i="6"/>
  <c r="K23" i="6"/>
  <c r="L23" i="6" s="1"/>
  <c r="K24" i="6"/>
  <c r="L24" i="6" s="1"/>
  <c r="K25" i="6"/>
  <c r="L25" i="6" s="1"/>
  <c r="G63" i="6"/>
  <c r="G64" i="6"/>
  <c r="G65" i="6"/>
  <c r="I65" i="6" s="1"/>
  <c r="H86" i="6"/>
  <c r="G86" i="6"/>
  <c r="L116" i="6"/>
  <c r="N145" i="6"/>
  <c r="M145" i="6"/>
  <c r="L156" i="6"/>
  <c r="K166" i="6"/>
  <c r="L166" i="6" s="1"/>
  <c r="H166" i="6"/>
  <c r="G166" i="6"/>
  <c r="K73" i="5"/>
  <c r="L73" i="5" s="1"/>
  <c r="K74" i="5"/>
  <c r="L74" i="5" s="1"/>
  <c r="K75" i="5"/>
  <c r="L75" i="5" s="1"/>
  <c r="H88" i="5"/>
  <c r="J90" i="5"/>
  <c r="L90" i="5" s="1"/>
  <c r="K18" i="6"/>
  <c r="K19" i="6"/>
  <c r="G53" i="6"/>
  <c r="G54" i="6"/>
  <c r="G55" i="6"/>
  <c r="I55" i="6" s="1"/>
  <c r="H63" i="6"/>
  <c r="H64" i="6"/>
  <c r="M72" i="6"/>
  <c r="K85" i="6"/>
  <c r="I92" i="6"/>
  <c r="G95" i="6"/>
  <c r="I95" i="6" s="1"/>
  <c r="G94" i="6"/>
  <c r="I94" i="6" s="1"/>
  <c r="G93" i="6"/>
  <c r="I93" i="6" s="1"/>
  <c r="L101" i="6"/>
  <c r="N112" i="6"/>
  <c r="M112" i="6"/>
  <c r="K121" i="6"/>
  <c r="H121" i="6"/>
  <c r="G121" i="6"/>
  <c r="N142" i="6"/>
  <c r="N152" i="6"/>
  <c r="M152" i="6"/>
  <c r="N170" i="6"/>
  <c r="M170" i="6"/>
  <c r="N184" i="6"/>
  <c r="M184" i="6"/>
  <c r="H48" i="5"/>
  <c r="I48" i="5" s="1"/>
  <c r="N48" i="5" s="1"/>
  <c r="H49" i="5"/>
  <c r="I49" i="5" s="1"/>
  <c r="J63" i="5"/>
  <c r="J64" i="5"/>
  <c r="L64" i="5" s="1"/>
  <c r="J65" i="5"/>
  <c r="L65" i="5" s="1"/>
  <c r="K68" i="5"/>
  <c r="L68" i="5" s="1"/>
  <c r="K69" i="5"/>
  <c r="L69" i="5" s="1"/>
  <c r="K70" i="5"/>
  <c r="L70" i="5" s="1"/>
  <c r="H53" i="6"/>
  <c r="H54" i="6"/>
  <c r="H74" i="6"/>
  <c r="I74" i="6" s="1"/>
  <c r="N78" i="6"/>
  <c r="L80" i="6"/>
  <c r="L82" i="6"/>
  <c r="N97" i="6"/>
  <c r="L109" i="6"/>
  <c r="N162" i="6"/>
  <c r="M162" i="6"/>
  <c r="K58" i="5"/>
  <c r="L58" i="5" s="1"/>
  <c r="K59" i="5"/>
  <c r="L59" i="5" s="1"/>
  <c r="K63" i="5"/>
  <c r="K64" i="5"/>
  <c r="G83" i="5"/>
  <c r="J88" i="5"/>
  <c r="G28" i="6"/>
  <c r="G29" i="6"/>
  <c r="G33" i="6"/>
  <c r="G34" i="6"/>
  <c r="G35" i="6"/>
  <c r="I35" i="6" s="1"/>
  <c r="G38" i="6"/>
  <c r="G39" i="6"/>
  <c r="G40" i="6"/>
  <c r="I40" i="6" s="1"/>
  <c r="H43" i="6"/>
  <c r="I43" i="6" s="1"/>
  <c r="H44" i="6"/>
  <c r="I44" i="6" s="1"/>
  <c r="J63" i="6"/>
  <c r="L63" i="6" s="1"/>
  <c r="J64" i="6"/>
  <c r="L64" i="6" s="1"/>
  <c r="J65" i="6"/>
  <c r="L65" i="6" s="1"/>
  <c r="J66" i="6"/>
  <c r="L66" i="6" s="1"/>
  <c r="K68" i="6"/>
  <c r="L68" i="6" s="1"/>
  <c r="K69" i="6"/>
  <c r="L69" i="6" s="1"/>
  <c r="K70" i="6"/>
  <c r="L70" i="6" s="1"/>
  <c r="K86" i="6"/>
  <c r="H91" i="6"/>
  <c r="I91" i="6" s="1"/>
  <c r="K91" i="6"/>
  <c r="L91" i="6" s="1"/>
  <c r="N117" i="6"/>
  <c r="M117" i="6"/>
  <c r="K53" i="5"/>
  <c r="L53" i="5" s="1"/>
  <c r="K54" i="5"/>
  <c r="L54" i="5" s="1"/>
  <c r="G78" i="5"/>
  <c r="I78" i="5" s="1"/>
  <c r="H83" i="5"/>
  <c r="K88" i="5"/>
  <c r="G23" i="6"/>
  <c r="G24" i="6"/>
  <c r="H28" i="6"/>
  <c r="H29" i="6"/>
  <c r="H33" i="6"/>
  <c r="H34" i="6"/>
  <c r="H38" i="6"/>
  <c r="H39" i="6"/>
  <c r="J53" i="6"/>
  <c r="J54" i="6"/>
  <c r="L54" i="6" s="1"/>
  <c r="J55" i="6"/>
  <c r="L55" i="6" s="1"/>
  <c r="K58" i="6"/>
  <c r="L58" i="6" s="1"/>
  <c r="K59" i="6"/>
  <c r="L59" i="6" s="1"/>
  <c r="K60" i="6"/>
  <c r="L60" i="6" s="1"/>
  <c r="K63" i="6"/>
  <c r="K64" i="6"/>
  <c r="H73" i="6"/>
  <c r="I73" i="6" s="1"/>
  <c r="M77" i="6"/>
  <c r="L95" i="6"/>
  <c r="H141" i="6"/>
  <c r="G141" i="6"/>
  <c r="K141" i="6"/>
  <c r="L141" i="6" s="1"/>
  <c r="K151" i="6"/>
  <c r="L151" i="6" s="1"/>
  <c r="H151" i="6"/>
  <c r="G151" i="6"/>
  <c r="N147" i="6"/>
  <c r="M157" i="6"/>
  <c r="N157" i="6"/>
  <c r="G18" i="6"/>
  <c r="I18" i="6" s="1"/>
  <c r="G19" i="6"/>
  <c r="I19" i="6" s="1"/>
  <c r="H23" i="6"/>
  <c r="H24" i="6"/>
  <c r="K48" i="6"/>
  <c r="L48" i="6" s="1"/>
  <c r="K53" i="6"/>
  <c r="K54" i="6"/>
  <c r="N77" i="6"/>
  <c r="L79" i="6"/>
  <c r="L99" i="6"/>
  <c r="K126" i="6"/>
  <c r="H126" i="6"/>
  <c r="G126" i="6"/>
  <c r="J83" i="6"/>
  <c r="L83" i="6" s="1"/>
  <c r="J84" i="6"/>
  <c r="L84" i="6" s="1"/>
  <c r="J85" i="6"/>
  <c r="L85" i="6" s="1"/>
  <c r="J86" i="6"/>
  <c r="K88" i="6"/>
  <c r="L88" i="6" s="1"/>
  <c r="K89" i="6"/>
  <c r="L89" i="6" s="1"/>
  <c r="L92" i="6"/>
  <c r="G113" i="6"/>
  <c r="I113" i="6" s="1"/>
  <c r="G114" i="6"/>
  <c r="I114" i="6" s="1"/>
  <c r="G115" i="6"/>
  <c r="I115" i="6" s="1"/>
  <c r="G118" i="6"/>
  <c r="G119" i="6"/>
  <c r="G120" i="6"/>
  <c r="I120" i="6" s="1"/>
  <c r="G123" i="6"/>
  <c r="G124" i="6"/>
  <c r="I124" i="6" s="1"/>
  <c r="H128" i="6"/>
  <c r="H129" i="6"/>
  <c r="K143" i="6"/>
  <c r="L143" i="6" s="1"/>
  <c r="K144" i="6"/>
  <c r="L144" i="6" s="1"/>
  <c r="G163" i="6"/>
  <c r="I163" i="6" s="1"/>
  <c r="G164" i="6"/>
  <c r="I164" i="6" s="1"/>
  <c r="G165" i="6"/>
  <c r="I165" i="6" s="1"/>
  <c r="H168" i="6"/>
  <c r="I168" i="6" s="1"/>
  <c r="H183" i="6"/>
  <c r="N185" i="6"/>
  <c r="M185" i="6"/>
  <c r="G191" i="6"/>
  <c r="K21" i="7"/>
  <c r="L21" i="7" s="1"/>
  <c r="H21" i="7"/>
  <c r="G21" i="7"/>
  <c r="M70" i="7"/>
  <c r="H118" i="6"/>
  <c r="H119" i="6"/>
  <c r="H123" i="6"/>
  <c r="K138" i="6"/>
  <c r="L138" i="6" s="1"/>
  <c r="K139" i="6"/>
  <c r="L139" i="6" s="1"/>
  <c r="K140" i="6"/>
  <c r="L140" i="6" s="1"/>
  <c r="M147" i="6"/>
  <c r="H191" i="6"/>
  <c r="M57" i="7"/>
  <c r="M79" i="7"/>
  <c r="K73" i="6"/>
  <c r="L73" i="6" s="1"/>
  <c r="K74" i="6"/>
  <c r="L74" i="6" s="1"/>
  <c r="K75" i="6"/>
  <c r="L75" i="6" s="1"/>
  <c r="G98" i="6"/>
  <c r="G99" i="6"/>
  <c r="G100" i="6"/>
  <c r="I100" i="6" s="1"/>
  <c r="G103" i="6"/>
  <c r="G104" i="6"/>
  <c r="G106" i="6"/>
  <c r="H108" i="6"/>
  <c r="I108" i="6" s="1"/>
  <c r="H109" i="6"/>
  <c r="I109" i="6" s="1"/>
  <c r="H111" i="6"/>
  <c r="I111" i="6" s="1"/>
  <c r="N111" i="6" s="1"/>
  <c r="I127" i="6"/>
  <c r="N127" i="6" s="1"/>
  <c r="K133" i="6"/>
  <c r="L133" i="6" s="1"/>
  <c r="K134" i="6"/>
  <c r="L134" i="6" s="1"/>
  <c r="K135" i="6"/>
  <c r="L135" i="6" s="1"/>
  <c r="K136" i="6"/>
  <c r="L136" i="6" s="1"/>
  <c r="M142" i="6"/>
  <c r="H161" i="6"/>
  <c r="I161" i="6" s="1"/>
  <c r="N161" i="6" s="1"/>
  <c r="I167" i="6"/>
  <c r="N167" i="6" s="1"/>
  <c r="N172" i="6"/>
  <c r="L191" i="6"/>
  <c r="H98" i="6"/>
  <c r="H99" i="6"/>
  <c r="H103" i="6"/>
  <c r="H104" i="6"/>
  <c r="H106" i="6"/>
  <c r="J118" i="6"/>
  <c r="L118" i="6" s="1"/>
  <c r="J119" i="6"/>
  <c r="L119" i="6" s="1"/>
  <c r="J120" i="6"/>
  <c r="L120" i="6" s="1"/>
  <c r="J121" i="6"/>
  <c r="L121" i="6" s="1"/>
  <c r="J123" i="6"/>
  <c r="J124" i="6"/>
  <c r="L124" i="6" s="1"/>
  <c r="J125" i="6"/>
  <c r="L125" i="6" s="1"/>
  <c r="J126" i="6"/>
  <c r="K128" i="6"/>
  <c r="L128" i="6" s="1"/>
  <c r="K129" i="6"/>
  <c r="L129" i="6" s="1"/>
  <c r="G148" i="6"/>
  <c r="I148" i="6" s="1"/>
  <c r="G149" i="6"/>
  <c r="I149" i="6" s="1"/>
  <c r="G150" i="6"/>
  <c r="I150" i="6" s="1"/>
  <c r="N150" i="6" s="1"/>
  <c r="H153" i="6"/>
  <c r="I153" i="6" s="1"/>
  <c r="H154" i="6"/>
  <c r="I154" i="6" s="1"/>
  <c r="M172" i="6"/>
  <c r="M17" i="7"/>
  <c r="N17" i="7"/>
  <c r="M62" i="7"/>
  <c r="K113" i="6"/>
  <c r="L113" i="6" s="1"/>
  <c r="K114" i="6"/>
  <c r="L114" i="6" s="1"/>
  <c r="K115" i="6"/>
  <c r="L115" i="6" s="1"/>
  <c r="K118" i="6"/>
  <c r="K119" i="6"/>
  <c r="K123" i="6"/>
  <c r="K163" i="6"/>
  <c r="L163" i="6" s="1"/>
  <c r="K164" i="6"/>
  <c r="L164" i="6" s="1"/>
  <c r="K165" i="6"/>
  <c r="L165" i="6" s="1"/>
  <c r="I177" i="6"/>
  <c r="G179" i="6"/>
  <c r="G178" i="6"/>
  <c r="N180" i="6"/>
  <c r="M180" i="6"/>
  <c r="H186" i="6"/>
  <c r="G186" i="6"/>
  <c r="N187" i="6"/>
  <c r="K26" i="7"/>
  <c r="L26" i="7" s="1"/>
  <c r="H26" i="7"/>
  <c r="G26" i="7"/>
  <c r="H41" i="7"/>
  <c r="G41" i="7"/>
  <c r="K41" i="7"/>
  <c r="L41" i="7" s="1"/>
  <c r="M50" i="7"/>
  <c r="G83" i="6"/>
  <c r="G84" i="6"/>
  <c r="G85" i="6"/>
  <c r="I85" i="6" s="1"/>
  <c r="H88" i="6"/>
  <c r="I88" i="6" s="1"/>
  <c r="H89" i="6"/>
  <c r="I89" i="6" s="1"/>
  <c r="J103" i="6"/>
  <c r="J104" i="6"/>
  <c r="J105" i="6"/>
  <c r="L105" i="6" s="1"/>
  <c r="J106" i="6"/>
  <c r="L106" i="6" s="1"/>
  <c r="K108" i="6"/>
  <c r="L108" i="6" s="1"/>
  <c r="K109" i="6"/>
  <c r="K110" i="6"/>
  <c r="L110" i="6" s="1"/>
  <c r="M127" i="6"/>
  <c r="K158" i="6"/>
  <c r="L158" i="6" s="1"/>
  <c r="K159" i="6"/>
  <c r="L159" i="6" s="1"/>
  <c r="K160" i="6"/>
  <c r="L160" i="6" s="1"/>
  <c r="M167" i="6"/>
  <c r="G174" i="6"/>
  <c r="I174" i="6" s="1"/>
  <c r="N174" i="6" s="1"/>
  <c r="G173" i="6"/>
  <c r="I173" i="6" s="1"/>
  <c r="H179" i="6"/>
  <c r="H178" i="6"/>
  <c r="M187" i="6"/>
  <c r="K36" i="7"/>
  <c r="L36" i="7" s="1"/>
  <c r="H36" i="7"/>
  <c r="G36" i="7"/>
  <c r="M39" i="7"/>
  <c r="L59" i="7"/>
  <c r="N80" i="7"/>
  <c r="M80" i="7"/>
  <c r="H83" i="6"/>
  <c r="H84" i="6"/>
  <c r="K98" i="6"/>
  <c r="L98" i="6" s="1"/>
  <c r="K99" i="6"/>
  <c r="K100" i="6"/>
  <c r="L100" i="6" s="1"/>
  <c r="K103" i="6"/>
  <c r="K104" i="6"/>
  <c r="G133" i="6"/>
  <c r="I133" i="6" s="1"/>
  <c r="G134" i="6"/>
  <c r="G136" i="6"/>
  <c r="I136" i="6" s="1"/>
  <c r="H138" i="6"/>
  <c r="I138" i="6" s="1"/>
  <c r="H139" i="6"/>
  <c r="I139" i="6" s="1"/>
  <c r="K153" i="6"/>
  <c r="L153" i="6" s="1"/>
  <c r="K154" i="6"/>
  <c r="L154" i="6" s="1"/>
  <c r="K155" i="6"/>
  <c r="L155" i="6" s="1"/>
  <c r="G169" i="6"/>
  <c r="I169" i="6" s="1"/>
  <c r="N169" i="6" s="1"/>
  <c r="J173" i="6"/>
  <c r="L63" i="7"/>
  <c r="N67" i="7"/>
  <c r="M67" i="7"/>
  <c r="K93" i="6"/>
  <c r="L93" i="6" s="1"/>
  <c r="K94" i="6"/>
  <c r="L94" i="6" s="1"/>
  <c r="G128" i="6"/>
  <c r="I128" i="6" s="1"/>
  <c r="G129" i="6"/>
  <c r="I129" i="6" s="1"/>
  <c r="H133" i="6"/>
  <c r="H134" i="6"/>
  <c r="K148" i="6"/>
  <c r="L148" i="6" s="1"/>
  <c r="K149" i="6"/>
  <c r="L149" i="6" s="1"/>
  <c r="I172" i="6"/>
  <c r="J175" i="6"/>
  <c r="L175" i="6" s="1"/>
  <c r="N182" i="6"/>
  <c r="M182" i="6"/>
  <c r="M190" i="6"/>
  <c r="N190" i="6"/>
  <c r="M22" i="7"/>
  <c r="N22" i="7"/>
  <c r="N37" i="7"/>
  <c r="I78" i="7"/>
  <c r="G183" i="6"/>
  <c r="I183" i="6" s="1"/>
  <c r="J186" i="6"/>
  <c r="L186" i="6" s="1"/>
  <c r="K188" i="6"/>
  <c r="L188" i="6" s="1"/>
  <c r="I42" i="7"/>
  <c r="I47" i="7"/>
  <c r="N47" i="7" s="1"/>
  <c r="K49" i="7"/>
  <c r="L49" i="7" s="1"/>
  <c r="J54" i="7"/>
  <c r="K55" i="7"/>
  <c r="L55" i="7" s="1"/>
  <c r="K60" i="7"/>
  <c r="L60" i="7" s="1"/>
  <c r="K65" i="7"/>
  <c r="L65" i="7" s="1"/>
  <c r="I67" i="7"/>
  <c r="M74" i="7"/>
  <c r="I77" i="7"/>
  <c r="M35" i="8"/>
  <c r="N65" i="8"/>
  <c r="M65" i="8"/>
  <c r="G18" i="7"/>
  <c r="G19" i="7"/>
  <c r="G20" i="7"/>
  <c r="I20" i="7" s="1"/>
  <c r="G23" i="7"/>
  <c r="G24" i="7"/>
  <c r="G25" i="7"/>
  <c r="I25" i="7" s="1"/>
  <c r="G28" i="7"/>
  <c r="G29" i="7"/>
  <c r="G30" i="7"/>
  <c r="I30" i="7" s="1"/>
  <c r="G33" i="7"/>
  <c r="G34" i="7"/>
  <c r="G35" i="7"/>
  <c r="I35" i="7" s="1"/>
  <c r="G38" i="7"/>
  <c r="J43" i="7"/>
  <c r="L43" i="7" s="1"/>
  <c r="J44" i="7"/>
  <c r="L44" i="7" s="1"/>
  <c r="J45" i="7"/>
  <c r="L45" i="7" s="1"/>
  <c r="K48" i="7"/>
  <c r="L48" i="7" s="1"/>
  <c r="I52" i="7"/>
  <c r="K54" i="7"/>
  <c r="H60" i="7"/>
  <c r="I60" i="7" s="1"/>
  <c r="H59" i="7"/>
  <c r="I59" i="7" s="1"/>
  <c r="H58" i="7"/>
  <c r="I58" i="7" s="1"/>
  <c r="K59" i="7"/>
  <c r="K64" i="7"/>
  <c r="L64" i="7" s="1"/>
  <c r="I20" i="8"/>
  <c r="N42" i="8"/>
  <c r="M42" i="8"/>
  <c r="K51" i="8"/>
  <c r="H51" i="8"/>
  <c r="G51" i="8"/>
  <c r="H18" i="7"/>
  <c r="H19" i="7"/>
  <c r="H23" i="7"/>
  <c r="H24" i="7"/>
  <c r="H28" i="7"/>
  <c r="H29" i="7"/>
  <c r="H33" i="7"/>
  <c r="H34" i="7"/>
  <c r="H38" i="7"/>
  <c r="H39" i="7"/>
  <c r="I39" i="7" s="1"/>
  <c r="N39" i="7" s="1"/>
  <c r="K43" i="7"/>
  <c r="K44" i="7"/>
  <c r="I57" i="7"/>
  <c r="K58" i="7"/>
  <c r="L58" i="7" s="1"/>
  <c r="I62" i="7"/>
  <c r="K63" i="7"/>
  <c r="K68" i="7"/>
  <c r="L68" i="7" s="1"/>
  <c r="K69" i="7"/>
  <c r="L69" i="7" s="1"/>
  <c r="M72" i="7"/>
  <c r="G79" i="7"/>
  <c r="K31" i="8"/>
  <c r="L31" i="8" s="1"/>
  <c r="H31" i="8"/>
  <c r="G31" i="8"/>
  <c r="K41" i="8"/>
  <c r="H41" i="8"/>
  <c r="G41" i="8"/>
  <c r="K173" i="6"/>
  <c r="J183" i="6"/>
  <c r="L183" i="6" s="1"/>
  <c r="I27" i="7"/>
  <c r="G74" i="7"/>
  <c r="N77" i="7"/>
  <c r="H79" i="7"/>
  <c r="L43" i="8"/>
  <c r="N47" i="8"/>
  <c r="M47" i="8"/>
  <c r="L69" i="8"/>
  <c r="K183" i="6"/>
  <c r="G188" i="6"/>
  <c r="I188" i="6" s="1"/>
  <c r="G189" i="6"/>
  <c r="I189" i="6" s="1"/>
  <c r="N189" i="6" s="1"/>
  <c r="J18" i="7"/>
  <c r="L18" i="7" s="1"/>
  <c r="J19" i="7"/>
  <c r="J20" i="7"/>
  <c r="J23" i="7"/>
  <c r="L23" i="7" s="1"/>
  <c r="J24" i="7"/>
  <c r="L24" i="7" s="1"/>
  <c r="J25" i="7"/>
  <c r="J28" i="7"/>
  <c r="J29" i="7"/>
  <c r="L29" i="7" s="1"/>
  <c r="J30" i="7"/>
  <c r="L30" i="7" s="1"/>
  <c r="J33" i="7"/>
  <c r="J34" i="7"/>
  <c r="J35" i="7"/>
  <c r="L35" i="7" s="1"/>
  <c r="J38" i="7"/>
  <c r="M40" i="7"/>
  <c r="M42" i="7"/>
  <c r="M47" i="7"/>
  <c r="H50" i="7"/>
  <c r="I50" i="7" s="1"/>
  <c r="N50" i="7" s="1"/>
  <c r="L52" i="7"/>
  <c r="H74" i="7"/>
  <c r="M77" i="7"/>
  <c r="N17" i="8"/>
  <c r="M17" i="8"/>
  <c r="H26" i="8"/>
  <c r="G26" i="8"/>
  <c r="K26" i="8"/>
  <c r="L26" i="8" s="1"/>
  <c r="M37" i="8"/>
  <c r="N37" i="8"/>
  <c r="M64" i="8"/>
  <c r="K18" i="7"/>
  <c r="K19" i="7"/>
  <c r="K20" i="7"/>
  <c r="K23" i="7"/>
  <c r="K24" i="7"/>
  <c r="K25" i="7"/>
  <c r="K28" i="7"/>
  <c r="K29" i="7"/>
  <c r="K33" i="7"/>
  <c r="K34" i="7"/>
  <c r="K38" i="7"/>
  <c r="H49" i="7"/>
  <c r="J51" i="7"/>
  <c r="H55" i="7"/>
  <c r="I55" i="7" s="1"/>
  <c r="G65" i="7"/>
  <c r="I65" i="7" s="1"/>
  <c r="N27" i="8"/>
  <c r="K168" i="6"/>
  <c r="L168" i="6" s="1"/>
  <c r="G43" i="7"/>
  <c r="G44" i="7"/>
  <c r="H54" i="7"/>
  <c r="I70" i="7"/>
  <c r="N70" i="7" s="1"/>
  <c r="I72" i="7"/>
  <c r="N25" i="8"/>
  <c r="M25" i="8"/>
  <c r="K36" i="8"/>
  <c r="L36" i="8" s="1"/>
  <c r="H36" i="8"/>
  <c r="G36" i="8"/>
  <c r="N32" i="8"/>
  <c r="L41" i="8"/>
  <c r="K178" i="6"/>
  <c r="L178" i="6" s="1"/>
  <c r="H43" i="7"/>
  <c r="H44" i="7"/>
  <c r="N75" i="7"/>
  <c r="N22" i="8"/>
  <c r="I35" i="8"/>
  <c r="N35" i="8" s="1"/>
  <c r="K46" i="8"/>
  <c r="L46" i="8" s="1"/>
  <c r="H46" i="8"/>
  <c r="G46" i="8"/>
  <c r="K23" i="8"/>
  <c r="L23" i="8" s="1"/>
  <c r="K24" i="8"/>
  <c r="L24" i="8" s="1"/>
  <c r="G43" i="8"/>
  <c r="I43" i="8" s="1"/>
  <c r="G44" i="8"/>
  <c r="I44" i="8" s="1"/>
  <c r="G45" i="8"/>
  <c r="I45" i="8" s="1"/>
  <c r="G48" i="8"/>
  <c r="I48" i="8" s="1"/>
  <c r="G49" i="8"/>
  <c r="G50" i="8"/>
  <c r="I50" i="8" s="1"/>
  <c r="H53" i="8"/>
  <c r="I53" i="8" s="1"/>
  <c r="H73" i="8"/>
  <c r="H74" i="8"/>
  <c r="L88" i="8"/>
  <c r="K18" i="8"/>
  <c r="L18" i="8" s="1"/>
  <c r="K19" i="8"/>
  <c r="L19" i="8" s="1"/>
  <c r="K20" i="8"/>
  <c r="L20" i="8" s="1"/>
  <c r="K21" i="8"/>
  <c r="L21" i="8" s="1"/>
  <c r="H48" i="8"/>
  <c r="H49" i="8"/>
  <c r="L58" i="8"/>
  <c r="H64" i="8"/>
  <c r="I64" i="8" s="1"/>
  <c r="N64" i="8" s="1"/>
  <c r="H63" i="8"/>
  <c r="I63" i="8" s="1"/>
  <c r="N63" i="8" s="1"/>
  <c r="M63" i="8"/>
  <c r="L72" i="8"/>
  <c r="J74" i="8"/>
  <c r="J75" i="8"/>
  <c r="L75" i="8" s="1"/>
  <c r="I75" i="8"/>
  <c r="K79" i="8"/>
  <c r="K80" i="8"/>
  <c r="I82" i="8"/>
  <c r="G83" i="8"/>
  <c r="G84" i="8"/>
  <c r="G85" i="8"/>
  <c r="I85" i="8" s="1"/>
  <c r="M22" i="8"/>
  <c r="I52" i="8"/>
  <c r="K58" i="8"/>
  <c r="G60" i="8"/>
  <c r="I60" i="8" s="1"/>
  <c r="I62" i="8"/>
  <c r="M67" i="8"/>
  <c r="K69" i="8"/>
  <c r="M70" i="8"/>
  <c r="K74" i="8"/>
  <c r="K75" i="8"/>
  <c r="H75" i="8"/>
  <c r="H83" i="8"/>
  <c r="H84" i="8"/>
  <c r="H85" i="8"/>
  <c r="G28" i="8"/>
  <c r="I28" i="8" s="1"/>
  <c r="G29" i="8"/>
  <c r="I29" i="8" s="1"/>
  <c r="G30" i="8"/>
  <c r="I30" i="8" s="1"/>
  <c r="N30" i="8" s="1"/>
  <c r="H33" i="8"/>
  <c r="I33" i="8" s="1"/>
  <c r="H34" i="8"/>
  <c r="I34" i="8" s="1"/>
  <c r="J48" i="8"/>
  <c r="L48" i="8" s="1"/>
  <c r="J49" i="8"/>
  <c r="L49" i="8" s="1"/>
  <c r="J50" i="8"/>
  <c r="L50" i="8" s="1"/>
  <c r="J51" i="8"/>
  <c r="L51" i="8" s="1"/>
  <c r="G55" i="8"/>
  <c r="I55" i="8" s="1"/>
  <c r="I57" i="8"/>
  <c r="H60" i="8"/>
  <c r="J73" i="8"/>
  <c r="K78" i="8"/>
  <c r="L78" i="8" s="1"/>
  <c r="J78" i="7"/>
  <c r="K43" i="8"/>
  <c r="K44" i="8"/>
  <c r="L44" i="8" s="1"/>
  <c r="K45" i="8"/>
  <c r="L45" i="8" s="1"/>
  <c r="K48" i="8"/>
  <c r="K49" i="8"/>
  <c r="H55" i="8"/>
  <c r="M57" i="8"/>
  <c r="G59" i="8"/>
  <c r="L62" i="8"/>
  <c r="K73" i="8"/>
  <c r="K84" i="8"/>
  <c r="K85" i="8"/>
  <c r="I87" i="8"/>
  <c r="G88" i="8"/>
  <c r="G89" i="8"/>
  <c r="G90" i="8"/>
  <c r="G48" i="7"/>
  <c r="I48" i="7" s="1"/>
  <c r="G49" i="7"/>
  <c r="G53" i="7"/>
  <c r="I53" i="7" s="1"/>
  <c r="N53" i="7" s="1"/>
  <c r="G54" i="7"/>
  <c r="K73" i="7"/>
  <c r="L73" i="7" s="1"/>
  <c r="K78" i="7"/>
  <c r="L137" i="8"/>
  <c r="J141" i="8"/>
  <c r="J140" i="8"/>
  <c r="L140" i="8" s="1"/>
  <c r="J139" i="8"/>
  <c r="J138" i="8"/>
  <c r="G21" i="8"/>
  <c r="I21" i="8" s="1"/>
  <c r="K38" i="8"/>
  <c r="L38" i="8" s="1"/>
  <c r="K39" i="8"/>
  <c r="L39" i="8" s="1"/>
  <c r="K40" i="8"/>
  <c r="L40" i="8" s="1"/>
  <c r="M52" i="8"/>
  <c r="G54" i="8"/>
  <c r="I54" i="8" s="1"/>
  <c r="N57" i="8"/>
  <c r="H59" i="8"/>
  <c r="J76" i="8"/>
  <c r="L83" i="8"/>
  <c r="H88" i="8"/>
  <c r="H89" i="8"/>
  <c r="H90" i="8"/>
  <c r="H18" i="8"/>
  <c r="I18" i="8" s="1"/>
  <c r="H19" i="8"/>
  <c r="I19" i="8" s="1"/>
  <c r="K33" i="8"/>
  <c r="L33" i="8" s="1"/>
  <c r="K34" i="8"/>
  <c r="L34" i="8" s="1"/>
  <c r="J55" i="8"/>
  <c r="L55" i="8" s="1"/>
  <c r="K60" i="8"/>
  <c r="L60" i="8" s="1"/>
  <c r="I77" i="8"/>
  <c r="G78" i="8"/>
  <c r="G79" i="8"/>
  <c r="G80" i="8"/>
  <c r="I80" i="8" s="1"/>
  <c r="K83" i="8"/>
  <c r="M110" i="8"/>
  <c r="K28" i="8"/>
  <c r="L28" i="8" s="1"/>
  <c r="K29" i="8"/>
  <c r="L29" i="8" s="1"/>
  <c r="L59" i="8"/>
  <c r="H71" i="8"/>
  <c r="G71" i="8"/>
  <c r="I72" i="8"/>
  <c r="G73" i="8"/>
  <c r="G74" i="8"/>
  <c r="I74" i="8" s="1"/>
  <c r="H78" i="8"/>
  <c r="H79" i="8"/>
  <c r="H80" i="8"/>
  <c r="K89" i="8"/>
  <c r="K90" i="8"/>
  <c r="I92" i="8"/>
  <c r="G93" i="8"/>
  <c r="I93" i="8" s="1"/>
  <c r="G94" i="8"/>
  <c r="G95" i="8"/>
  <c r="I95" i="8" s="1"/>
  <c r="K98" i="8"/>
  <c r="G100" i="8"/>
  <c r="I100" i="8" s="1"/>
  <c r="G106" i="8"/>
  <c r="I109" i="8"/>
  <c r="K93" i="8"/>
  <c r="L93" i="8" s="1"/>
  <c r="K103" i="8"/>
  <c r="L103" i="8" s="1"/>
  <c r="H106" i="8"/>
  <c r="L107" i="8"/>
  <c r="I112" i="8"/>
  <c r="G113" i="8"/>
  <c r="G115" i="8"/>
  <c r="I115" i="8" s="1"/>
  <c r="L77" i="8"/>
  <c r="J81" i="8"/>
  <c r="L82" i="8"/>
  <c r="J86" i="8"/>
  <c r="L87" i="8"/>
  <c r="J91" i="8"/>
  <c r="L92" i="8"/>
  <c r="J96" i="8"/>
  <c r="L97" i="8"/>
  <c r="K100" i="8"/>
  <c r="L100" i="8" s="1"/>
  <c r="G105" i="8"/>
  <c r="I105" i="8" s="1"/>
  <c r="G114" i="8"/>
  <c r="M127" i="8"/>
  <c r="N127" i="8"/>
  <c r="H95" i="8"/>
  <c r="G99" i="8"/>
  <c r="H114" i="8"/>
  <c r="N117" i="8"/>
  <c r="M117" i="8"/>
  <c r="K53" i="8"/>
  <c r="L53" i="8" s="1"/>
  <c r="K54" i="8"/>
  <c r="L54" i="8" s="1"/>
  <c r="J80" i="8"/>
  <c r="J85" i="8"/>
  <c r="L85" i="8" s="1"/>
  <c r="J90" i="8"/>
  <c r="L90" i="8" s="1"/>
  <c r="J95" i="8"/>
  <c r="J99" i="8"/>
  <c r="L99" i="8" s="1"/>
  <c r="L102" i="8"/>
  <c r="G104" i="8"/>
  <c r="I104" i="8" s="1"/>
  <c r="N104" i="8" s="1"/>
  <c r="K111" i="8"/>
  <c r="L111" i="8" s="1"/>
  <c r="G68" i="8"/>
  <c r="I68" i="8" s="1"/>
  <c r="N68" i="8" s="1"/>
  <c r="H94" i="8"/>
  <c r="K95" i="8"/>
  <c r="G101" i="8"/>
  <c r="I101" i="8" s="1"/>
  <c r="K105" i="8"/>
  <c r="L105" i="8" s="1"/>
  <c r="K108" i="8"/>
  <c r="G110" i="8"/>
  <c r="I110" i="8" s="1"/>
  <c r="N110" i="8" s="1"/>
  <c r="L123" i="8"/>
  <c r="M146" i="8"/>
  <c r="J79" i="8"/>
  <c r="L79" i="8" s="1"/>
  <c r="J84" i="8"/>
  <c r="J89" i="8"/>
  <c r="J94" i="8"/>
  <c r="L94" i="8" s="1"/>
  <c r="G98" i="8"/>
  <c r="J101" i="8"/>
  <c r="G103" i="8"/>
  <c r="I103" i="8" s="1"/>
  <c r="K126" i="8"/>
  <c r="L126" i="8" s="1"/>
  <c r="H126" i="8"/>
  <c r="G126" i="8"/>
  <c r="M125" i="8"/>
  <c r="I140" i="8"/>
  <c r="J98" i="8"/>
  <c r="L98" i="8" s="1"/>
  <c r="K101" i="8"/>
  <c r="H113" i="8"/>
  <c r="K121" i="8"/>
  <c r="L121" i="8" s="1"/>
  <c r="G121" i="8"/>
  <c r="I121" i="8" s="1"/>
  <c r="H140" i="8"/>
  <c r="H139" i="8"/>
  <c r="H138" i="8"/>
  <c r="H17" i="10"/>
  <c r="I17" i="10" s="1"/>
  <c r="H98" i="8"/>
  <c r="H99" i="8"/>
  <c r="H9" i="10"/>
  <c r="I9" i="10" s="1"/>
  <c r="J108" i="8"/>
  <c r="L108" i="8" s="1"/>
  <c r="J109" i="8"/>
  <c r="L109" i="8" s="1"/>
  <c r="L112" i="8"/>
  <c r="L124" i="8"/>
  <c r="I128" i="8"/>
  <c r="I137" i="8"/>
  <c r="H156" i="8"/>
  <c r="N152" i="8"/>
  <c r="K156" i="8"/>
  <c r="L156" i="8" s="1"/>
  <c r="G156" i="8"/>
  <c r="G135" i="8"/>
  <c r="I135" i="8" s="1"/>
  <c r="G134" i="8"/>
  <c r="I134" i="8" s="1"/>
  <c r="G133" i="8"/>
  <c r="I133" i="8" s="1"/>
  <c r="I132" i="8"/>
  <c r="M150" i="8"/>
  <c r="N150" i="8"/>
  <c r="I125" i="8"/>
  <c r="N125" i="8" s="1"/>
  <c r="L131" i="8"/>
  <c r="H146" i="8"/>
  <c r="G146" i="8"/>
  <c r="I146" i="8" s="1"/>
  <c r="N146" i="8" s="1"/>
  <c r="N132" i="8"/>
  <c r="M132" i="8"/>
  <c r="N145" i="8"/>
  <c r="M145" i="8"/>
  <c r="N147" i="8"/>
  <c r="M147" i="8"/>
  <c r="G118" i="8"/>
  <c r="I118" i="8" s="1"/>
  <c r="G119" i="8"/>
  <c r="I119" i="8" s="1"/>
  <c r="G120" i="8"/>
  <c r="I120" i="8" s="1"/>
  <c r="H123" i="8"/>
  <c r="I123" i="8" s="1"/>
  <c r="H124" i="8"/>
  <c r="I124" i="8" s="1"/>
  <c r="H154" i="8"/>
  <c r="I154" i="8" s="1"/>
  <c r="K133" i="8"/>
  <c r="L133" i="8" s="1"/>
  <c r="K134" i="8"/>
  <c r="L134" i="8" s="1"/>
  <c r="K135" i="8"/>
  <c r="L135" i="8" s="1"/>
  <c r="K138" i="8"/>
  <c r="K139" i="8"/>
  <c r="H149" i="8"/>
  <c r="K128" i="8"/>
  <c r="L128" i="8" s="1"/>
  <c r="K129" i="8"/>
  <c r="L129" i="8" s="1"/>
  <c r="K130" i="8"/>
  <c r="L130" i="8" s="1"/>
  <c r="N142" i="8"/>
  <c r="G144" i="8"/>
  <c r="I6" i="10"/>
  <c r="I14" i="10"/>
  <c r="J113" i="8"/>
  <c r="L113" i="8" s="1"/>
  <c r="J114" i="8"/>
  <c r="L114" i="8" s="1"/>
  <c r="J115" i="8"/>
  <c r="L115" i="8" s="1"/>
  <c r="J118" i="8"/>
  <c r="L118" i="8" s="1"/>
  <c r="J119" i="8"/>
  <c r="J120" i="8"/>
  <c r="L120" i="8" s="1"/>
  <c r="K123" i="8"/>
  <c r="K124" i="8"/>
  <c r="M142" i="8"/>
  <c r="H144" i="8"/>
  <c r="H18" i="10"/>
  <c r="I42" i="10"/>
  <c r="K118" i="8"/>
  <c r="K119" i="8"/>
  <c r="I147" i="8"/>
  <c r="G149" i="8"/>
  <c r="G148" i="8"/>
  <c r="K149" i="8"/>
  <c r="L149" i="8" s="1"/>
  <c r="I11" i="10"/>
  <c r="G138" i="8"/>
  <c r="I138" i="8" s="1"/>
  <c r="G139" i="8"/>
  <c r="N155" i="8"/>
  <c r="M155" i="8"/>
  <c r="K143" i="8"/>
  <c r="L143" i="8" s="1"/>
  <c r="J153" i="8"/>
  <c r="J154" i="8"/>
  <c r="L154" i="8" s="1"/>
  <c r="I7" i="10"/>
  <c r="I15" i="10"/>
  <c r="G18" i="10"/>
  <c r="K153" i="8"/>
  <c r="G153" i="8"/>
  <c r="I153" i="8" s="1"/>
  <c r="M146" i="4" l="1"/>
  <c r="L152" i="4"/>
  <c r="M152" i="4" s="1"/>
  <c r="L112" i="4"/>
  <c r="M112" i="4" s="1"/>
  <c r="H152" i="4"/>
  <c r="M24" i="4"/>
  <c r="M130" i="4"/>
  <c r="M21" i="4"/>
  <c r="O21" i="4" s="1"/>
  <c r="M149" i="4"/>
  <c r="N149" i="4" s="1"/>
  <c r="M140" i="4"/>
  <c r="M69" i="4"/>
  <c r="M99" i="4"/>
  <c r="O43" i="4"/>
  <c r="J121" i="4"/>
  <c r="M35" i="4"/>
  <c r="J150" i="4"/>
  <c r="O150" i="4" s="1"/>
  <c r="J169" i="4"/>
  <c r="O169" i="4" s="1"/>
  <c r="L182" i="4"/>
  <c r="M182" i="4" s="1"/>
  <c r="M70" i="4"/>
  <c r="N176" i="4"/>
  <c r="H127" i="4"/>
  <c r="J127" i="4" s="1"/>
  <c r="M104" i="4"/>
  <c r="N104" i="4" s="1"/>
  <c r="J59" i="4"/>
  <c r="M34" i="4"/>
  <c r="O34" i="4" s="1"/>
  <c r="M20" i="4"/>
  <c r="N20" i="4" s="1"/>
  <c r="I117" i="4"/>
  <c r="H82" i="4"/>
  <c r="O113" i="4"/>
  <c r="N113" i="4"/>
  <c r="M119" i="4"/>
  <c r="N119" i="4" s="1"/>
  <c r="H182" i="4"/>
  <c r="J25" i="4"/>
  <c r="M89" i="4"/>
  <c r="N89" i="4" s="1"/>
  <c r="M19" i="4"/>
  <c r="L127" i="4"/>
  <c r="M127" i="4" s="1"/>
  <c r="O127" i="4" s="1"/>
  <c r="L117" i="4"/>
  <c r="M117" i="4" s="1"/>
  <c r="N117" i="4" s="1"/>
  <c r="M131" i="4"/>
  <c r="M105" i="4"/>
  <c r="N105" i="4" s="1"/>
  <c r="M154" i="4"/>
  <c r="J146" i="4"/>
  <c r="O146" i="4" s="1"/>
  <c r="J165" i="4"/>
  <c r="O165" i="4" s="1"/>
  <c r="M54" i="4"/>
  <c r="O103" i="4"/>
  <c r="J52" i="4"/>
  <c r="M65" i="4"/>
  <c r="O178" i="4"/>
  <c r="O116" i="4"/>
  <c r="O148" i="4"/>
  <c r="M64" i="4"/>
  <c r="M135" i="4"/>
  <c r="N178" i="4"/>
  <c r="J35" i="4"/>
  <c r="M109" i="4"/>
  <c r="J124" i="4"/>
  <c r="I172" i="4"/>
  <c r="H172" i="4"/>
  <c r="J172" i="4" s="1"/>
  <c r="O172" i="4" s="1"/>
  <c r="L137" i="4"/>
  <c r="M137" i="4" s="1"/>
  <c r="N137" i="4" s="1"/>
  <c r="I137" i="4"/>
  <c r="H137" i="4"/>
  <c r="J137" i="4" s="1"/>
  <c r="J30" i="4"/>
  <c r="I41" i="5"/>
  <c r="J117" i="4"/>
  <c r="J107" i="4"/>
  <c r="J82" i="4"/>
  <c r="O82" i="4" s="1"/>
  <c r="I118" i="6"/>
  <c r="I98" i="8"/>
  <c r="I73" i="8"/>
  <c r="J24" i="4"/>
  <c r="O24" i="4" s="1"/>
  <c r="I94" i="8"/>
  <c r="I49" i="7"/>
  <c r="J20" i="4"/>
  <c r="J19" i="4"/>
  <c r="O19" i="4" s="1"/>
  <c r="I26" i="8"/>
  <c r="I33" i="6"/>
  <c r="I88" i="8"/>
  <c r="N88" i="8" s="1"/>
  <c r="I44" i="7"/>
  <c r="I56" i="6"/>
  <c r="I71" i="6"/>
  <c r="I26" i="7"/>
  <c r="I141" i="6"/>
  <c r="I121" i="6"/>
  <c r="I86" i="6"/>
  <c r="I56" i="5"/>
  <c r="N56" i="5" s="1"/>
  <c r="I28" i="5"/>
  <c r="I43" i="5"/>
  <c r="J57" i="4"/>
  <c r="I36" i="5"/>
  <c r="J152" i="4"/>
  <c r="I156" i="8"/>
  <c r="I106" i="6"/>
  <c r="I63" i="5"/>
  <c r="J110" i="4"/>
  <c r="I51" i="8"/>
  <c r="I104" i="6"/>
  <c r="I23" i="5"/>
  <c r="J182" i="4"/>
  <c r="O182" i="4" s="1"/>
  <c r="J95" i="4"/>
  <c r="I79" i="8"/>
  <c r="I49" i="8"/>
  <c r="N49" i="8" s="1"/>
  <c r="I38" i="7"/>
  <c r="I24" i="7"/>
  <c r="I151" i="6"/>
  <c r="I34" i="6"/>
  <c r="I63" i="6"/>
  <c r="I156" i="6"/>
  <c r="I146" i="6"/>
  <c r="N146" i="6" s="1"/>
  <c r="I36" i="6"/>
  <c r="N36" i="6" s="1"/>
  <c r="J94" i="4"/>
  <c r="I31" i="5"/>
  <c r="I106" i="8"/>
  <c r="N106" i="8" s="1"/>
  <c r="AN106" i="8" s="1"/>
  <c r="I71" i="5"/>
  <c r="I41" i="6"/>
  <c r="J67" i="4"/>
  <c r="I149" i="8"/>
  <c r="I89" i="8"/>
  <c r="I34" i="7"/>
  <c r="I21" i="7"/>
  <c r="J79" i="4"/>
  <c r="O79" i="4" s="1"/>
  <c r="J65" i="4"/>
  <c r="N130" i="8"/>
  <c r="M130" i="8"/>
  <c r="N129" i="8"/>
  <c r="M129" i="8"/>
  <c r="N128" i="8"/>
  <c r="M128" i="8"/>
  <c r="AT106" i="8"/>
  <c r="AL106" i="8"/>
  <c r="AD106" i="8"/>
  <c r="AP106" i="8"/>
  <c r="AB106" i="8"/>
  <c r="AV106" i="8"/>
  <c r="AH106" i="8"/>
  <c r="AR106" i="8"/>
  <c r="AF106" i="8"/>
  <c r="N19" i="8"/>
  <c r="M19" i="8"/>
  <c r="M46" i="8"/>
  <c r="M36" i="7"/>
  <c r="M159" i="6"/>
  <c r="N159" i="6"/>
  <c r="N164" i="6"/>
  <c r="M164" i="6"/>
  <c r="N133" i="6"/>
  <c r="M133" i="6"/>
  <c r="N25" i="6"/>
  <c r="M25" i="6"/>
  <c r="N43" i="6"/>
  <c r="M43" i="6"/>
  <c r="N50" i="5"/>
  <c r="M50" i="5"/>
  <c r="O46" i="4"/>
  <c r="N46" i="4"/>
  <c r="N92" i="4"/>
  <c r="N121" i="8"/>
  <c r="M121" i="8"/>
  <c r="M40" i="8"/>
  <c r="N40" i="8"/>
  <c r="N18" i="8"/>
  <c r="M18" i="8"/>
  <c r="M158" i="6"/>
  <c r="N158" i="6"/>
  <c r="N163" i="6"/>
  <c r="M163" i="6"/>
  <c r="N75" i="5"/>
  <c r="M75" i="5"/>
  <c r="M24" i="6"/>
  <c r="N30" i="6"/>
  <c r="M30" i="6"/>
  <c r="N40" i="4"/>
  <c r="O45" i="4"/>
  <c r="N45" i="4"/>
  <c r="N143" i="8"/>
  <c r="M143" i="8"/>
  <c r="M126" i="8"/>
  <c r="M60" i="8"/>
  <c r="N60" i="8"/>
  <c r="M39" i="8"/>
  <c r="N39" i="8"/>
  <c r="M78" i="8"/>
  <c r="N65" i="7"/>
  <c r="M65" i="7"/>
  <c r="AV111" i="6"/>
  <c r="AN111" i="6"/>
  <c r="AF111" i="6"/>
  <c r="AT111" i="6"/>
  <c r="AL111" i="6"/>
  <c r="AD111" i="6"/>
  <c r="AR111" i="6"/>
  <c r="AJ111" i="6"/>
  <c r="AB111" i="6"/>
  <c r="AX111" i="6"/>
  <c r="AP111" i="6"/>
  <c r="AH111" i="6"/>
  <c r="N60" i="6"/>
  <c r="M60" i="6"/>
  <c r="M70" i="6"/>
  <c r="N70" i="6"/>
  <c r="N74" i="5"/>
  <c r="M74" i="5"/>
  <c r="M23" i="6"/>
  <c r="N79" i="5"/>
  <c r="M79" i="5"/>
  <c r="M29" i="6"/>
  <c r="M66" i="5"/>
  <c r="N71" i="5"/>
  <c r="M71" i="5"/>
  <c r="M46" i="5"/>
  <c r="O44" i="4"/>
  <c r="N44" i="4"/>
  <c r="O50" i="4"/>
  <c r="N50" i="4"/>
  <c r="N62" i="4"/>
  <c r="N54" i="8"/>
  <c r="M54" i="8"/>
  <c r="M38" i="8"/>
  <c r="N38" i="8"/>
  <c r="N48" i="7"/>
  <c r="M48" i="7"/>
  <c r="N60" i="7"/>
  <c r="M60" i="7"/>
  <c r="N155" i="6"/>
  <c r="M155" i="6"/>
  <c r="M110" i="6"/>
  <c r="N110" i="6"/>
  <c r="AV161" i="6"/>
  <c r="AN161" i="6"/>
  <c r="AF161" i="6"/>
  <c r="AT161" i="6"/>
  <c r="AL161" i="6"/>
  <c r="AD161" i="6"/>
  <c r="AR161" i="6"/>
  <c r="AJ161" i="6"/>
  <c r="AB161" i="6"/>
  <c r="AX161" i="6"/>
  <c r="AP161" i="6"/>
  <c r="AH161" i="6"/>
  <c r="N75" i="6"/>
  <c r="M75" i="6"/>
  <c r="M21" i="7"/>
  <c r="N21" i="7"/>
  <c r="N59" i="6"/>
  <c r="M59" i="6"/>
  <c r="M69" i="6"/>
  <c r="N69" i="6"/>
  <c r="N70" i="5"/>
  <c r="M70" i="5"/>
  <c r="N73" i="5"/>
  <c r="M73" i="5"/>
  <c r="M28" i="6"/>
  <c r="N171" i="4"/>
  <c r="O171" i="4"/>
  <c r="O49" i="4"/>
  <c r="N49" i="4"/>
  <c r="N53" i="8"/>
  <c r="M53" i="8"/>
  <c r="N168" i="6"/>
  <c r="M168" i="6"/>
  <c r="N55" i="7"/>
  <c r="M55" i="7"/>
  <c r="N94" i="6"/>
  <c r="M94" i="6"/>
  <c r="N154" i="6"/>
  <c r="M154" i="6"/>
  <c r="N74" i="6"/>
  <c r="M74" i="6"/>
  <c r="N58" i="6"/>
  <c r="M58" i="6"/>
  <c r="M68" i="6"/>
  <c r="N68" i="6"/>
  <c r="M69" i="5"/>
  <c r="O166" i="4"/>
  <c r="N166" i="4"/>
  <c r="M51" i="6"/>
  <c r="N82" i="4"/>
  <c r="N77" i="4"/>
  <c r="N45" i="8"/>
  <c r="M45" i="8"/>
  <c r="N93" i="6"/>
  <c r="M93" i="6"/>
  <c r="N153" i="6"/>
  <c r="M153" i="6"/>
  <c r="M100" i="6"/>
  <c r="N100" i="6"/>
  <c r="M108" i="6"/>
  <c r="N108" i="6"/>
  <c r="M26" i="7"/>
  <c r="N26" i="7"/>
  <c r="N115" i="6"/>
  <c r="M115" i="6"/>
  <c r="N136" i="6"/>
  <c r="M136" i="6"/>
  <c r="N73" i="6"/>
  <c r="M73" i="6"/>
  <c r="M68" i="5"/>
  <c r="N46" i="6"/>
  <c r="M46" i="6"/>
  <c r="N61" i="6"/>
  <c r="M61" i="6"/>
  <c r="N165" i="4"/>
  <c r="N169" i="4"/>
  <c r="N182" i="4"/>
  <c r="N102" i="4"/>
  <c r="N97" i="4"/>
  <c r="N100" i="8"/>
  <c r="M100" i="8"/>
  <c r="N93" i="8"/>
  <c r="M93" i="8"/>
  <c r="N44" i="8"/>
  <c r="M44" i="8"/>
  <c r="N21" i="8"/>
  <c r="M21" i="8"/>
  <c r="N49" i="7"/>
  <c r="M49" i="7"/>
  <c r="N114" i="6"/>
  <c r="M114" i="6"/>
  <c r="N135" i="6"/>
  <c r="M135" i="6"/>
  <c r="M166" i="6"/>
  <c r="N45" i="6"/>
  <c r="M45" i="6"/>
  <c r="M36" i="6"/>
  <c r="O164" i="4"/>
  <c r="N164" i="4"/>
  <c r="N41" i="6"/>
  <c r="M41" i="6"/>
  <c r="N127" i="4"/>
  <c r="O52" i="4"/>
  <c r="N52" i="4"/>
  <c r="O107" i="4"/>
  <c r="N107" i="4"/>
  <c r="N20" i="8"/>
  <c r="M20" i="8"/>
  <c r="M98" i="6"/>
  <c r="M160" i="6"/>
  <c r="N160" i="6"/>
  <c r="N165" i="6"/>
  <c r="M165" i="6"/>
  <c r="N113" i="6"/>
  <c r="M113" i="6"/>
  <c r="M134" i="6"/>
  <c r="N48" i="6"/>
  <c r="M48" i="6"/>
  <c r="N44" i="6"/>
  <c r="M44" i="6"/>
  <c r="O47" i="4"/>
  <c r="N47" i="4"/>
  <c r="M118" i="8"/>
  <c r="N118" i="8"/>
  <c r="N133" i="8"/>
  <c r="M133" i="8"/>
  <c r="N131" i="8"/>
  <c r="M131" i="8"/>
  <c r="N79" i="8"/>
  <c r="M79" i="8"/>
  <c r="L95" i="8"/>
  <c r="N28" i="8"/>
  <c r="M28" i="8"/>
  <c r="N137" i="8"/>
  <c r="M137" i="8"/>
  <c r="L78" i="7"/>
  <c r="K61" i="8"/>
  <c r="L61" i="8" s="1"/>
  <c r="H61" i="8"/>
  <c r="G61" i="8"/>
  <c r="I83" i="8"/>
  <c r="I36" i="8"/>
  <c r="N52" i="7"/>
  <c r="M52" i="7"/>
  <c r="L33" i="7"/>
  <c r="L19" i="7"/>
  <c r="K31" i="7"/>
  <c r="L31" i="7" s="1"/>
  <c r="H31" i="7"/>
  <c r="G31" i="7"/>
  <c r="K66" i="7"/>
  <c r="L66" i="7" s="1"/>
  <c r="H66" i="7"/>
  <c r="G66" i="7"/>
  <c r="N44" i="7"/>
  <c r="M44" i="7"/>
  <c r="I28" i="7"/>
  <c r="M186" i="6"/>
  <c r="N149" i="6"/>
  <c r="M149" i="6"/>
  <c r="L103" i="6"/>
  <c r="I179" i="6"/>
  <c r="N179" i="6" s="1"/>
  <c r="M179" i="6"/>
  <c r="N129" i="6"/>
  <c r="M129" i="6"/>
  <c r="M119" i="6"/>
  <c r="I191" i="6"/>
  <c r="N144" i="6"/>
  <c r="M144" i="6"/>
  <c r="M85" i="6"/>
  <c r="N85" i="6"/>
  <c r="N53" i="5"/>
  <c r="M53" i="5"/>
  <c r="N65" i="6"/>
  <c r="M65" i="6"/>
  <c r="G21" i="6"/>
  <c r="K21" i="6"/>
  <c r="H21" i="6"/>
  <c r="M146" i="6"/>
  <c r="AW111" i="6"/>
  <c r="AO111" i="6"/>
  <c r="AG111" i="6"/>
  <c r="AU111" i="6"/>
  <c r="AM111" i="6"/>
  <c r="AE111" i="6"/>
  <c r="AS111" i="6"/>
  <c r="AK111" i="6"/>
  <c r="AC111" i="6"/>
  <c r="AQ111" i="6"/>
  <c r="AI111" i="6"/>
  <c r="AA111" i="6"/>
  <c r="N52" i="6"/>
  <c r="M52" i="6"/>
  <c r="L38" i="6"/>
  <c r="O154" i="4"/>
  <c r="N154" i="4"/>
  <c r="O140" i="4"/>
  <c r="N140" i="4"/>
  <c r="O126" i="4"/>
  <c r="N126" i="4"/>
  <c r="N49" i="5"/>
  <c r="M49" i="5"/>
  <c r="N56" i="6"/>
  <c r="M56" i="6"/>
  <c r="I18" i="5"/>
  <c r="N38" i="5"/>
  <c r="M38" i="5"/>
  <c r="N28" i="5"/>
  <c r="M28" i="5"/>
  <c r="L18" i="5"/>
  <c r="N79" i="4"/>
  <c r="O65" i="4"/>
  <c r="N65" i="4"/>
  <c r="O91" i="4"/>
  <c r="N91" i="4"/>
  <c r="J131" i="4"/>
  <c r="O131" i="4" s="1"/>
  <c r="J80" i="4"/>
  <c r="O80" i="4" s="1"/>
  <c r="J54" i="4"/>
  <c r="O36" i="4"/>
  <c r="N36" i="4"/>
  <c r="N24" i="4"/>
  <c r="N41" i="5"/>
  <c r="M41" i="5"/>
  <c r="O58" i="4"/>
  <c r="N58" i="4"/>
  <c r="H32" i="4"/>
  <c r="L32" i="4"/>
  <c r="M32" i="4" s="1"/>
  <c r="I32" i="4"/>
  <c r="L142" i="4"/>
  <c r="M142" i="4" s="1"/>
  <c r="I142" i="4"/>
  <c r="H142" i="4"/>
  <c r="O88" i="4"/>
  <c r="N88" i="4"/>
  <c r="O51" i="4"/>
  <c r="N51" i="4"/>
  <c r="K56" i="8"/>
  <c r="L56" i="8" s="1"/>
  <c r="H56" i="8"/>
  <c r="G56" i="8"/>
  <c r="N26" i="8"/>
  <c r="M26" i="8"/>
  <c r="M30" i="7"/>
  <c r="N30" i="7"/>
  <c r="M18" i="7"/>
  <c r="N43" i="8"/>
  <c r="M43" i="8"/>
  <c r="N183" i="6"/>
  <c r="M183" i="6"/>
  <c r="M31" i="8"/>
  <c r="N58" i="7"/>
  <c r="M58" i="7"/>
  <c r="M43" i="7"/>
  <c r="N148" i="6"/>
  <c r="M148" i="6"/>
  <c r="N59" i="7"/>
  <c r="M59" i="7"/>
  <c r="K181" i="6"/>
  <c r="L181" i="6" s="1"/>
  <c r="G181" i="6"/>
  <c r="H181" i="6"/>
  <c r="N177" i="6"/>
  <c r="M7" i="7"/>
  <c r="N128" i="6"/>
  <c r="M128" i="6"/>
  <c r="N118" i="6"/>
  <c r="M118" i="6"/>
  <c r="N143" i="6"/>
  <c r="M143" i="6"/>
  <c r="M84" i="6"/>
  <c r="N95" i="6"/>
  <c r="M95" i="6"/>
  <c r="N55" i="6"/>
  <c r="M55" i="6"/>
  <c r="M64" i="6"/>
  <c r="N59" i="5"/>
  <c r="M59" i="5"/>
  <c r="M109" i="6"/>
  <c r="N109" i="6"/>
  <c r="N90" i="5"/>
  <c r="M90" i="5"/>
  <c r="L21" i="6"/>
  <c r="N78" i="5"/>
  <c r="M78" i="5"/>
  <c r="M81" i="6"/>
  <c r="N81" i="6"/>
  <c r="N84" i="5"/>
  <c r="M84" i="5"/>
  <c r="M174" i="6"/>
  <c r="N47" i="6"/>
  <c r="M47" i="6"/>
  <c r="L35" i="6"/>
  <c r="K86" i="5"/>
  <c r="L86" i="5" s="1"/>
  <c r="H86" i="5"/>
  <c r="G86" i="5"/>
  <c r="I66" i="5"/>
  <c r="N66" i="5" s="1"/>
  <c r="O151" i="4"/>
  <c r="N151" i="4"/>
  <c r="N139" i="4"/>
  <c r="O125" i="4"/>
  <c r="N125" i="4"/>
  <c r="I29" i="5"/>
  <c r="M179" i="4"/>
  <c r="K61" i="5"/>
  <c r="L61" i="5" s="1"/>
  <c r="H61" i="5"/>
  <c r="G61" i="5"/>
  <c r="N36" i="5"/>
  <c r="M36" i="5"/>
  <c r="M26" i="5"/>
  <c r="N170" i="4"/>
  <c r="O170" i="4"/>
  <c r="O76" i="4"/>
  <c r="N76" i="4"/>
  <c r="N64" i="4"/>
  <c r="M90" i="4"/>
  <c r="N177" i="4"/>
  <c r="J109" i="4"/>
  <c r="O109" i="4" s="1"/>
  <c r="H132" i="4"/>
  <c r="J132" i="4" s="1"/>
  <c r="L132" i="4"/>
  <c r="M132" i="4" s="1"/>
  <c r="I132" i="4"/>
  <c r="O35" i="4"/>
  <c r="N35" i="4"/>
  <c r="N180" i="4"/>
  <c r="O53" i="4"/>
  <c r="N53" i="4"/>
  <c r="N8" i="4" s="1"/>
  <c r="H27" i="4"/>
  <c r="L27" i="4"/>
  <c r="M27" i="4" s="1"/>
  <c r="I27" i="4"/>
  <c r="O83" i="4"/>
  <c r="N83" i="4"/>
  <c r="N87" i="4"/>
  <c r="N124" i="8"/>
  <c r="M124" i="8"/>
  <c r="M90" i="8"/>
  <c r="M83" i="8"/>
  <c r="N83" i="8"/>
  <c r="L153" i="8"/>
  <c r="N112" i="8"/>
  <c r="M112" i="8"/>
  <c r="N85" i="8"/>
  <c r="M85" i="8"/>
  <c r="N73" i="7"/>
  <c r="M73" i="7"/>
  <c r="N51" i="8"/>
  <c r="M51" i="8"/>
  <c r="N36" i="8"/>
  <c r="M36" i="8"/>
  <c r="I43" i="7"/>
  <c r="N43" i="7" s="1"/>
  <c r="M29" i="7"/>
  <c r="H61" i="7"/>
  <c r="K61" i="7"/>
  <c r="L61" i="7" s="1"/>
  <c r="G61" i="7"/>
  <c r="N63" i="7"/>
  <c r="M63" i="7"/>
  <c r="M41" i="7"/>
  <c r="L126" i="6"/>
  <c r="N140" i="6"/>
  <c r="M140" i="6"/>
  <c r="M83" i="6"/>
  <c r="M54" i="6"/>
  <c r="I24" i="6"/>
  <c r="N24" i="6" s="1"/>
  <c r="N63" i="6"/>
  <c r="M63" i="6"/>
  <c r="N58" i="5"/>
  <c r="M58" i="5"/>
  <c r="M101" i="6"/>
  <c r="N101" i="6"/>
  <c r="N156" i="6"/>
  <c r="M156" i="6"/>
  <c r="N20" i="6"/>
  <c r="M20" i="6"/>
  <c r="M83" i="5"/>
  <c r="L34" i="6"/>
  <c r="N17" i="6"/>
  <c r="N45" i="5"/>
  <c r="M45" i="5"/>
  <c r="N150" i="4"/>
  <c r="O136" i="4"/>
  <c r="N136" i="4"/>
  <c r="O124" i="4"/>
  <c r="N124" i="4"/>
  <c r="M51" i="5"/>
  <c r="N51" i="5"/>
  <c r="N35" i="5"/>
  <c r="M35" i="5"/>
  <c r="N25" i="5"/>
  <c r="M25" i="5"/>
  <c r="J179" i="4"/>
  <c r="N167" i="4"/>
  <c r="N75" i="4"/>
  <c r="O61" i="4"/>
  <c r="N61" i="4"/>
  <c r="O101" i="4"/>
  <c r="N101" i="4"/>
  <c r="J64" i="4"/>
  <c r="O123" i="4"/>
  <c r="N123" i="4"/>
  <c r="N34" i="4"/>
  <c r="O20" i="4"/>
  <c r="H22" i="4"/>
  <c r="L22" i="4"/>
  <c r="M22" i="4" s="1"/>
  <c r="I22" i="4"/>
  <c r="O41" i="4"/>
  <c r="N41" i="4"/>
  <c r="M55" i="8"/>
  <c r="N55" i="8"/>
  <c r="K86" i="8"/>
  <c r="H86" i="8"/>
  <c r="G86" i="8"/>
  <c r="N52" i="8"/>
  <c r="M149" i="8"/>
  <c r="N149" i="8"/>
  <c r="M114" i="8"/>
  <c r="N156" i="8"/>
  <c r="M156" i="8"/>
  <c r="AX146" i="8"/>
  <c r="AP146" i="8"/>
  <c r="AH146" i="8"/>
  <c r="AF146" i="8"/>
  <c r="AN146" i="8"/>
  <c r="AD146" i="8"/>
  <c r="AB146" i="8"/>
  <c r="AV146" i="8"/>
  <c r="AL146" i="8"/>
  <c r="AJ146" i="8"/>
  <c r="AT146" i="8"/>
  <c r="AR146" i="8"/>
  <c r="I99" i="8"/>
  <c r="N34" i="8"/>
  <c r="M34" i="8"/>
  <c r="H91" i="8"/>
  <c r="G91" i="8"/>
  <c r="K91" i="8"/>
  <c r="M104" i="8"/>
  <c r="I148" i="8"/>
  <c r="N148" i="8" s="1"/>
  <c r="M148" i="8"/>
  <c r="M113" i="8"/>
  <c r="M109" i="8"/>
  <c r="N109" i="8"/>
  <c r="L101" i="8"/>
  <c r="L80" i="8"/>
  <c r="N92" i="8"/>
  <c r="M92" i="8"/>
  <c r="I113" i="8"/>
  <c r="N113" i="8" s="1"/>
  <c r="K96" i="8"/>
  <c r="L96" i="8" s="1"/>
  <c r="H96" i="8"/>
  <c r="G96" i="8"/>
  <c r="I96" i="8" s="1"/>
  <c r="K76" i="8"/>
  <c r="L76" i="8" s="1"/>
  <c r="H76" i="8"/>
  <c r="G76" i="8"/>
  <c r="N33" i="8"/>
  <c r="M33" i="8"/>
  <c r="I54" i="7"/>
  <c r="N50" i="8"/>
  <c r="M50" i="8"/>
  <c r="M88" i="8"/>
  <c r="I46" i="8"/>
  <c r="N46" i="8" s="1"/>
  <c r="L28" i="7"/>
  <c r="I79" i="7"/>
  <c r="N79" i="7" s="1"/>
  <c r="I23" i="7"/>
  <c r="L54" i="7"/>
  <c r="I41" i="7"/>
  <c r="N41" i="7" s="1"/>
  <c r="I186" i="6"/>
  <c r="N186" i="6" s="1"/>
  <c r="N125" i="6"/>
  <c r="M125" i="6"/>
  <c r="I103" i="6"/>
  <c r="N139" i="6"/>
  <c r="M139" i="6"/>
  <c r="L53" i="6"/>
  <c r="I23" i="6"/>
  <c r="N23" i="6" s="1"/>
  <c r="I29" i="6"/>
  <c r="N29" i="6" s="1"/>
  <c r="L19" i="6"/>
  <c r="H76" i="6"/>
  <c r="K76" i="6"/>
  <c r="L76" i="6" s="1"/>
  <c r="G76" i="6"/>
  <c r="H81" i="5"/>
  <c r="G81" i="5"/>
  <c r="K81" i="5"/>
  <c r="L81" i="5" s="1"/>
  <c r="L33" i="6"/>
  <c r="N89" i="5"/>
  <c r="M89" i="5"/>
  <c r="M44" i="5"/>
  <c r="O135" i="4"/>
  <c r="N135" i="4"/>
  <c r="O121" i="4"/>
  <c r="N121" i="4"/>
  <c r="I51" i="6"/>
  <c r="N51" i="6" s="1"/>
  <c r="I66" i="6"/>
  <c r="O175" i="4"/>
  <c r="N175" i="4"/>
  <c r="J149" i="4"/>
  <c r="N77" i="5"/>
  <c r="L34" i="5"/>
  <c r="L24" i="5"/>
  <c r="J162" i="4"/>
  <c r="O162" i="4" s="1"/>
  <c r="N74" i="4"/>
  <c r="N60" i="4"/>
  <c r="I46" i="5"/>
  <c r="N46" i="5" s="1"/>
  <c r="M100" i="4"/>
  <c r="I26" i="5"/>
  <c r="N26" i="5" s="1"/>
  <c r="J75" i="4"/>
  <c r="O75" i="4" s="1"/>
  <c r="O138" i="4"/>
  <c r="J105" i="4"/>
  <c r="J157" i="4"/>
  <c r="O157" i="4" s="1"/>
  <c r="O31" i="4"/>
  <c r="N31" i="4"/>
  <c r="N19" i="4"/>
  <c r="O117" i="4"/>
  <c r="O28" i="4"/>
  <c r="J77" i="4"/>
  <c r="O77" i="4" s="1"/>
  <c r="M154" i="8"/>
  <c r="N154" i="8"/>
  <c r="M115" i="8"/>
  <c r="N115" i="8"/>
  <c r="AS146" i="8"/>
  <c r="AK146" i="8"/>
  <c r="AC146" i="8"/>
  <c r="AQ146" i="8"/>
  <c r="AO146" i="8"/>
  <c r="AE146" i="8"/>
  <c r="AW146" i="8"/>
  <c r="AM146" i="8"/>
  <c r="AA146" i="8"/>
  <c r="AU146" i="8"/>
  <c r="AI146" i="8"/>
  <c r="AG146" i="8"/>
  <c r="N77" i="8"/>
  <c r="M77" i="8"/>
  <c r="M108" i="8"/>
  <c r="N108" i="8"/>
  <c r="N98" i="8"/>
  <c r="M98" i="8"/>
  <c r="N123" i="8"/>
  <c r="M123" i="8"/>
  <c r="M111" i="8"/>
  <c r="N111" i="8"/>
  <c r="L91" i="8"/>
  <c r="K116" i="8"/>
  <c r="L116" i="8" s="1"/>
  <c r="H116" i="8"/>
  <c r="G116" i="8"/>
  <c r="I71" i="8"/>
  <c r="N71" i="8" s="1"/>
  <c r="L138" i="8"/>
  <c r="M49" i="8"/>
  <c r="M58" i="8"/>
  <c r="N58" i="8"/>
  <c r="M71" i="8"/>
  <c r="L25" i="7"/>
  <c r="I41" i="8"/>
  <c r="I36" i="7"/>
  <c r="N36" i="7" s="1"/>
  <c r="I84" i="6"/>
  <c r="N84" i="6" s="1"/>
  <c r="N124" i="6"/>
  <c r="M124" i="6"/>
  <c r="M191" i="6"/>
  <c r="N191" i="6"/>
  <c r="N138" i="6"/>
  <c r="M138" i="6"/>
  <c r="N92" i="6"/>
  <c r="M92" i="6"/>
  <c r="M99" i="6"/>
  <c r="N151" i="6"/>
  <c r="M151" i="6"/>
  <c r="I28" i="6"/>
  <c r="N28" i="6" s="1"/>
  <c r="M82" i="6"/>
  <c r="M7" i="6" s="1"/>
  <c r="N82" i="6"/>
  <c r="I64" i="6"/>
  <c r="N64" i="6" s="1"/>
  <c r="L18" i="6"/>
  <c r="M169" i="6"/>
  <c r="I116" i="6"/>
  <c r="N116" i="6" s="1"/>
  <c r="H31" i="6"/>
  <c r="G31" i="6"/>
  <c r="I31" i="6" s="1"/>
  <c r="K31" i="6"/>
  <c r="L31" i="6" s="1"/>
  <c r="N76" i="5"/>
  <c r="M76" i="5"/>
  <c r="N43" i="5"/>
  <c r="M43" i="5"/>
  <c r="N146" i="4"/>
  <c r="O134" i="4"/>
  <c r="N134" i="4"/>
  <c r="O120" i="4"/>
  <c r="N120" i="4"/>
  <c r="I91" i="5"/>
  <c r="I24" i="5"/>
  <c r="O174" i="4"/>
  <c r="N174" i="4"/>
  <c r="J167" i="4"/>
  <c r="O167" i="4" s="1"/>
  <c r="M33" i="5"/>
  <c r="N23" i="5"/>
  <c r="M23" i="5"/>
  <c r="O85" i="4"/>
  <c r="N85" i="4"/>
  <c r="O71" i="4"/>
  <c r="N71" i="4"/>
  <c r="O59" i="4"/>
  <c r="N59" i="4"/>
  <c r="O111" i="4"/>
  <c r="N111" i="4"/>
  <c r="N99" i="4"/>
  <c r="N157" i="4"/>
  <c r="M115" i="4"/>
  <c r="J74" i="4"/>
  <c r="O74" i="4" s="1"/>
  <c r="J60" i="4"/>
  <c r="O60" i="4" s="1"/>
  <c r="J104" i="4"/>
  <c r="O104" i="4" s="1"/>
  <c r="J90" i="4"/>
  <c r="M30" i="4"/>
  <c r="N160" i="4"/>
  <c r="O78" i="4"/>
  <c r="N78" i="4"/>
  <c r="O122" i="4"/>
  <c r="N122" i="4"/>
  <c r="J102" i="4"/>
  <c r="O102" i="4" s="1"/>
  <c r="J72" i="4"/>
  <c r="O23" i="4"/>
  <c r="O67" i="4"/>
  <c r="N67" i="4"/>
  <c r="J112" i="4"/>
  <c r="O112" i="4" s="1"/>
  <c r="H141" i="8"/>
  <c r="G141" i="8"/>
  <c r="K141" i="8"/>
  <c r="N94" i="8"/>
  <c r="M94" i="8"/>
  <c r="M107" i="8"/>
  <c r="N107" i="8"/>
  <c r="L73" i="8"/>
  <c r="N48" i="8"/>
  <c r="M48" i="8"/>
  <c r="H66" i="8"/>
  <c r="G66" i="8"/>
  <c r="K66" i="8"/>
  <c r="L66" i="8" s="1"/>
  <c r="M106" i="8"/>
  <c r="N75" i="8"/>
  <c r="M75" i="8"/>
  <c r="M178" i="6"/>
  <c r="L38" i="7"/>
  <c r="M24" i="7"/>
  <c r="N24" i="7"/>
  <c r="N69" i="8"/>
  <c r="M69" i="8"/>
  <c r="N69" i="7"/>
  <c r="M69" i="7"/>
  <c r="G56" i="7"/>
  <c r="K56" i="7"/>
  <c r="L56" i="7" s="1"/>
  <c r="H56" i="7"/>
  <c r="I33" i="7"/>
  <c r="I19" i="7"/>
  <c r="H81" i="7"/>
  <c r="K81" i="7"/>
  <c r="L81" i="7" s="1"/>
  <c r="G81" i="7"/>
  <c r="G51" i="7"/>
  <c r="K51" i="7"/>
  <c r="H51" i="7"/>
  <c r="M106" i="6"/>
  <c r="N106" i="6"/>
  <c r="I83" i="6"/>
  <c r="N83" i="6" s="1"/>
  <c r="N27" i="7"/>
  <c r="N7" i="7" s="1"/>
  <c r="J19" i="2" s="1"/>
  <c r="N62" i="7"/>
  <c r="L123" i="6"/>
  <c r="G131" i="6"/>
  <c r="I131" i="6" s="1"/>
  <c r="K131" i="6"/>
  <c r="L131" i="6" s="1"/>
  <c r="H131" i="6"/>
  <c r="I99" i="6"/>
  <c r="N99" i="6" s="1"/>
  <c r="N57" i="7"/>
  <c r="I123" i="6"/>
  <c r="N89" i="6"/>
  <c r="M89" i="6"/>
  <c r="M79" i="6"/>
  <c r="N79" i="6"/>
  <c r="N141" i="6"/>
  <c r="M141" i="6"/>
  <c r="L88" i="5"/>
  <c r="M80" i="6"/>
  <c r="N80" i="6"/>
  <c r="M65" i="5"/>
  <c r="N65" i="5"/>
  <c r="I54" i="6"/>
  <c r="N54" i="6" s="1"/>
  <c r="N91" i="5"/>
  <c r="M91" i="5"/>
  <c r="N159" i="4"/>
  <c r="O145" i="4"/>
  <c r="N145" i="4"/>
  <c r="N131" i="4"/>
  <c r="O119" i="4"/>
  <c r="N82" i="5"/>
  <c r="N31" i="5"/>
  <c r="M31" i="5"/>
  <c r="M21" i="5"/>
  <c r="N162" i="4"/>
  <c r="O84" i="4"/>
  <c r="N84" i="4"/>
  <c r="N70" i="4"/>
  <c r="O56" i="4"/>
  <c r="N56" i="4"/>
  <c r="M110" i="4"/>
  <c r="O96" i="4"/>
  <c r="N96" i="4"/>
  <c r="J40" i="4"/>
  <c r="O40" i="4" s="1"/>
  <c r="O114" i="4"/>
  <c r="N114" i="4"/>
  <c r="O147" i="4"/>
  <c r="N147" i="4"/>
  <c r="M7" i="5"/>
  <c r="J89" i="4"/>
  <c r="M29" i="4"/>
  <c r="O73" i="4"/>
  <c r="N73" i="4"/>
  <c r="N112" i="4"/>
  <c r="O57" i="4"/>
  <c r="N57" i="4"/>
  <c r="I18" i="10"/>
  <c r="N87" i="8"/>
  <c r="M87" i="8"/>
  <c r="L139" i="8"/>
  <c r="I144" i="8"/>
  <c r="N144" i="8" s="1"/>
  <c r="M144" i="8"/>
  <c r="L89" i="8"/>
  <c r="M102" i="8"/>
  <c r="N102" i="8"/>
  <c r="I114" i="8"/>
  <c r="N114" i="8" s="1"/>
  <c r="L86" i="8"/>
  <c r="M59" i="8"/>
  <c r="N140" i="8"/>
  <c r="M140" i="8"/>
  <c r="N62" i="8"/>
  <c r="M62" i="8"/>
  <c r="M7" i="8" s="1"/>
  <c r="L74" i="8"/>
  <c r="N24" i="8"/>
  <c r="M24" i="8"/>
  <c r="M41" i="8"/>
  <c r="N41" i="8"/>
  <c r="K76" i="7"/>
  <c r="L76" i="7" s="1"/>
  <c r="N72" i="7"/>
  <c r="H76" i="7"/>
  <c r="G76" i="7"/>
  <c r="L51" i="7"/>
  <c r="M35" i="7"/>
  <c r="N35" i="7"/>
  <c r="M23" i="7"/>
  <c r="N23" i="7"/>
  <c r="N68" i="7"/>
  <c r="M68" i="7"/>
  <c r="I18" i="7"/>
  <c r="N18" i="7" s="1"/>
  <c r="H46" i="7"/>
  <c r="G46" i="7"/>
  <c r="K46" i="7"/>
  <c r="L46" i="7" s="1"/>
  <c r="N175" i="6"/>
  <c r="M175" i="6"/>
  <c r="L173" i="6"/>
  <c r="I134" i="6"/>
  <c r="N134" i="6" s="1"/>
  <c r="M105" i="6"/>
  <c r="N105" i="6"/>
  <c r="M53" i="7"/>
  <c r="N121" i="6"/>
  <c r="M121" i="6"/>
  <c r="K171" i="6"/>
  <c r="L171" i="6" s="1"/>
  <c r="H171" i="6"/>
  <c r="G171" i="6"/>
  <c r="I98" i="6"/>
  <c r="N98" i="6" s="1"/>
  <c r="N88" i="6"/>
  <c r="M88" i="6"/>
  <c r="I39" i="6"/>
  <c r="I83" i="5"/>
  <c r="N83" i="5" s="1"/>
  <c r="M64" i="5"/>
  <c r="I53" i="6"/>
  <c r="M116" i="6"/>
  <c r="M150" i="6"/>
  <c r="N40" i="6"/>
  <c r="M40" i="6"/>
  <c r="I69" i="5"/>
  <c r="N69" i="5" s="1"/>
  <c r="O156" i="4"/>
  <c r="N156" i="4"/>
  <c r="O144" i="4"/>
  <c r="N144" i="4"/>
  <c r="O130" i="4"/>
  <c r="N130" i="4"/>
  <c r="I34" i="5"/>
  <c r="J159" i="4"/>
  <c r="O159" i="4" s="1"/>
  <c r="N30" i="5"/>
  <c r="M30" i="5"/>
  <c r="N20" i="5"/>
  <c r="M20" i="5"/>
  <c r="O152" i="4"/>
  <c r="N152" i="4"/>
  <c r="O81" i="4"/>
  <c r="N81" i="4"/>
  <c r="N69" i="4"/>
  <c r="N55" i="4"/>
  <c r="N109" i="4"/>
  <c r="M95" i="4"/>
  <c r="J39" i="4"/>
  <c r="O39" i="4" s="1"/>
  <c r="J139" i="4"/>
  <c r="O139" i="4" s="1"/>
  <c r="J70" i="4"/>
  <c r="O70" i="4" s="1"/>
  <c r="N7" i="5"/>
  <c r="J12" i="2" s="1"/>
  <c r="J100" i="4"/>
  <c r="M26" i="4"/>
  <c r="O68" i="4"/>
  <c r="N68" i="4"/>
  <c r="I42" i="4"/>
  <c r="H42" i="4"/>
  <c r="O38" i="4"/>
  <c r="L42" i="4"/>
  <c r="M42" i="4" s="1"/>
  <c r="O72" i="4"/>
  <c r="N72" i="4"/>
  <c r="O18" i="4"/>
  <c r="N97" i="8"/>
  <c r="M97" i="8"/>
  <c r="H151" i="8"/>
  <c r="G151" i="8"/>
  <c r="K151" i="8"/>
  <c r="L151" i="8" s="1"/>
  <c r="G136" i="8"/>
  <c r="K136" i="8"/>
  <c r="L136" i="8" s="1"/>
  <c r="H136" i="8"/>
  <c r="M120" i="8"/>
  <c r="N120" i="8"/>
  <c r="N135" i="8"/>
  <c r="M135" i="8"/>
  <c r="I78" i="8"/>
  <c r="N78" i="8" s="1"/>
  <c r="I139" i="8"/>
  <c r="L119" i="8"/>
  <c r="N134" i="8"/>
  <c r="M134" i="8"/>
  <c r="I126" i="8"/>
  <c r="N126" i="8" s="1"/>
  <c r="L84" i="8"/>
  <c r="M105" i="8"/>
  <c r="N105" i="8"/>
  <c r="N99" i="8"/>
  <c r="M99" i="8"/>
  <c r="N82" i="8"/>
  <c r="M82" i="8"/>
  <c r="M103" i="8"/>
  <c r="N103" i="8"/>
  <c r="N29" i="8"/>
  <c r="M29" i="8"/>
  <c r="K81" i="8"/>
  <c r="L81" i="8" s="1"/>
  <c r="H81" i="8"/>
  <c r="G81" i="8"/>
  <c r="I81" i="8" s="1"/>
  <c r="L141" i="8"/>
  <c r="I90" i="8"/>
  <c r="N90" i="8" s="1"/>
  <c r="I59" i="8"/>
  <c r="N59" i="8" s="1"/>
  <c r="I84" i="8"/>
  <c r="N72" i="8"/>
  <c r="N7" i="8" s="1"/>
  <c r="J22" i="2" s="1"/>
  <c r="M72" i="8"/>
  <c r="N23" i="8"/>
  <c r="M23" i="8"/>
  <c r="M30" i="8"/>
  <c r="L34" i="7"/>
  <c r="L20" i="7"/>
  <c r="I74" i="7"/>
  <c r="N74" i="7" s="1"/>
  <c r="I31" i="8"/>
  <c r="N31" i="8" s="1"/>
  <c r="M68" i="8"/>
  <c r="N64" i="7"/>
  <c r="M64" i="7"/>
  <c r="N45" i="7"/>
  <c r="M45" i="7"/>
  <c r="I29" i="7"/>
  <c r="N29" i="7" s="1"/>
  <c r="H71" i="7"/>
  <c r="G71" i="7"/>
  <c r="I71" i="7" s="1"/>
  <c r="K71" i="7"/>
  <c r="L71" i="7" s="1"/>
  <c r="N188" i="6"/>
  <c r="M188" i="6"/>
  <c r="K176" i="6"/>
  <c r="L176" i="6" s="1"/>
  <c r="H176" i="6"/>
  <c r="G176" i="6"/>
  <c r="M189" i="6"/>
  <c r="L104" i="6"/>
  <c r="I178" i="6"/>
  <c r="N178" i="6" s="1"/>
  <c r="N120" i="6"/>
  <c r="M120" i="6"/>
  <c r="N42" i="7"/>
  <c r="I119" i="6"/>
  <c r="N119" i="6" s="1"/>
  <c r="L86" i="6"/>
  <c r="I126" i="6"/>
  <c r="N54" i="5"/>
  <c r="M54" i="5"/>
  <c r="N91" i="6"/>
  <c r="M91" i="6"/>
  <c r="N66" i="6"/>
  <c r="M66" i="6"/>
  <c r="I38" i="6"/>
  <c r="L63" i="5"/>
  <c r="K96" i="6"/>
  <c r="L96" i="6" s="1"/>
  <c r="G96" i="6"/>
  <c r="I96" i="6" s="1"/>
  <c r="H96" i="6"/>
  <c r="I166" i="6"/>
  <c r="N166" i="6" s="1"/>
  <c r="I88" i="5"/>
  <c r="AW161" i="6"/>
  <c r="AO161" i="6"/>
  <c r="AG161" i="6"/>
  <c r="AU161" i="6"/>
  <c r="AM161" i="6"/>
  <c r="AE161" i="6"/>
  <c r="AS161" i="6"/>
  <c r="AK161" i="6"/>
  <c r="AC161" i="6"/>
  <c r="AQ161" i="6"/>
  <c r="AI161" i="6"/>
  <c r="AA161" i="6"/>
  <c r="H26" i="6"/>
  <c r="G26" i="6"/>
  <c r="K26" i="6"/>
  <c r="L26" i="6" s="1"/>
  <c r="I64" i="5"/>
  <c r="N64" i="5" s="1"/>
  <c r="L39" i="6"/>
  <c r="I68" i="5"/>
  <c r="N68" i="5" s="1"/>
  <c r="M56" i="5"/>
  <c r="N155" i="4"/>
  <c r="N141" i="4"/>
  <c r="O129" i="4"/>
  <c r="N129" i="4"/>
  <c r="I33" i="5"/>
  <c r="N33" i="5" s="1"/>
  <c r="I19" i="5"/>
  <c r="I44" i="5"/>
  <c r="N44" i="5" s="1"/>
  <c r="J155" i="4"/>
  <c r="O155" i="4" s="1"/>
  <c r="M71" i="6"/>
  <c r="N71" i="6"/>
  <c r="N39" i="5"/>
  <c r="M39" i="5"/>
  <c r="L29" i="5"/>
  <c r="L19" i="5"/>
  <c r="N80" i="4"/>
  <c r="O66" i="4"/>
  <c r="N66" i="4"/>
  <c r="O54" i="4"/>
  <c r="N54" i="4"/>
  <c r="O106" i="4"/>
  <c r="N106" i="4"/>
  <c r="M94" i="4"/>
  <c r="J177" i="4"/>
  <c r="O177" i="4" s="1"/>
  <c r="J69" i="4"/>
  <c r="O69" i="4" s="1"/>
  <c r="J55" i="4"/>
  <c r="O55" i="4" s="1"/>
  <c r="J99" i="4"/>
  <c r="O99" i="4" s="1"/>
  <c r="N39" i="4"/>
  <c r="M25" i="4"/>
  <c r="I21" i="5"/>
  <c r="N21" i="5" s="1"/>
  <c r="O63" i="4"/>
  <c r="N63" i="4"/>
  <c r="H37" i="4"/>
  <c r="L37" i="4"/>
  <c r="M37" i="4" s="1"/>
  <c r="I37" i="4"/>
  <c r="J141" i="4"/>
  <c r="O141" i="4" s="1"/>
  <c r="O93" i="4"/>
  <c r="N93" i="4"/>
  <c r="J92" i="4"/>
  <c r="O92" i="4" s="1"/>
  <c r="J62" i="4"/>
  <c r="O62" i="4" s="1"/>
  <c r="J97" i="4"/>
  <c r="O97" i="4" s="1"/>
  <c r="J87" i="4"/>
  <c r="O87" i="4" s="1"/>
  <c r="O149" i="4" l="1"/>
  <c r="O64" i="4"/>
  <c r="O137" i="4"/>
  <c r="N21" i="4"/>
  <c r="O105" i="4"/>
  <c r="O89" i="4"/>
  <c r="N172" i="4"/>
  <c r="AN172" i="4" s="1"/>
  <c r="I91" i="8"/>
  <c r="I61" i="8"/>
  <c r="I66" i="8"/>
  <c r="I61" i="7"/>
  <c r="AJ106" i="8"/>
  <c r="I76" i="8"/>
  <c r="N76" i="8" s="1"/>
  <c r="I61" i="5"/>
  <c r="AX106" i="8"/>
  <c r="I56" i="8"/>
  <c r="I66" i="7"/>
  <c r="AV46" i="5"/>
  <c r="AL46" i="5"/>
  <c r="AD46" i="5"/>
  <c r="AT46" i="5"/>
  <c r="AJ46" i="5"/>
  <c r="AB46" i="5"/>
  <c r="AR46" i="5"/>
  <c r="AH46" i="5"/>
  <c r="AP46" i="5"/>
  <c r="AX46" i="5"/>
  <c r="AF46" i="5"/>
  <c r="AN46" i="5"/>
  <c r="N96" i="8"/>
  <c r="M96" i="8"/>
  <c r="AY177" i="4"/>
  <c r="AQ177" i="4"/>
  <c r="AI177" i="4"/>
  <c r="AW177" i="4"/>
  <c r="AO177" i="4"/>
  <c r="AG177" i="4"/>
  <c r="AU177" i="4"/>
  <c r="AM177" i="4"/>
  <c r="AE177" i="4"/>
  <c r="AS177" i="4"/>
  <c r="AK177" i="4"/>
  <c r="AC177" i="4"/>
  <c r="AT31" i="8"/>
  <c r="AL31" i="8"/>
  <c r="AD31" i="8"/>
  <c r="AR31" i="8"/>
  <c r="AJ31" i="8"/>
  <c r="AB31" i="8"/>
  <c r="AX31" i="8"/>
  <c r="AP31" i="8"/>
  <c r="AH31" i="8"/>
  <c r="AV31" i="8"/>
  <c r="AN31" i="8"/>
  <c r="AF31" i="8"/>
  <c r="AU77" i="4"/>
  <c r="AM77" i="4"/>
  <c r="AE77" i="4"/>
  <c r="AS77" i="4"/>
  <c r="AK77" i="4"/>
  <c r="AC77" i="4"/>
  <c r="AY77" i="4"/>
  <c r="AQ77" i="4"/>
  <c r="AI77" i="4"/>
  <c r="AW77" i="4"/>
  <c r="AO77" i="4"/>
  <c r="AG77" i="4"/>
  <c r="AU87" i="4"/>
  <c r="AM87" i="4"/>
  <c r="AE87" i="4"/>
  <c r="AS87" i="4"/>
  <c r="AK87" i="4"/>
  <c r="AC87" i="4"/>
  <c r="AY87" i="4"/>
  <c r="AQ87" i="4"/>
  <c r="AI87" i="4"/>
  <c r="AW87" i="4"/>
  <c r="AO87" i="4"/>
  <c r="AG87" i="4"/>
  <c r="AV126" i="8"/>
  <c r="AN126" i="8"/>
  <c r="AF126" i="8"/>
  <c r="AT126" i="8"/>
  <c r="AL126" i="8"/>
  <c r="AD126" i="8"/>
  <c r="AR126" i="8"/>
  <c r="AJ126" i="8"/>
  <c r="AB126" i="8"/>
  <c r="AX126" i="8"/>
  <c r="AP126" i="8"/>
  <c r="AH126" i="8"/>
  <c r="AU102" i="4"/>
  <c r="AM102" i="4"/>
  <c r="AE102" i="4"/>
  <c r="AS102" i="4"/>
  <c r="AK102" i="4"/>
  <c r="AC102" i="4"/>
  <c r="AY102" i="4"/>
  <c r="AQ102" i="4"/>
  <c r="AI102" i="4"/>
  <c r="AW102" i="4"/>
  <c r="AO102" i="4"/>
  <c r="AG102" i="4"/>
  <c r="AT51" i="6"/>
  <c r="AL51" i="6"/>
  <c r="AD51" i="6"/>
  <c r="AR51" i="6"/>
  <c r="AJ51" i="6"/>
  <c r="AB51" i="6"/>
  <c r="AX51" i="6"/>
  <c r="AP51" i="6"/>
  <c r="AH51" i="6"/>
  <c r="AV51" i="6"/>
  <c r="AN51" i="6"/>
  <c r="AF51" i="6"/>
  <c r="AX46" i="8"/>
  <c r="AP46" i="8"/>
  <c r="AH46" i="8"/>
  <c r="AV46" i="8"/>
  <c r="AN46" i="8"/>
  <c r="AF46" i="8"/>
  <c r="AT46" i="8"/>
  <c r="AL46" i="8"/>
  <c r="AD46" i="8"/>
  <c r="AR46" i="8"/>
  <c r="AJ46" i="8"/>
  <c r="AB46" i="8"/>
  <c r="AV66" i="5"/>
  <c r="AN66" i="5"/>
  <c r="AF66" i="5"/>
  <c r="AT66" i="5"/>
  <c r="AL66" i="5"/>
  <c r="AD66" i="5"/>
  <c r="AR66" i="5"/>
  <c r="AJ66" i="5"/>
  <c r="AB66" i="5"/>
  <c r="AX66" i="5"/>
  <c r="AP66" i="5"/>
  <c r="AH66" i="5"/>
  <c r="AW167" i="4"/>
  <c r="AO167" i="4"/>
  <c r="AG167" i="4"/>
  <c r="AU167" i="4"/>
  <c r="AM167" i="4"/>
  <c r="AE167" i="4"/>
  <c r="AS167" i="4"/>
  <c r="AK167" i="4"/>
  <c r="AC167" i="4"/>
  <c r="AY167" i="4"/>
  <c r="AQ167" i="4"/>
  <c r="AI167" i="4"/>
  <c r="AR186" i="6"/>
  <c r="AJ186" i="6"/>
  <c r="AB186" i="6"/>
  <c r="AX186" i="6"/>
  <c r="AP186" i="6"/>
  <c r="AH186" i="6"/>
  <c r="AT186" i="6"/>
  <c r="AL186" i="6"/>
  <c r="AD186" i="6"/>
  <c r="AN186" i="6"/>
  <c r="AF186" i="6"/>
  <c r="AV186" i="6"/>
  <c r="M76" i="8"/>
  <c r="AU92" i="4"/>
  <c r="AM92" i="4"/>
  <c r="AE92" i="4"/>
  <c r="AS92" i="4"/>
  <c r="AK92" i="4"/>
  <c r="AC92" i="4"/>
  <c r="AY92" i="4"/>
  <c r="AQ92" i="4"/>
  <c r="AI92" i="4"/>
  <c r="AW92" i="4"/>
  <c r="AO92" i="4"/>
  <c r="AG92" i="4"/>
  <c r="AR26" i="5"/>
  <c r="AJ26" i="5"/>
  <c r="AB26" i="5"/>
  <c r="AX26" i="5"/>
  <c r="AP26" i="5"/>
  <c r="AH26" i="5"/>
  <c r="AV26" i="5"/>
  <c r="AN26" i="5"/>
  <c r="AF26" i="5"/>
  <c r="AT26" i="5"/>
  <c r="AL26" i="5"/>
  <c r="AD26" i="5"/>
  <c r="AR41" i="7"/>
  <c r="AJ41" i="7"/>
  <c r="AB41" i="7"/>
  <c r="AX41" i="7"/>
  <c r="AP41" i="7"/>
  <c r="AH41" i="7"/>
  <c r="AV41" i="7"/>
  <c r="AN41" i="7"/>
  <c r="AF41" i="7"/>
  <c r="AT41" i="7"/>
  <c r="AL41" i="7"/>
  <c r="AD41" i="7"/>
  <c r="AU97" i="4"/>
  <c r="AM97" i="4"/>
  <c r="AE97" i="4"/>
  <c r="AS97" i="4"/>
  <c r="AK97" i="4"/>
  <c r="AC97" i="4"/>
  <c r="AY97" i="4"/>
  <c r="AQ97" i="4"/>
  <c r="AI97" i="4"/>
  <c r="AW97" i="4"/>
  <c r="AO97" i="4"/>
  <c r="AG97" i="4"/>
  <c r="AU62" i="4"/>
  <c r="AM62" i="4"/>
  <c r="AE62" i="4"/>
  <c r="AS62" i="4"/>
  <c r="AK62" i="4"/>
  <c r="AC62" i="4"/>
  <c r="AY62" i="4"/>
  <c r="AQ62" i="4"/>
  <c r="AI62" i="4"/>
  <c r="AW62" i="4"/>
  <c r="AO62" i="4"/>
  <c r="AG62" i="4"/>
  <c r="AX166" i="6"/>
  <c r="AP166" i="6"/>
  <c r="AH166" i="6"/>
  <c r="AV166" i="6"/>
  <c r="AN166" i="6"/>
  <c r="AF166" i="6"/>
  <c r="AT166" i="6"/>
  <c r="AL166" i="6"/>
  <c r="AD166" i="6"/>
  <c r="AR166" i="6"/>
  <c r="AJ166" i="6"/>
  <c r="AB166" i="6"/>
  <c r="AR21" i="5"/>
  <c r="AJ21" i="5"/>
  <c r="AB21" i="5"/>
  <c r="AX21" i="5"/>
  <c r="AP21" i="5"/>
  <c r="AH21" i="5"/>
  <c r="AV21" i="5"/>
  <c r="AN21" i="5"/>
  <c r="AF21" i="5"/>
  <c r="AT21" i="5"/>
  <c r="AL21" i="5"/>
  <c r="AD21" i="5"/>
  <c r="N81" i="8"/>
  <c r="M81" i="8"/>
  <c r="AX116" i="6"/>
  <c r="AP116" i="6"/>
  <c r="AH116" i="6"/>
  <c r="AV116" i="6"/>
  <c r="AN116" i="6"/>
  <c r="AF116" i="6"/>
  <c r="AT116" i="6"/>
  <c r="AL116" i="6"/>
  <c r="AD116" i="6"/>
  <c r="AR116" i="6"/>
  <c r="AJ116" i="6"/>
  <c r="AB116" i="6"/>
  <c r="M76" i="6"/>
  <c r="O132" i="4"/>
  <c r="N132" i="4"/>
  <c r="AR81" i="6"/>
  <c r="AJ81" i="6"/>
  <c r="AB81" i="6"/>
  <c r="AV81" i="6"/>
  <c r="AN81" i="6"/>
  <c r="AF81" i="6"/>
  <c r="AT81" i="6"/>
  <c r="AL81" i="6"/>
  <c r="AD81" i="6"/>
  <c r="AP81" i="6"/>
  <c r="AH81" i="6"/>
  <c r="AX81" i="6"/>
  <c r="AU56" i="6"/>
  <c r="AM56" i="6"/>
  <c r="AE56" i="6"/>
  <c r="AS56" i="6"/>
  <c r="AK56" i="6"/>
  <c r="AC56" i="6"/>
  <c r="AQ56" i="6"/>
  <c r="AI56" i="6"/>
  <c r="AA56" i="6"/>
  <c r="AW56" i="6"/>
  <c r="AO56" i="6"/>
  <c r="AG56" i="6"/>
  <c r="N66" i="7"/>
  <c r="M66" i="7"/>
  <c r="AT52" i="4"/>
  <c r="AL52" i="4"/>
  <c r="AD52" i="4"/>
  <c r="AR52" i="4"/>
  <c r="AJ52" i="4"/>
  <c r="AB52" i="4"/>
  <c r="AX52" i="4"/>
  <c r="AP52" i="4"/>
  <c r="AH52" i="4"/>
  <c r="AV52" i="4"/>
  <c r="AN52" i="4"/>
  <c r="AF52" i="4"/>
  <c r="AT182" i="4"/>
  <c r="AL182" i="4"/>
  <c r="AD182" i="4"/>
  <c r="AR182" i="4"/>
  <c r="AJ182" i="4"/>
  <c r="AB182" i="4"/>
  <c r="AX182" i="4"/>
  <c r="AP182" i="4"/>
  <c r="AH182" i="4"/>
  <c r="AV182" i="4"/>
  <c r="AN182" i="4"/>
  <c r="AF182" i="4"/>
  <c r="AU46" i="5"/>
  <c r="AM46" i="5"/>
  <c r="AK46" i="5"/>
  <c r="AC46" i="5"/>
  <c r="AS46" i="5"/>
  <c r="AI46" i="5"/>
  <c r="AA46" i="5"/>
  <c r="AQ46" i="5"/>
  <c r="AG46" i="5"/>
  <c r="AO46" i="5"/>
  <c r="AW46" i="5"/>
  <c r="AE46" i="5"/>
  <c r="AU126" i="8"/>
  <c r="AM126" i="8"/>
  <c r="AE126" i="8"/>
  <c r="AS126" i="8"/>
  <c r="AK126" i="8"/>
  <c r="AC126" i="8"/>
  <c r="AA126" i="8"/>
  <c r="AO126" i="8"/>
  <c r="AW126" i="8"/>
  <c r="AQ126" i="8"/>
  <c r="AI126" i="8"/>
  <c r="AG126" i="8"/>
  <c r="AP71" i="6"/>
  <c r="AX71" i="6"/>
  <c r="AF71" i="6"/>
  <c r="AN71" i="6"/>
  <c r="AV71" i="6"/>
  <c r="AL71" i="6"/>
  <c r="AD71" i="6"/>
  <c r="AT71" i="6"/>
  <c r="AJ71" i="6"/>
  <c r="AB71" i="6"/>
  <c r="AR71" i="6"/>
  <c r="AH71" i="6"/>
  <c r="AV66" i="6"/>
  <c r="AN66" i="6"/>
  <c r="AF66" i="6"/>
  <c r="AT66" i="6"/>
  <c r="AL66" i="6"/>
  <c r="AD66" i="6"/>
  <c r="AR66" i="6"/>
  <c r="AJ66" i="6"/>
  <c r="AB66" i="6"/>
  <c r="AX66" i="6"/>
  <c r="AP66" i="6"/>
  <c r="AH66" i="6"/>
  <c r="M176" i="6"/>
  <c r="M141" i="8"/>
  <c r="O95" i="4"/>
  <c r="N95" i="4"/>
  <c r="AW121" i="6"/>
  <c r="AO121" i="6"/>
  <c r="AG121" i="6"/>
  <c r="AU121" i="6"/>
  <c r="AM121" i="6"/>
  <c r="AE121" i="6"/>
  <c r="AS121" i="6"/>
  <c r="AK121" i="6"/>
  <c r="AC121" i="6"/>
  <c r="AQ121" i="6"/>
  <c r="AI121" i="6"/>
  <c r="AA121" i="6"/>
  <c r="AV41" i="8"/>
  <c r="AN41" i="8"/>
  <c r="AF41" i="8"/>
  <c r="AT41" i="8"/>
  <c r="AL41" i="8"/>
  <c r="AD41" i="8"/>
  <c r="AR41" i="8"/>
  <c r="AJ41" i="8"/>
  <c r="AB41" i="8"/>
  <c r="AX41" i="8"/>
  <c r="AP41" i="8"/>
  <c r="AH41" i="8"/>
  <c r="AU57" i="4"/>
  <c r="AM57" i="4"/>
  <c r="AE57" i="4"/>
  <c r="AS57" i="4"/>
  <c r="AK57" i="4"/>
  <c r="AC57" i="4"/>
  <c r="AY57" i="4"/>
  <c r="AQ57" i="4"/>
  <c r="AI57" i="4"/>
  <c r="AW57" i="4"/>
  <c r="AO57" i="4"/>
  <c r="AG57" i="4"/>
  <c r="AT147" i="4"/>
  <c r="AL147" i="4"/>
  <c r="AD147" i="4"/>
  <c r="AR147" i="4"/>
  <c r="AJ147" i="4"/>
  <c r="AB147" i="4"/>
  <c r="AX147" i="4"/>
  <c r="AP147" i="4"/>
  <c r="AH147" i="4"/>
  <c r="AV147" i="4"/>
  <c r="AN147" i="4"/>
  <c r="AF147" i="4"/>
  <c r="AS21" i="5"/>
  <c r="AK21" i="5"/>
  <c r="AC21" i="5"/>
  <c r="AQ21" i="5"/>
  <c r="AI21" i="5"/>
  <c r="AA21" i="5"/>
  <c r="AW21" i="5"/>
  <c r="AO21" i="5"/>
  <c r="AG21" i="5"/>
  <c r="AU21" i="5"/>
  <c r="AM21" i="5"/>
  <c r="AE21" i="5"/>
  <c r="M56" i="7"/>
  <c r="M38" i="7"/>
  <c r="N38" i="7"/>
  <c r="M116" i="8"/>
  <c r="N24" i="5"/>
  <c r="M24" i="5"/>
  <c r="AW51" i="8"/>
  <c r="AO51" i="8"/>
  <c r="AG51" i="8"/>
  <c r="AU51" i="8"/>
  <c r="AM51" i="8"/>
  <c r="AE51" i="8"/>
  <c r="AS51" i="8"/>
  <c r="AK51" i="8"/>
  <c r="AC51" i="8"/>
  <c r="AQ51" i="8"/>
  <c r="AI51" i="8"/>
  <c r="AA51" i="8"/>
  <c r="AV87" i="4"/>
  <c r="AN87" i="4"/>
  <c r="AF87" i="4"/>
  <c r="AT87" i="4"/>
  <c r="AL87" i="4"/>
  <c r="AD87" i="4"/>
  <c r="AR87" i="4"/>
  <c r="AJ87" i="4"/>
  <c r="AB87" i="4"/>
  <c r="AX87" i="4"/>
  <c r="AP87" i="4"/>
  <c r="AH87" i="4"/>
  <c r="AR36" i="5"/>
  <c r="AJ36" i="5"/>
  <c r="AB36" i="5"/>
  <c r="AX36" i="5"/>
  <c r="AP36" i="5"/>
  <c r="AH36" i="5"/>
  <c r="AV36" i="5"/>
  <c r="AN36" i="5"/>
  <c r="AF36" i="5"/>
  <c r="AT36" i="5"/>
  <c r="AL36" i="5"/>
  <c r="AD36" i="5"/>
  <c r="M86" i="5"/>
  <c r="AS81" i="6"/>
  <c r="AK81" i="6"/>
  <c r="AC81" i="6"/>
  <c r="AQ81" i="6"/>
  <c r="AI81" i="6"/>
  <c r="AA81" i="6"/>
  <c r="AW81" i="6"/>
  <c r="AO81" i="6"/>
  <c r="AG81" i="6"/>
  <c r="AM81" i="6"/>
  <c r="AE81" i="6"/>
  <c r="AU81" i="6"/>
  <c r="AT26" i="8"/>
  <c r="AL26" i="8"/>
  <c r="AD26" i="8"/>
  <c r="AR26" i="8"/>
  <c r="AJ26" i="8"/>
  <c r="AB26" i="8"/>
  <c r="AX26" i="8"/>
  <c r="AP26" i="8"/>
  <c r="AH26" i="8"/>
  <c r="AV26" i="8"/>
  <c r="AN26" i="8"/>
  <c r="AF26" i="8"/>
  <c r="J142" i="4"/>
  <c r="AS41" i="5"/>
  <c r="AK41" i="5"/>
  <c r="AC41" i="5"/>
  <c r="AQ41" i="5"/>
  <c r="AI41" i="5"/>
  <c r="AA41" i="5"/>
  <c r="AW41" i="5"/>
  <c r="AO41" i="5"/>
  <c r="AG41" i="5"/>
  <c r="AU41" i="5"/>
  <c r="AM41" i="5"/>
  <c r="AE41" i="5"/>
  <c r="AT56" i="6"/>
  <c r="AL56" i="6"/>
  <c r="AD56" i="6"/>
  <c r="AR56" i="6"/>
  <c r="AJ56" i="6"/>
  <c r="AB56" i="6"/>
  <c r="AX56" i="6"/>
  <c r="AP56" i="6"/>
  <c r="AH56" i="6"/>
  <c r="AV56" i="6"/>
  <c r="AN56" i="6"/>
  <c r="AF56" i="6"/>
  <c r="AS146" i="6"/>
  <c r="AK146" i="6"/>
  <c r="AC146" i="6"/>
  <c r="AQ146" i="6"/>
  <c r="AI146" i="6"/>
  <c r="AA146" i="6"/>
  <c r="AW146" i="6"/>
  <c r="AO146" i="6"/>
  <c r="AG146" i="6"/>
  <c r="AU146" i="6"/>
  <c r="AM146" i="6"/>
  <c r="AE146" i="6"/>
  <c r="AS186" i="6"/>
  <c r="AK186" i="6"/>
  <c r="AC186" i="6"/>
  <c r="AQ186" i="6"/>
  <c r="AI186" i="6"/>
  <c r="AA186" i="6"/>
  <c r="AW186" i="6"/>
  <c r="AO186" i="6"/>
  <c r="AG186" i="6"/>
  <c r="AU186" i="6"/>
  <c r="AM186" i="6"/>
  <c r="AE186" i="6"/>
  <c r="I31" i="7"/>
  <c r="AU52" i="4"/>
  <c r="AM52" i="4"/>
  <c r="AE52" i="4"/>
  <c r="AS52" i="4"/>
  <c r="AK52" i="4"/>
  <c r="AC52" i="4"/>
  <c r="AY52" i="4"/>
  <c r="AQ52" i="4"/>
  <c r="AI52" i="4"/>
  <c r="AW52" i="4"/>
  <c r="AO52" i="4"/>
  <c r="AG52" i="4"/>
  <c r="AR36" i="6"/>
  <c r="AJ36" i="6"/>
  <c r="AB36" i="6"/>
  <c r="AX36" i="6"/>
  <c r="AP36" i="6"/>
  <c r="AH36" i="6"/>
  <c r="AV36" i="6"/>
  <c r="AN36" i="6"/>
  <c r="AF36" i="6"/>
  <c r="AT36" i="6"/>
  <c r="AL36" i="6"/>
  <c r="AD36" i="6"/>
  <c r="AS182" i="4"/>
  <c r="AK182" i="4"/>
  <c r="AC182" i="4"/>
  <c r="AY182" i="4"/>
  <c r="AQ182" i="4"/>
  <c r="AI182" i="4"/>
  <c r="AW182" i="4"/>
  <c r="AO182" i="4"/>
  <c r="AG182" i="4"/>
  <c r="AU182" i="4"/>
  <c r="AM182" i="4"/>
  <c r="AE182" i="4"/>
  <c r="AT46" i="6"/>
  <c r="AL46" i="6"/>
  <c r="AD46" i="6"/>
  <c r="AR46" i="6"/>
  <c r="AJ46" i="6"/>
  <c r="AB46" i="6"/>
  <c r="AX46" i="6"/>
  <c r="AP46" i="6"/>
  <c r="AH46" i="6"/>
  <c r="AV46" i="6"/>
  <c r="AN46" i="6"/>
  <c r="AF46" i="6"/>
  <c r="AU82" i="4"/>
  <c r="AM82" i="4"/>
  <c r="AE82" i="4"/>
  <c r="AS82" i="4"/>
  <c r="AK82" i="4"/>
  <c r="AC82" i="4"/>
  <c r="AY82" i="4"/>
  <c r="AQ82" i="4"/>
  <c r="AI82" i="4"/>
  <c r="AW82" i="4"/>
  <c r="AO82" i="4"/>
  <c r="AG82" i="4"/>
  <c r="AW36" i="7"/>
  <c r="AO36" i="7"/>
  <c r="AG36" i="7"/>
  <c r="AU36" i="7"/>
  <c r="AM36" i="7"/>
  <c r="AE36" i="7"/>
  <c r="AS36" i="7"/>
  <c r="AK36" i="7"/>
  <c r="AC36" i="7"/>
  <c r="AQ36" i="7"/>
  <c r="AI36" i="7"/>
  <c r="AA36" i="7"/>
  <c r="M34" i="7"/>
  <c r="N34" i="7"/>
  <c r="AU162" i="4"/>
  <c r="AM162" i="4"/>
  <c r="AE162" i="4"/>
  <c r="AS162" i="4"/>
  <c r="AK162" i="4"/>
  <c r="AC162" i="4"/>
  <c r="AY162" i="4"/>
  <c r="AQ162" i="4"/>
  <c r="AI162" i="4"/>
  <c r="AW162" i="4"/>
  <c r="AO162" i="4"/>
  <c r="AG162" i="4"/>
  <c r="AV36" i="8"/>
  <c r="AN36" i="8"/>
  <c r="AF36" i="8"/>
  <c r="AT36" i="8"/>
  <c r="AL36" i="8"/>
  <c r="AD36" i="8"/>
  <c r="AR36" i="8"/>
  <c r="AJ36" i="8"/>
  <c r="AB36" i="8"/>
  <c r="AX36" i="8"/>
  <c r="AP36" i="8"/>
  <c r="AH36" i="8"/>
  <c r="M26" i="6"/>
  <c r="M46" i="7"/>
  <c r="AW41" i="8"/>
  <c r="AO41" i="8"/>
  <c r="AG41" i="8"/>
  <c r="AU41" i="8"/>
  <c r="AM41" i="8"/>
  <c r="AE41" i="8"/>
  <c r="AS41" i="8"/>
  <c r="AK41" i="8"/>
  <c r="AC41" i="8"/>
  <c r="AQ41" i="8"/>
  <c r="AI41" i="8"/>
  <c r="AA41" i="8"/>
  <c r="AV112" i="4"/>
  <c r="AN112" i="4"/>
  <c r="AF112" i="4"/>
  <c r="AT112" i="4"/>
  <c r="AL112" i="4"/>
  <c r="AD112" i="4"/>
  <c r="AR112" i="4"/>
  <c r="AJ112" i="4"/>
  <c r="AB112" i="4"/>
  <c r="AX112" i="4"/>
  <c r="AP112" i="4"/>
  <c r="AH112" i="4"/>
  <c r="AU147" i="4"/>
  <c r="AM147" i="4"/>
  <c r="AE147" i="4"/>
  <c r="AY147" i="4"/>
  <c r="AQ147" i="4"/>
  <c r="AI147" i="4"/>
  <c r="AW147" i="4"/>
  <c r="AO147" i="4"/>
  <c r="AG147" i="4"/>
  <c r="AS147" i="4"/>
  <c r="AK147" i="4"/>
  <c r="AC147" i="4"/>
  <c r="N123" i="6"/>
  <c r="M123" i="6"/>
  <c r="I51" i="7"/>
  <c r="I56" i="7"/>
  <c r="N56" i="7" s="1"/>
  <c r="N18" i="6"/>
  <c r="M18" i="6"/>
  <c r="N91" i="8"/>
  <c r="M91" i="8"/>
  <c r="O100" i="4"/>
  <c r="N100" i="4"/>
  <c r="N34" i="5"/>
  <c r="M34" i="5"/>
  <c r="N19" i="6"/>
  <c r="M19" i="6"/>
  <c r="N80" i="8"/>
  <c r="M80" i="8"/>
  <c r="N61" i="7"/>
  <c r="M61" i="7"/>
  <c r="AX51" i="8"/>
  <c r="AP51" i="8"/>
  <c r="AH51" i="8"/>
  <c r="AV51" i="8"/>
  <c r="AN51" i="8"/>
  <c r="AF51" i="8"/>
  <c r="AT51" i="8"/>
  <c r="AL51" i="8"/>
  <c r="AD51" i="8"/>
  <c r="AR51" i="8"/>
  <c r="AJ51" i="8"/>
  <c r="AB51" i="8"/>
  <c r="M153" i="8"/>
  <c r="N153" i="8"/>
  <c r="N35" i="6"/>
  <c r="M35" i="6"/>
  <c r="AT41" i="5"/>
  <c r="AL41" i="5"/>
  <c r="AD41" i="5"/>
  <c r="AR41" i="5"/>
  <c r="AJ41" i="5"/>
  <c r="AB41" i="5"/>
  <c r="AX41" i="5"/>
  <c r="AP41" i="5"/>
  <c r="AH41" i="5"/>
  <c r="AV41" i="5"/>
  <c r="AN41" i="5"/>
  <c r="AF41" i="5"/>
  <c r="N18" i="5"/>
  <c r="M18" i="5"/>
  <c r="N38" i="6"/>
  <c r="M38" i="6"/>
  <c r="AT146" i="6"/>
  <c r="AL146" i="6"/>
  <c r="AD146" i="6"/>
  <c r="AR146" i="6"/>
  <c r="AJ146" i="6"/>
  <c r="AB146" i="6"/>
  <c r="AX146" i="6"/>
  <c r="AP146" i="6"/>
  <c r="AH146" i="6"/>
  <c r="AV146" i="6"/>
  <c r="AN146" i="6"/>
  <c r="AF146" i="6"/>
  <c r="AT127" i="4"/>
  <c r="AL127" i="4"/>
  <c r="AD127" i="4"/>
  <c r="AX127" i="4"/>
  <c r="AP127" i="4"/>
  <c r="AH127" i="4"/>
  <c r="AR127" i="4"/>
  <c r="AN127" i="4"/>
  <c r="AJ127" i="4"/>
  <c r="AF127" i="4"/>
  <c r="AV127" i="4"/>
  <c r="AB127" i="4"/>
  <c r="AV26" i="7"/>
  <c r="AN26" i="7"/>
  <c r="AF26" i="7"/>
  <c r="AT26" i="7"/>
  <c r="AL26" i="7"/>
  <c r="AD26" i="7"/>
  <c r="AR26" i="7"/>
  <c r="AJ26" i="7"/>
  <c r="AB26" i="7"/>
  <c r="AX26" i="7"/>
  <c r="AP26" i="7"/>
  <c r="AH26" i="7"/>
  <c r="AU51" i="6"/>
  <c r="AM51" i="6"/>
  <c r="AE51" i="6"/>
  <c r="AS51" i="6"/>
  <c r="AK51" i="6"/>
  <c r="AC51" i="6"/>
  <c r="AQ51" i="6"/>
  <c r="AI51" i="6"/>
  <c r="AA51" i="6"/>
  <c r="AW51" i="6"/>
  <c r="AO51" i="6"/>
  <c r="AG51" i="6"/>
  <c r="AT62" i="4"/>
  <c r="AL62" i="4"/>
  <c r="AD62" i="4"/>
  <c r="AR62" i="4"/>
  <c r="AJ62" i="4"/>
  <c r="AB62" i="4"/>
  <c r="AX62" i="4"/>
  <c r="AP62" i="4"/>
  <c r="AH62" i="4"/>
  <c r="AV62" i="4"/>
  <c r="AN62" i="4"/>
  <c r="AF62" i="4"/>
  <c r="AW172" i="4"/>
  <c r="AO172" i="4"/>
  <c r="AG172" i="4"/>
  <c r="AU172" i="4"/>
  <c r="AM172" i="4"/>
  <c r="AE172" i="4"/>
  <c r="AS172" i="4"/>
  <c r="AK172" i="4"/>
  <c r="AC172" i="4"/>
  <c r="AY172" i="4"/>
  <c r="AQ172" i="4"/>
  <c r="AI172" i="4"/>
  <c r="M8" i="8"/>
  <c r="AW46" i="8"/>
  <c r="AO46" i="8"/>
  <c r="AG46" i="8"/>
  <c r="AU46" i="8"/>
  <c r="AM46" i="8"/>
  <c r="AE46" i="8"/>
  <c r="AS46" i="8"/>
  <c r="AK46" i="8"/>
  <c r="AC46" i="8"/>
  <c r="AQ46" i="8"/>
  <c r="AI46" i="8"/>
  <c r="AA46" i="8"/>
  <c r="N131" i="6"/>
  <c r="M131" i="6"/>
  <c r="AT151" i="6"/>
  <c r="AL151" i="6"/>
  <c r="AD151" i="6"/>
  <c r="AR151" i="6"/>
  <c r="AJ151" i="6"/>
  <c r="AB151" i="6"/>
  <c r="AX151" i="6"/>
  <c r="AP151" i="6"/>
  <c r="AH151" i="6"/>
  <c r="AV151" i="6"/>
  <c r="AN151" i="6"/>
  <c r="AF151" i="6"/>
  <c r="AU117" i="4"/>
  <c r="AM117" i="4"/>
  <c r="AE117" i="4"/>
  <c r="AY117" i="4"/>
  <c r="AQ117" i="4"/>
  <c r="AI117" i="4"/>
  <c r="AK117" i="4"/>
  <c r="AW117" i="4"/>
  <c r="AG117" i="4"/>
  <c r="AS117" i="4"/>
  <c r="AC117" i="4"/>
  <c r="AO117" i="4"/>
  <c r="M28" i="7"/>
  <c r="N28" i="7"/>
  <c r="O8" i="4"/>
  <c r="J7" i="2" s="1"/>
  <c r="AT152" i="4"/>
  <c r="AL152" i="4"/>
  <c r="AD152" i="4"/>
  <c r="AR152" i="4"/>
  <c r="AJ152" i="4"/>
  <c r="AB152" i="4"/>
  <c r="AX152" i="4"/>
  <c r="AP152" i="4"/>
  <c r="AH152" i="4"/>
  <c r="AV152" i="4"/>
  <c r="AN152" i="4"/>
  <c r="AF152" i="4"/>
  <c r="AX121" i="6"/>
  <c r="AP121" i="6"/>
  <c r="AH121" i="6"/>
  <c r="AV121" i="6"/>
  <c r="AN121" i="6"/>
  <c r="AF121" i="6"/>
  <c r="AT121" i="6"/>
  <c r="AL121" i="6"/>
  <c r="AD121" i="6"/>
  <c r="AR121" i="6"/>
  <c r="AJ121" i="6"/>
  <c r="AB121" i="6"/>
  <c r="O25" i="4"/>
  <c r="N25" i="4"/>
  <c r="AU137" i="4"/>
  <c r="AM137" i="4"/>
  <c r="AE137" i="4"/>
  <c r="AY137" i="4"/>
  <c r="AQ137" i="4"/>
  <c r="AI137" i="4"/>
  <c r="AW137" i="4"/>
  <c r="AO137" i="4"/>
  <c r="AG137" i="4"/>
  <c r="AS137" i="4"/>
  <c r="AK137" i="4"/>
  <c r="AC137" i="4"/>
  <c r="I26" i="6"/>
  <c r="N26" i="6" s="1"/>
  <c r="AT91" i="6"/>
  <c r="AL91" i="6"/>
  <c r="AD91" i="6"/>
  <c r="AR91" i="6"/>
  <c r="AJ91" i="6"/>
  <c r="AB91" i="6"/>
  <c r="AX91" i="6"/>
  <c r="AP91" i="6"/>
  <c r="AH91" i="6"/>
  <c r="AF91" i="6"/>
  <c r="AV91" i="6"/>
  <c r="AN91" i="6"/>
  <c r="N119" i="8"/>
  <c r="M119" i="8"/>
  <c r="M136" i="8"/>
  <c r="AT72" i="4"/>
  <c r="AL72" i="4"/>
  <c r="AD72" i="4"/>
  <c r="AR72" i="4"/>
  <c r="AJ72" i="4"/>
  <c r="AB72" i="4"/>
  <c r="AX72" i="4"/>
  <c r="AP72" i="4"/>
  <c r="AH72" i="4"/>
  <c r="AV72" i="4"/>
  <c r="AN72" i="4"/>
  <c r="AF72" i="4"/>
  <c r="O26" i="4"/>
  <c r="O11" i="4" s="1"/>
  <c r="M7" i="2" s="1"/>
  <c r="N26" i="4"/>
  <c r="N11" i="4" s="1"/>
  <c r="AU152" i="4"/>
  <c r="AM152" i="4"/>
  <c r="AE152" i="4"/>
  <c r="AS152" i="4"/>
  <c r="AK152" i="4"/>
  <c r="AC152" i="4"/>
  <c r="AY152" i="4"/>
  <c r="AQ152" i="4"/>
  <c r="AI152" i="4"/>
  <c r="AW152" i="4"/>
  <c r="AO152" i="4"/>
  <c r="AG152" i="4"/>
  <c r="I46" i="7"/>
  <c r="N46" i="7" s="1"/>
  <c r="N139" i="8"/>
  <c r="M139" i="8"/>
  <c r="AU112" i="4"/>
  <c r="AM112" i="4"/>
  <c r="AE112" i="4"/>
  <c r="AS112" i="4"/>
  <c r="AK112" i="4"/>
  <c r="AC112" i="4"/>
  <c r="AY112" i="4"/>
  <c r="AQ112" i="4"/>
  <c r="AI112" i="4"/>
  <c r="AW112" i="4"/>
  <c r="AO112" i="4"/>
  <c r="AG112" i="4"/>
  <c r="AS31" i="5"/>
  <c r="AK31" i="5"/>
  <c r="AC31" i="5"/>
  <c r="AQ31" i="5"/>
  <c r="AI31" i="5"/>
  <c r="AA31" i="5"/>
  <c r="AW31" i="5"/>
  <c r="AO31" i="5"/>
  <c r="AG31" i="5"/>
  <c r="AU31" i="5"/>
  <c r="AM31" i="5"/>
  <c r="AE31" i="5"/>
  <c r="I81" i="7"/>
  <c r="I141" i="8"/>
  <c r="N141" i="8" s="1"/>
  <c r="AT122" i="4"/>
  <c r="AL122" i="4"/>
  <c r="AD122" i="4"/>
  <c r="AX122" i="4"/>
  <c r="AP122" i="4"/>
  <c r="AH122" i="4"/>
  <c r="AJ122" i="4"/>
  <c r="AV122" i="4"/>
  <c r="AF122" i="4"/>
  <c r="AR122" i="4"/>
  <c r="AB122" i="4"/>
  <c r="AN122" i="4"/>
  <c r="AQ76" i="5"/>
  <c r="AI76" i="5"/>
  <c r="AA76" i="5"/>
  <c r="AW76" i="5"/>
  <c r="AO76" i="5"/>
  <c r="AG76" i="5"/>
  <c r="AU76" i="5"/>
  <c r="AM76" i="5"/>
  <c r="AE76" i="5"/>
  <c r="AS76" i="5"/>
  <c r="AK76" i="5"/>
  <c r="AC76" i="5"/>
  <c r="AT111" i="8"/>
  <c r="AL111" i="8"/>
  <c r="AD111" i="8"/>
  <c r="AX111" i="8"/>
  <c r="AN111" i="8"/>
  <c r="AB111" i="8"/>
  <c r="AR111" i="8"/>
  <c r="AH111" i="8"/>
  <c r="AV111" i="8"/>
  <c r="AP111" i="8"/>
  <c r="AJ111" i="8"/>
  <c r="AF111" i="8"/>
  <c r="N33" i="6"/>
  <c r="M33" i="6"/>
  <c r="N101" i="8"/>
  <c r="M101" i="8"/>
  <c r="M10" i="6"/>
  <c r="AX177" i="4"/>
  <c r="AP177" i="4"/>
  <c r="AH177" i="4"/>
  <c r="AV177" i="4"/>
  <c r="AN177" i="4"/>
  <c r="AF177" i="4"/>
  <c r="AT177" i="4"/>
  <c r="AL177" i="4"/>
  <c r="AD177" i="4"/>
  <c r="AR177" i="4"/>
  <c r="AJ177" i="4"/>
  <c r="AB177" i="4"/>
  <c r="O142" i="4"/>
  <c r="N142" i="4"/>
  <c r="M31" i="7"/>
  <c r="M11" i="7" s="1"/>
  <c r="N31" i="7"/>
  <c r="N95" i="8"/>
  <c r="M95" i="8"/>
  <c r="AU127" i="4"/>
  <c r="AM127" i="4"/>
  <c r="AE127" i="4"/>
  <c r="AY127" i="4"/>
  <c r="AQ127" i="4"/>
  <c r="AI127" i="4"/>
  <c r="AW127" i="4"/>
  <c r="AO127" i="4"/>
  <c r="AG127" i="4"/>
  <c r="AK127" i="4"/>
  <c r="AC127" i="4"/>
  <c r="AS127" i="4"/>
  <c r="AW26" i="7"/>
  <c r="AO26" i="7"/>
  <c r="AG26" i="7"/>
  <c r="AU26" i="7"/>
  <c r="AM26" i="7"/>
  <c r="AE26" i="7"/>
  <c r="AS26" i="7"/>
  <c r="AK26" i="7"/>
  <c r="AC26" i="7"/>
  <c r="AQ26" i="7"/>
  <c r="AI26" i="7"/>
  <c r="AA26" i="7"/>
  <c r="AH172" i="4"/>
  <c r="AV172" i="4"/>
  <c r="AJ172" i="4"/>
  <c r="AB172" i="4"/>
  <c r="O110" i="4"/>
  <c r="N110" i="4"/>
  <c r="AW191" i="6"/>
  <c r="AO191" i="6"/>
  <c r="AG191" i="6"/>
  <c r="AU191" i="6"/>
  <c r="AM191" i="6"/>
  <c r="AE191" i="6"/>
  <c r="AS191" i="6"/>
  <c r="AK191" i="6"/>
  <c r="AC191" i="6"/>
  <c r="AQ191" i="6"/>
  <c r="AI191" i="6"/>
  <c r="AA191" i="6"/>
  <c r="AU101" i="6"/>
  <c r="AM101" i="6"/>
  <c r="AE101" i="6"/>
  <c r="AS101" i="6"/>
  <c r="AK101" i="6"/>
  <c r="AC101" i="6"/>
  <c r="AQ101" i="6"/>
  <c r="AI101" i="6"/>
  <c r="AA101" i="6"/>
  <c r="AW101" i="6"/>
  <c r="AO101" i="6"/>
  <c r="AG101" i="6"/>
  <c r="AS36" i="6"/>
  <c r="AK36" i="6"/>
  <c r="AC36" i="6"/>
  <c r="AQ36" i="6"/>
  <c r="AI36" i="6"/>
  <c r="AA36" i="6"/>
  <c r="AW36" i="6"/>
  <c r="AO36" i="6"/>
  <c r="AG36" i="6"/>
  <c r="AU36" i="6"/>
  <c r="AM36" i="6"/>
  <c r="AE36" i="6"/>
  <c r="AS46" i="6"/>
  <c r="AK46" i="6"/>
  <c r="AC46" i="6"/>
  <c r="AQ46" i="6"/>
  <c r="AI46" i="6"/>
  <c r="AA46" i="6"/>
  <c r="AW46" i="6"/>
  <c r="AO46" i="6"/>
  <c r="AG46" i="6"/>
  <c r="AU46" i="6"/>
  <c r="AM46" i="6"/>
  <c r="AE46" i="6"/>
  <c r="AT82" i="4"/>
  <c r="AL82" i="4"/>
  <c r="AD82" i="4"/>
  <c r="AR82" i="4"/>
  <c r="AJ82" i="4"/>
  <c r="AB82" i="4"/>
  <c r="AX82" i="4"/>
  <c r="AP82" i="4"/>
  <c r="AH82" i="4"/>
  <c r="AV82" i="4"/>
  <c r="AN82" i="4"/>
  <c r="AF82" i="4"/>
  <c r="AT137" i="4"/>
  <c r="AL137" i="4"/>
  <c r="AD137" i="4"/>
  <c r="AX137" i="4"/>
  <c r="AP137" i="4"/>
  <c r="AH137" i="4"/>
  <c r="AV137" i="4"/>
  <c r="AN137" i="4"/>
  <c r="AF137" i="4"/>
  <c r="AR137" i="4"/>
  <c r="AJ137" i="4"/>
  <c r="AB137" i="4"/>
  <c r="AS91" i="6"/>
  <c r="AK91" i="6"/>
  <c r="AC91" i="6"/>
  <c r="AW91" i="6"/>
  <c r="AO91" i="6"/>
  <c r="AG91" i="6"/>
  <c r="AU91" i="6"/>
  <c r="AM91" i="6"/>
  <c r="AE91" i="6"/>
  <c r="AI91" i="6"/>
  <c r="AA91" i="6"/>
  <c r="AQ91" i="6"/>
  <c r="O94" i="4"/>
  <c r="N94" i="4"/>
  <c r="N71" i="7"/>
  <c r="M71" i="7"/>
  <c r="I136" i="8"/>
  <c r="N136" i="8" s="1"/>
  <c r="AU72" i="4"/>
  <c r="AM72" i="4"/>
  <c r="AE72" i="4"/>
  <c r="AS72" i="4"/>
  <c r="AK72" i="4"/>
  <c r="AC72" i="4"/>
  <c r="AY72" i="4"/>
  <c r="AQ72" i="4"/>
  <c r="AI72" i="4"/>
  <c r="AW72" i="4"/>
  <c r="AO72" i="4"/>
  <c r="AG72" i="4"/>
  <c r="M10" i="5"/>
  <c r="AW116" i="6"/>
  <c r="AO116" i="6"/>
  <c r="AG116" i="6"/>
  <c r="AU116" i="6"/>
  <c r="AM116" i="6"/>
  <c r="AE116" i="6"/>
  <c r="AS116" i="6"/>
  <c r="AK116" i="6"/>
  <c r="AC116" i="6"/>
  <c r="AQ116" i="6"/>
  <c r="AI116" i="6"/>
  <c r="AA116" i="6"/>
  <c r="N51" i="7"/>
  <c r="M51" i="7"/>
  <c r="M86" i="8"/>
  <c r="AR31" i="5"/>
  <c r="AJ31" i="5"/>
  <c r="AB31" i="5"/>
  <c r="AX31" i="5"/>
  <c r="AP31" i="5"/>
  <c r="AH31" i="5"/>
  <c r="AV31" i="5"/>
  <c r="AN31" i="5"/>
  <c r="AF31" i="5"/>
  <c r="AT31" i="5"/>
  <c r="AL31" i="5"/>
  <c r="AD31" i="5"/>
  <c r="N81" i="7"/>
  <c r="M81" i="7"/>
  <c r="AU122" i="4"/>
  <c r="AM122" i="4"/>
  <c r="AE122" i="4"/>
  <c r="AY122" i="4"/>
  <c r="AQ122" i="4"/>
  <c r="AI122" i="4"/>
  <c r="AK122" i="4"/>
  <c r="AW122" i="4"/>
  <c r="AG122" i="4"/>
  <c r="AS122" i="4"/>
  <c r="AC122" i="4"/>
  <c r="AO122" i="4"/>
  <c r="AX76" i="5"/>
  <c r="AP76" i="5"/>
  <c r="AH76" i="5"/>
  <c r="AV76" i="5"/>
  <c r="AN76" i="5"/>
  <c r="AF76" i="5"/>
  <c r="AT76" i="5"/>
  <c r="AL76" i="5"/>
  <c r="AD76" i="5"/>
  <c r="AR76" i="5"/>
  <c r="AJ76" i="5"/>
  <c r="AB76" i="5"/>
  <c r="AS111" i="8"/>
  <c r="AK111" i="8"/>
  <c r="AC111" i="8"/>
  <c r="AU111" i="8"/>
  <c r="AI111" i="8"/>
  <c r="AE111" i="8"/>
  <c r="AQ111" i="8"/>
  <c r="AA111" i="8"/>
  <c r="AO111" i="8"/>
  <c r="AM111" i="8"/>
  <c r="AG111" i="8"/>
  <c r="AW111" i="8"/>
  <c r="M81" i="5"/>
  <c r="N10" i="6"/>
  <c r="M15" i="2" s="1"/>
  <c r="N126" i="6"/>
  <c r="M126" i="6"/>
  <c r="M61" i="5"/>
  <c r="N61" i="5"/>
  <c r="M21" i="6"/>
  <c r="I181" i="6"/>
  <c r="N56" i="8"/>
  <c r="M56" i="8"/>
  <c r="M19" i="7"/>
  <c r="M9" i="7" s="1"/>
  <c r="N19" i="7"/>
  <c r="M61" i="8"/>
  <c r="N61" i="8"/>
  <c r="AT47" i="4"/>
  <c r="AL47" i="4"/>
  <c r="AD47" i="4"/>
  <c r="AR47" i="4"/>
  <c r="AJ47" i="4"/>
  <c r="AB47" i="4"/>
  <c r="AX47" i="4"/>
  <c r="AP47" i="4"/>
  <c r="AH47" i="4"/>
  <c r="AV47" i="4"/>
  <c r="AN47" i="4"/>
  <c r="AF47" i="4"/>
  <c r="M10" i="8"/>
  <c r="AS41" i="6"/>
  <c r="AK41" i="6"/>
  <c r="AC41" i="6"/>
  <c r="AQ41" i="6"/>
  <c r="AI41" i="6"/>
  <c r="AA41" i="6"/>
  <c r="AW41" i="6"/>
  <c r="AO41" i="6"/>
  <c r="AG41" i="6"/>
  <c r="AU41" i="6"/>
  <c r="AM41" i="6"/>
  <c r="AE41" i="6"/>
  <c r="AW166" i="6"/>
  <c r="AO166" i="6"/>
  <c r="AG166" i="6"/>
  <c r="AU166" i="6"/>
  <c r="AM166" i="6"/>
  <c r="AE166" i="6"/>
  <c r="AS166" i="6"/>
  <c r="AK166" i="6"/>
  <c r="AC166" i="6"/>
  <c r="AQ166" i="6"/>
  <c r="AI166" i="6"/>
  <c r="AA166" i="6"/>
  <c r="AS21" i="8"/>
  <c r="AK21" i="8"/>
  <c r="AC21" i="8"/>
  <c r="AQ21" i="8"/>
  <c r="AI21" i="8"/>
  <c r="AA21" i="8"/>
  <c r="AW21" i="8"/>
  <c r="AO21" i="8"/>
  <c r="AG21" i="8"/>
  <c r="AU21" i="8"/>
  <c r="AM21" i="8"/>
  <c r="AE21" i="8"/>
  <c r="AV97" i="4"/>
  <c r="AN97" i="4"/>
  <c r="AF97" i="4"/>
  <c r="AT97" i="4"/>
  <c r="AL97" i="4"/>
  <c r="AD97" i="4"/>
  <c r="AR97" i="4"/>
  <c r="AJ97" i="4"/>
  <c r="AB97" i="4"/>
  <c r="AX97" i="4"/>
  <c r="AP97" i="4"/>
  <c r="AH97" i="4"/>
  <c r="AW71" i="5"/>
  <c r="AO71" i="5"/>
  <c r="AG71" i="5"/>
  <c r="AU71" i="5"/>
  <c r="AM71" i="5"/>
  <c r="AE71" i="5"/>
  <c r="AS71" i="5"/>
  <c r="AK71" i="5"/>
  <c r="AC71" i="5"/>
  <c r="AQ71" i="5"/>
  <c r="AI71" i="5"/>
  <c r="AA71" i="5"/>
  <c r="M76" i="7"/>
  <c r="AT57" i="4"/>
  <c r="AL57" i="4"/>
  <c r="AD57" i="4"/>
  <c r="AR57" i="4"/>
  <c r="AJ57" i="4"/>
  <c r="AB57" i="4"/>
  <c r="AX57" i="4"/>
  <c r="AP57" i="4"/>
  <c r="AH57" i="4"/>
  <c r="AV57" i="4"/>
  <c r="AN57" i="4"/>
  <c r="AF57" i="4"/>
  <c r="N66" i="8"/>
  <c r="M66" i="8"/>
  <c r="O30" i="4"/>
  <c r="O10" i="4" s="1"/>
  <c r="L7" i="2" s="1"/>
  <c r="N30" i="4"/>
  <c r="AS71" i="8"/>
  <c r="AK71" i="8"/>
  <c r="AC71" i="8"/>
  <c r="AM71" i="8"/>
  <c r="AW71" i="8"/>
  <c r="AU71" i="8"/>
  <c r="AA71" i="8"/>
  <c r="AI71" i="8"/>
  <c r="AE71" i="8"/>
  <c r="AQ71" i="8"/>
  <c r="AO71" i="8"/>
  <c r="AG71" i="8"/>
  <c r="AS26" i="8"/>
  <c r="AK26" i="8"/>
  <c r="AC26" i="8"/>
  <c r="AQ26" i="8"/>
  <c r="AI26" i="8"/>
  <c r="AA26" i="8"/>
  <c r="AW26" i="8"/>
  <c r="AO26" i="8"/>
  <c r="AG26" i="8"/>
  <c r="AU26" i="8"/>
  <c r="AM26" i="8"/>
  <c r="AE26" i="8"/>
  <c r="M104" i="6"/>
  <c r="N104" i="6"/>
  <c r="N10" i="5"/>
  <c r="M12" i="2" s="1"/>
  <c r="I76" i="7"/>
  <c r="N76" i="7" s="1"/>
  <c r="M74" i="8"/>
  <c r="M9" i="8" s="1"/>
  <c r="N74" i="8"/>
  <c r="N88" i="5"/>
  <c r="M88" i="5"/>
  <c r="N73" i="8"/>
  <c r="N8" i="8" s="1"/>
  <c r="K22" i="2" s="1"/>
  <c r="M73" i="8"/>
  <c r="O115" i="4"/>
  <c r="N115" i="4"/>
  <c r="N31" i="6"/>
  <c r="M31" i="6"/>
  <c r="N138" i="8"/>
  <c r="M138" i="8"/>
  <c r="I81" i="5"/>
  <c r="N81" i="5" s="1"/>
  <c r="N53" i="6"/>
  <c r="M53" i="6"/>
  <c r="N54" i="7"/>
  <c r="M54" i="7"/>
  <c r="I86" i="8"/>
  <c r="N86" i="8" s="1"/>
  <c r="N22" i="4"/>
  <c r="AR51" i="5"/>
  <c r="AJ51" i="5"/>
  <c r="AB51" i="5"/>
  <c r="AV51" i="5"/>
  <c r="AN51" i="5"/>
  <c r="AF51" i="5"/>
  <c r="AX51" i="5"/>
  <c r="AH51" i="5"/>
  <c r="AT51" i="5"/>
  <c r="AD51" i="5"/>
  <c r="AP51" i="5"/>
  <c r="AL51" i="5"/>
  <c r="AU156" i="6"/>
  <c r="AM156" i="6"/>
  <c r="AE156" i="6"/>
  <c r="AS156" i="6"/>
  <c r="AK156" i="6"/>
  <c r="AC156" i="6"/>
  <c r="AQ156" i="6"/>
  <c r="AI156" i="6"/>
  <c r="AA156" i="6"/>
  <c r="AW156" i="6"/>
  <c r="AO156" i="6"/>
  <c r="AG156" i="6"/>
  <c r="AQ41" i="7"/>
  <c r="AI41" i="7"/>
  <c r="AA41" i="7"/>
  <c r="AW41" i="7"/>
  <c r="AO41" i="7"/>
  <c r="AG41" i="7"/>
  <c r="AU41" i="7"/>
  <c r="AM41" i="7"/>
  <c r="AE41" i="7"/>
  <c r="AS41" i="7"/>
  <c r="AK41" i="7"/>
  <c r="AC41" i="7"/>
  <c r="O90" i="4"/>
  <c r="N90" i="4"/>
  <c r="O179" i="4"/>
  <c r="N179" i="4"/>
  <c r="N181" i="6"/>
  <c r="M181" i="6"/>
  <c r="M8" i="7"/>
  <c r="N32" i="4"/>
  <c r="I21" i="6"/>
  <c r="N21" i="6" s="1"/>
  <c r="M33" i="7"/>
  <c r="N33" i="7"/>
  <c r="N78" i="7"/>
  <c r="M78" i="7"/>
  <c r="AS47" i="4"/>
  <c r="AK47" i="4"/>
  <c r="AC47" i="4"/>
  <c r="AY47" i="4"/>
  <c r="AQ47" i="4"/>
  <c r="AI47" i="4"/>
  <c r="AW47" i="4"/>
  <c r="AO47" i="4"/>
  <c r="AG47" i="4"/>
  <c r="AU47" i="4"/>
  <c r="AM47" i="4"/>
  <c r="AE47" i="4"/>
  <c r="N10" i="8"/>
  <c r="M22" i="2" s="1"/>
  <c r="AR41" i="6"/>
  <c r="AJ41" i="6"/>
  <c r="AB41" i="6"/>
  <c r="AX41" i="6"/>
  <c r="AP41" i="6"/>
  <c r="AH41" i="6"/>
  <c r="AV41" i="6"/>
  <c r="AN41" i="6"/>
  <c r="AF41" i="6"/>
  <c r="AT41" i="6"/>
  <c r="AL41" i="6"/>
  <c r="AD41" i="6"/>
  <c r="AR21" i="8"/>
  <c r="AJ21" i="8"/>
  <c r="AB21" i="8"/>
  <c r="AX21" i="8"/>
  <c r="AP21" i="8"/>
  <c r="AH21" i="8"/>
  <c r="AV21" i="8"/>
  <c r="AN21" i="8"/>
  <c r="AF21" i="8"/>
  <c r="AT21" i="8"/>
  <c r="AL21" i="8"/>
  <c r="AD21" i="8"/>
  <c r="AX71" i="5"/>
  <c r="AP71" i="5"/>
  <c r="AH71" i="5"/>
  <c r="AV71" i="5"/>
  <c r="AN71" i="5"/>
  <c r="AF71" i="5"/>
  <c r="AT71" i="5"/>
  <c r="AL71" i="5"/>
  <c r="AD71" i="5"/>
  <c r="AR71" i="5"/>
  <c r="AJ71" i="5"/>
  <c r="AB71" i="5"/>
  <c r="N39" i="6"/>
  <c r="M39" i="6"/>
  <c r="AU66" i="6"/>
  <c r="AM66" i="6"/>
  <c r="AE66" i="6"/>
  <c r="AS66" i="6"/>
  <c r="AK66" i="6"/>
  <c r="AC66" i="6"/>
  <c r="AQ66" i="6"/>
  <c r="AI66" i="6"/>
  <c r="AA66" i="6"/>
  <c r="AW66" i="6"/>
  <c r="AO66" i="6"/>
  <c r="AG66" i="6"/>
  <c r="N89" i="8"/>
  <c r="M89" i="8"/>
  <c r="N34" i="6"/>
  <c r="M34" i="6"/>
  <c r="AV36" i="7"/>
  <c r="AN36" i="7"/>
  <c r="AF36" i="7"/>
  <c r="AT36" i="7"/>
  <c r="AL36" i="7"/>
  <c r="AD36" i="7"/>
  <c r="AR36" i="7"/>
  <c r="AJ36" i="7"/>
  <c r="AB36" i="7"/>
  <c r="AX36" i="7"/>
  <c r="AP36" i="7"/>
  <c r="AH36" i="7"/>
  <c r="N96" i="6"/>
  <c r="M96" i="6"/>
  <c r="M151" i="8"/>
  <c r="N42" i="4"/>
  <c r="N37" i="4"/>
  <c r="N29" i="5"/>
  <c r="M29" i="5"/>
  <c r="AT56" i="5"/>
  <c r="AL56" i="5"/>
  <c r="AD56" i="5"/>
  <c r="AR56" i="5"/>
  <c r="AJ56" i="5"/>
  <c r="AB56" i="5"/>
  <c r="AX56" i="5"/>
  <c r="AP56" i="5"/>
  <c r="AH56" i="5"/>
  <c r="AV56" i="5"/>
  <c r="AN56" i="5"/>
  <c r="AF56" i="5"/>
  <c r="M63" i="5"/>
  <c r="N63" i="5"/>
  <c r="I151" i="8"/>
  <c r="N151" i="8" s="1"/>
  <c r="I171" i="6"/>
  <c r="O29" i="4"/>
  <c r="O9" i="4" s="1"/>
  <c r="K7" i="2" s="1"/>
  <c r="N29" i="4"/>
  <c r="AQ91" i="5"/>
  <c r="AI91" i="5"/>
  <c r="AA91" i="5"/>
  <c r="AW91" i="5"/>
  <c r="AO91" i="5"/>
  <c r="AG91" i="5"/>
  <c r="AU91" i="5"/>
  <c r="AM91" i="5"/>
  <c r="AE91" i="5"/>
  <c r="AS91" i="5"/>
  <c r="AK91" i="5"/>
  <c r="AC91" i="5"/>
  <c r="AS141" i="6"/>
  <c r="AK141" i="6"/>
  <c r="AC141" i="6"/>
  <c r="AQ141" i="6"/>
  <c r="AI141" i="6"/>
  <c r="AA141" i="6"/>
  <c r="AW141" i="6"/>
  <c r="AO141" i="6"/>
  <c r="AG141" i="6"/>
  <c r="AU141" i="6"/>
  <c r="AM141" i="6"/>
  <c r="AE141" i="6"/>
  <c r="AV106" i="6"/>
  <c r="AN106" i="6"/>
  <c r="AF106" i="6"/>
  <c r="AT106" i="6"/>
  <c r="AL106" i="6"/>
  <c r="AD106" i="6"/>
  <c r="AR106" i="6"/>
  <c r="AJ106" i="6"/>
  <c r="AB106" i="6"/>
  <c r="AX106" i="6"/>
  <c r="AP106" i="6"/>
  <c r="AH106" i="6"/>
  <c r="AT67" i="4"/>
  <c r="AL67" i="4"/>
  <c r="AD67" i="4"/>
  <c r="AR67" i="4"/>
  <c r="AJ67" i="4"/>
  <c r="AB67" i="4"/>
  <c r="AX67" i="4"/>
  <c r="AP67" i="4"/>
  <c r="AH67" i="4"/>
  <c r="AV67" i="4"/>
  <c r="AN67" i="4"/>
  <c r="AF67" i="4"/>
  <c r="AT157" i="4"/>
  <c r="AL157" i="4"/>
  <c r="AD157" i="4"/>
  <c r="AR157" i="4"/>
  <c r="AJ157" i="4"/>
  <c r="AB157" i="4"/>
  <c r="AX157" i="4"/>
  <c r="AP157" i="4"/>
  <c r="AH157" i="4"/>
  <c r="AV157" i="4"/>
  <c r="AN157" i="4"/>
  <c r="AF157" i="4"/>
  <c r="M25" i="7"/>
  <c r="N25" i="7"/>
  <c r="AV71" i="8"/>
  <c r="AN71" i="8"/>
  <c r="AX71" i="8"/>
  <c r="AD71" i="8"/>
  <c r="AL71" i="8"/>
  <c r="AB71" i="8"/>
  <c r="AJ71" i="8"/>
  <c r="AT71" i="8"/>
  <c r="AR71" i="8"/>
  <c r="AP71" i="8"/>
  <c r="AH71" i="8"/>
  <c r="AF71" i="8"/>
  <c r="AW156" i="8"/>
  <c r="AO156" i="8"/>
  <c r="AG156" i="8"/>
  <c r="AU156" i="8"/>
  <c r="AE156" i="8"/>
  <c r="AS156" i="8"/>
  <c r="AC156" i="8"/>
  <c r="AQ156" i="8"/>
  <c r="AA156" i="8"/>
  <c r="AM156" i="8"/>
  <c r="AK156" i="8"/>
  <c r="AI156" i="8"/>
  <c r="J22" i="4"/>
  <c r="O22" i="4" s="1"/>
  <c r="AV167" i="4"/>
  <c r="AN167" i="4"/>
  <c r="AF167" i="4"/>
  <c r="AT167" i="4"/>
  <c r="AL167" i="4"/>
  <c r="AD167" i="4"/>
  <c r="AR167" i="4"/>
  <c r="AJ167" i="4"/>
  <c r="AB167" i="4"/>
  <c r="AX167" i="4"/>
  <c r="AP167" i="4"/>
  <c r="AH167" i="4"/>
  <c r="AS51" i="5"/>
  <c r="AK51" i="5"/>
  <c r="AC51" i="5"/>
  <c r="AW51" i="5"/>
  <c r="AO51" i="5"/>
  <c r="AG51" i="5"/>
  <c r="AI51" i="5"/>
  <c r="AU51" i="5"/>
  <c r="AE51" i="5"/>
  <c r="AQ51" i="5"/>
  <c r="AA51" i="5"/>
  <c r="AM51" i="5"/>
  <c r="AV156" i="6"/>
  <c r="AN156" i="6"/>
  <c r="AF156" i="6"/>
  <c r="AT156" i="6"/>
  <c r="AL156" i="6"/>
  <c r="AD156" i="6"/>
  <c r="AR156" i="6"/>
  <c r="AJ156" i="6"/>
  <c r="AB156" i="6"/>
  <c r="AX156" i="6"/>
  <c r="AP156" i="6"/>
  <c r="AH156" i="6"/>
  <c r="N27" i="4"/>
  <c r="AS26" i="5"/>
  <c r="AK26" i="5"/>
  <c r="AC26" i="5"/>
  <c r="AQ26" i="5"/>
  <c r="AI26" i="5"/>
  <c r="AA26" i="5"/>
  <c r="AW26" i="5"/>
  <c r="AO26" i="5"/>
  <c r="AG26" i="5"/>
  <c r="AU26" i="5"/>
  <c r="AM26" i="5"/>
  <c r="AE26" i="5"/>
  <c r="AU31" i="8"/>
  <c r="AM31" i="8"/>
  <c r="AE31" i="8"/>
  <c r="AS31" i="8"/>
  <c r="AK31" i="8"/>
  <c r="AC31" i="8"/>
  <c r="AQ31" i="8"/>
  <c r="AI31" i="8"/>
  <c r="AA31" i="8"/>
  <c r="AW31" i="8"/>
  <c r="AO31" i="8"/>
  <c r="AG31" i="8"/>
  <c r="J32" i="4"/>
  <c r="O32" i="4" s="1"/>
  <c r="M103" i="6"/>
  <c r="N103" i="6"/>
  <c r="AW131" i="8"/>
  <c r="AO131" i="8"/>
  <c r="AG131" i="8"/>
  <c r="AU131" i="8"/>
  <c r="AM131" i="8"/>
  <c r="AE131" i="8"/>
  <c r="AS131" i="8"/>
  <c r="AK131" i="8"/>
  <c r="AC131" i="8"/>
  <c r="AA131" i="8"/>
  <c r="AQ131" i="8"/>
  <c r="AI131" i="8"/>
  <c r="AV107" i="4"/>
  <c r="AN107" i="4"/>
  <c r="AF107" i="4"/>
  <c r="AT107" i="4"/>
  <c r="AL107" i="4"/>
  <c r="AD107" i="4"/>
  <c r="AR107" i="4"/>
  <c r="AJ107" i="4"/>
  <c r="AB107" i="4"/>
  <c r="AX107" i="4"/>
  <c r="AP107" i="4"/>
  <c r="AH107" i="4"/>
  <c r="AV102" i="4"/>
  <c r="AN102" i="4"/>
  <c r="AF102" i="4"/>
  <c r="AT102" i="4"/>
  <c r="AL102" i="4"/>
  <c r="AD102" i="4"/>
  <c r="AR102" i="4"/>
  <c r="AJ102" i="4"/>
  <c r="AB102" i="4"/>
  <c r="AX102" i="4"/>
  <c r="AP102" i="4"/>
  <c r="AH102" i="4"/>
  <c r="AU61" i="6"/>
  <c r="AM61" i="6"/>
  <c r="AE61" i="6"/>
  <c r="AS61" i="6"/>
  <c r="AK61" i="6"/>
  <c r="AC61" i="6"/>
  <c r="AQ61" i="6"/>
  <c r="AI61" i="6"/>
  <c r="AA61" i="6"/>
  <c r="AW61" i="6"/>
  <c r="AO61" i="6"/>
  <c r="AG61" i="6"/>
  <c r="AQ136" i="6"/>
  <c r="AI136" i="6"/>
  <c r="AA136" i="6"/>
  <c r="AW136" i="6"/>
  <c r="AO136" i="6"/>
  <c r="AG136" i="6"/>
  <c r="AU136" i="6"/>
  <c r="AM136" i="6"/>
  <c r="AE136" i="6"/>
  <c r="AS136" i="6"/>
  <c r="AK136" i="6"/>
  <c r="AC136" i="6"/>
  <c r="AT77" i="4"/>
  <c r="AL77" i="4"/>
  <c r="AD77" i="4"/>
  <c r="AR77" i="4"/>
  <c r="AJ77" i="4"/>
  <c r="AB77" i="4"/>
  <c r="AX77" i="4"/>
  <c r="AP77" i="4"/>
  <c r="AH77" i="4"/>
  <c r="AV77" i="4"/>
  <c r="AN77" i="4"/>
  <c r="AF77" i="4"/>
  <c r="AV21" i="7"/>
  <c r="AN21" i="7"/>
  <c r="AF21" i="7"/>
  <c r="AT21" i="7"/>
  <c r="AL21" i="7"/>
  <c r="AD21" i="7"/>
  <c r="AR21" i="7"/>
  <c r="AJ21" i="7"/>
  <c r="AB21" i="7"/>
  <c r="AX21" i="7"/>
  <c r="AP21" i="7"/>
  <c r="AH21" i="7"/>
  <c r="AU121" i="8"/>
  <c r="AM121" i="8"/>
  <c r="AE121" i="8"/>
  <c r="AS121" i="8"/>
  <c r="AK121" i="8"/>
  <c r="AC121" i="8"/>
  <c r="AQ121" i="8"/>
  <c r="AI121" i="8"/>
  <c r="AA121" i="8"/>
  <c r="AW121" i="8"/>
  <c r="AG121" i="8"/>
  <c r="AO121" i="8"/>
  <c r="N171" i="6"/>
  <c r="M171" i="6"/>
  <c r="AS36" i="5"/>
  <c r="AK36" i="5"/>
  <c r="AC36" i="5"/>
  <c r="AQ36" i="5"/>
  <c r="AI36" i="5"/>
  <c r="AA36" i="5"/>
  <c r="AW36" i="5"/>
  <c r="AO36" i="5"/>
  <c r="AG36" i="5"/>
  <c r="AU36" i="5"/>
  <c r="AM36" i="5"/>
  <c r="AE36" i="5"/>
  <c r="AV92" i="4"/>
  <c r="AN92" i="4"/>
  <c r="AF92" i="4"/>
  <c r="AT92" i="4"/>
  <c r="AL92" i="4"/>
  <c r="AD92" i="4"/>
  <c r="AR92" i="4"/>
  <c r="AJ92" i="4"/>
  <c r="AB92" i="4"/>
  <c r="AX92" i="4"/>
  <c r="AP92" i="4"/>
  <c r="AH92" i="4"/>
  <c r="AU71" i="6"/>
  <c r="AM71" i="6"/>
  <c r="AG71" i="6"/>
  <c r="AO71" i="6"/>
  <c r="AW71" i="6"/>
  <c r="AE71" i="6"/>
  <c r="AK71" i="6"/>
  <c r="AC71" i="6"/>
  <c r="AS71" i="6"/>
  <c r="AI71" i="6"/>
  <c r="AA71" i="6"/>
  <c r="AQ71" i="6"/>
  <c r="N19" i="5"/>
  <c r="N9" i="5" s="1"/>
  <c r="L12" i="2" s="1"/>
  <c r="M19" i="5"/>
  <c r="M9" i="5" s="1"/>
  <c r="AU56" i="5"/>
  <c r="AM56" i="5"/>
  <c r="AE56" i="5"/>
  <c r="AS56" i="5"/>
  <c r="AK56" i="5"/>
  <c r="AC56" i="5"/>
  <c r="AW56" i="5"/>
  <c r="AO56" i="5"/>
  <c r="AG56" i="5"/>
  <c r="AQ56" i="5"/>
  <c r="AI56" i="5"/>
  <c r="AA56" i="5"/>
  <c r="J37" i="4"/>
  <c r="O37" i="4" s="1"/>
  <c r="M86" i="6"/>
  <c r="N86" i="6"/>
  <c r="I176" i="6"/>
  <c r="N176" i="6" s="1"/>
  <c r="M20" i="7"/>
  <c r="M10" i="7" s="1"/>
  <c r="N20" i="7"/>
  <c r="N84" i="8"/>
  <c r="N9" i="8" s="1"/>
  <c r="L22" i="2" s="1"/>
  <c r="M84" i="8"/>
  <c r="J42" i="4"/>
  <c r="O42" i="4" s="1"/>
  <c r="N173" i="6"/>
  <c r="M173" i="6"/>
  <c r="AV162" i="4"/>
  <c r="AN162" i="4"/>
  <c r="AF162" i="4"/>
  <c r="AT162" i="4"/>
  <c r="AL162" i="4"/>
  <c r="AD162" i="4"/>
  <c r="AR162" i="4"/>
  <c r="AJ162" i="4"/>
  <c r="AB162" i="4"/>
  <c r="AX162" i="4"/>
  <c r="AP162" i="4"/>
  <c r="AH162" i="4"/>
  <c r="AX91" i="5"/>
  <c r="AP91" i="5"/>
  <c r="AH91" i="5"/>
  <c r="AV91" i="5"/>
  <c r="AN91" i="5"/>
  <c r="AF91" i="5"/>
  <c r="AT91" i="5"/>
  <c r="AL91" i="5"/>
  <c r="AD91" i="5"/>
  <c r="AR91" i="5"/>
  <c r="AJ91" i="5"/>
  <c r="AB91" i="5"/>
  <c r="AR141" i="6"/>
  <c r="AJ141" i="6"/>
  <c r="AB141" i="6"/>
  <c r="AX141" i="6"/>
  <c r="AP141" i="6"/>
  <c r="AH141" i="6"/>
  <c r="AV141" i="6"/>
  <c r="AN141" i="6"/>
  <c r="AF141" i="6"/>
  <c r="AT141" i="6"/>
  <c r="AL141" i="6"/>
  <c r="AD141" i="6"/>
  <c r="AU106" i="6"/>
  <c r="AM106" i="6"/>
  <c r="AE106" i="6"/>
  <c r="AS106" i="6"/>
  <c r="AK106" i="6"/>
  <c r="AC106" i="6"/>
  <c r="AQ106" i="6"/>
  <c r="AI106" i="6"/>
  <c r="AA106" i="6"/>
  <c r="AW106" i="6"/>
  <c r="AO106" i="6"/>
  <c r="AG106" i="6"/>
  <c r="AW106" i="8"/>
  <c r="AO106" i="8"/>
  <c r="AG106" i="8"/>
  <c r="AS106" i="8"/>
  <c r="AK106" i="8"/>
  <c r="AC106" i="8"/>
  <c r="AA106" i="8"/>
  <c r="AM106" i="8"/>
  <c r="AI106" i="8"/>
  <c r="AU106" i="8"/>
  <c r="AQ106" i="8"/>
  <c r="AE106" i="8"/>
  <c r="AU67" i="4"/>
  <c r="AM67" i="4"/>
  <c r="AE67" i="4"/>
  <c r="AS67" i="4"/>
  <c r="AK67" i="4"/>
  <c r="AC67" i="4"/>
  <c r="AY67" i="4"/>
  <c r="AQ67" i="4"/>
  <c r="AI67" i="4"/>
  <c r="AW67" i="4"/>
  <c r="AO67" i="4"/>
  <c r="AG67" i="4"/>
  <c r="AU157" i="4"/>
  <c r="AM157" i="4"/>
  <c r="AE157" i="4"/>
  <c r="AS157" i="4"/>
  <c r="AK157" i="4"/>
  <c r="AC157" i="4"/>
  <c r="AY157" i="4"/>
  <c r="AQ157" i="4"/>
  <c r="AI157" i="4"/>
  <c r="AW157" i="4"/>
  <c r="AO157" i="4"/>
  <c r="AG157" i="4"/>
  <c r="AU151" i="6"/>
  <c r="AM151" i="6"/>
  <c r="AE151" i="6"/>
  <c r="AS151" i="6"/>
  <c r="AK151" i="6"/>
  <c r="AC151" i="6"/>
  <c r="AQ151" i="6"/>
  <c r="AI151" i="6"/>
  <c r="AA151" i="6"/>
  <c r="AW151" i="6"/>
  <c r="AO151" i="6"/>
  <c r="AG151" i="6"/>
  <c r="AV191" i="6"/>
  <c r="AN191" i="6"/>
  <c r="AF191" i="6"/>
  <c r="AT191" i="6"/>
  <c r="AL191" i="6"/>
  <c r="AD191" i="6"/>
  <c r="AX191" i="6"/>
  <c r="AP191" i="6"/>
  <c r="AH191" i="6"/>
  <c r="AJ191" i="6"/>
  <c r="AB191" i="6"/>
  <c r="AR191" i="6"/>
  <c r="I116" i="8"/>
  <c r="N116" i="8" s="1"/>
  <c r="AT117" i="4"/>
  <c r="AL117" i="4"/>
  <c r="AD117" i="4"/>
  <c r="AX117" i="4"/>
  <c r="AP117" i="4"/>
  <c r="AH117" i="4"/>
  <c r="AN117" i="4"/>
  <c r="AJ117" i="4"/>
  <c r="AV117" i="4"/>
  <c r="AF117" i="4"/>
  <c r="AR117" i="4"/>
  <c r="AB117" i="4"/>
  <c r="I76" i="6"/>
  <c r="N76" i="6" s="1"/>
  <c r="AT156" i="8"/>
  <c r="AL156" i="8"/>
  <c r="AD156" i="8"/>
  <c r="AR156" i="8"/>
  <c r="AJ156" i="8"/>
  <c r="AB156" i="8"/>
  <c r="AX156" i="8"/>
  <c r="AP156" i="8"/>
  <c r="AH156" i="8"/>
  <c r="AV156" i="8"/>
  <c r="AF156" i="8"/>
  <c r="AN156" i="8"/>
  <c r="N7" i="6"/>
  <c r="J15" i="2" s="1"/>
  <c r="AV101" i="6"/>
  <c r="AN101" i="6"/>
  <c r="AF101" i="6"/>
  <c r="AT101" i="6"/>
  <c r="AL101" i="6"/>
  <c r="AD101" i="6"/>
  <c r="AR101" i="6"/>
  <c r="AJ101" i="6"/>
  <c r="AB101" i="6"/>
  <c r="AX101" i="6"/>
  <c r="AP101" i="6"/>
  <c r="AH101" i="6"/>
  <c r="AU36" i="8"/>
  <c r="AM36" i="8"/>
  <c r="AE36" i="8"/>
  <c r="AS36" i="8"/>
  <c r="AK36" i="8"/>
  <c r="AC36" i="8"/>
  <c r="AQ36" i="8"/>
  <c r="AI36" i="8"/>
  <c r="AA36" i="8"/>
  <c r="AW36" i="8"/>
  <c r="AO36" i="8"/>
  <c r="AG36" i="8"/>
  <c r="J27" i="4"/>
  <c r="O27" i="4" s="1"/>
  <c r="I86" i="5"/>
  <c r="N86" i="5" s="1"/>
  <c r="AX131" i="8"/>
  <c r="AP131" i="8"/>
  <c r="AH131" i="8"/>
  <c r="AV131" i="8"/>
  <c r="AN131" i="8"/>
  <c r="AF131" i="8"/>
  <c r="AT131" i="8"/>
  <c r="AL131" i="8"/>
  <c r="AD131" i="8"/>
  <c r="AR131" i="8"/>
  <c r="AJ131" i="8"/>
  <c r="AB131" i="8"/>
  <c r="AU107" i="4"/>
  <c r="AM107" i="4"/>
  <c r="AE107" i="4"/>
  <c r="AS107" i="4"/>
  <c r="AK107" i="4"/>
  <c r="AC107" i="4"/>
  <c r="AY107" i="4"/>
  <c r="AQ107" i="4"/>
  <c r="AI107" i="4"/>
  <c r="AW107" i="4"/>
  <c r="AO107" i="4"/>
  <c r="AG107" i="4"/>
  <c r="AV61" i="6"/>
  <c r="AN61" i="6"/>
  <c r="AF61" i="6"/>
  <c r="AT61" i="6"/>
  <c r="AL61" i="6"/>
  <c r="AD61" i="6"/>
  <c r="AR61" i="6"/>
  <c r="AJ61" i="6"/>
  <c r="AB61" i="6"/>
  <c r="AX61" i="6"/>
  <c r="AP61" i="6"/>
  <c r="AH61" i="6"/>
  <c r="AR136" i="6"/>
  <c r="AJ136" i="6"/>
  <c r="AB136" i="6"/>
  <c r="AX136" i="6"/>
  <c r="AP136" i="6"/>
  <c r="AH136" i="6"/>
  <c r="AV136" i="6"/>
  <c r="AN136" i="6"/>
  <c r="AF136" i="6"/>
  <c r="AT136" i="6"/>
  <c r="AL136" i="6"/>
  <c r="AD136" i="6"/>
  <c r="AW21" i="7"/>
  <c r="AO21" i="7"/>
  <c r="AG21" i="7"/>
  <c r="AU21" i="7"/>
  <c r="AM21" i="7"/>
  <c r="AE21" i="7"/>
  <c r="AS21" i="7"/>
  <c r="AK21" i="7"/>
  <c r="AC21" i="7"/>
  <c r="AQ21" i="7"/>
  <c r="AI21" i="7"/>
  <c r="AA21" i="7"/>
  <c r="AW66" i="5"/>
  <c r="AO66" i="5"/>
  <c r="AG66" i="5"/>
  <c r="AU66" i="5"/>
  <c r="AM66" i="5"/>
  <c r="AE66" i="5"/>
  <c r="AS66" i="5"/>
  <c r="AK66" i="5"/>
  <c r="AC66" i="5"/>
  <c r="AQ66" i="5"/>
  <c r="AI66" i="5"/>
  <c r="AA66" i="5"/>
  <c r="AT121" i="8"/>
  <c r="AL121" i="8"/>
  <c r="AD121" i="8"/>
  <c r="AP121" i="8"/>
  <c r="AF121" i="8"/>
  <c r="AB121" i="8"/>
  <c r="AX121" i="8"/>
  <c r="AV121" i="8"/>
  <c r="AR121" i="8"/>
  <c r="AN121" i="8"/>
  <c r="AJ121" i="8"/>
  <c r="AH121" i="8"/>
  <c r="AR172" i="4" l="1"/>
  <c r="AP172" i="4"/>
  <c r="AD172" i="4"/>
  <c r="AX172" i="4"/>
  <c r="AL172" i="4"/>
  <c r="AT172" i="4"/>
  <c r="N10" i="4"/>
  <c r="AF172" i="4"/>
  <c r="N9" i="4"/>
  <c r="N9" i="7"/>
  <c r="L19" i="2" s="1"/>
  <c r="N8" i="7"/>
  <c r="K19" i="2" s="1"/>
  <c r="AY27" i="4"/>
  <c r="AQ27" i="4"/>
  <c r="AI27" i="4"/>
  <c r="AW27" i="4"/>
  <c r="AO27" i="4"/>
  <c r="AG27" i="4"/>
  <c r="AU27" i="4"/>
  <c r="AM27" i="4"/>
  <c r="AE27" i="4"/>
  <c r="AS27" i="4"/>
  <c r="AK27" i="4"/>
  <c r="AC27" i="4"/>
  <c r="AY37" i="4"/>
  <c r="AQ37" i="4"/>
  <c r="AI37" i="4"/>
  <c r="AW37" i="4"/>
  <c r="AO37" i="4"/>
  <c r="AG37" i="4"/>
  <c r="AU37" i="4"/>
  <c r="AM37" i="4"/>
  <c r="AE37" i="4"/>
  <c r="AS37" i="4"/>
  <c r="AK37" i="4"/>
  <c r="AC37" i="4"/>
  <c r="AY32" i="4"/>
  <c r="AQ32" i="4"/>
  <c r="AI32" i="4"/>
  <c r="AW32" i="4"/>
  <c r="AO32" i="4"/>
  <c r="AG32" i="4"/>
  <c r="AU32" i="4"/>
  <c r="AM32" i="4"/>
  <c r="AE32" i="4"/>
  <c r="AS32" i="4"/>
  <c r="AK32" i="4"/>
  <c r="AC32" i="4"/>
  <c r="AV86" i="8"/>
  <c r="AN86" i="8"/>
  <c r="AF86" i="8"/>
  <c r="AX86" i="8"/>
  <c r="AB86" i="8"/>
  <c r="AL86" i="8"/>
  <c r="AJ86" i="8"/>
  <c r="AT86" i="8"/>
  <c r="AD86" i="8"/>
  <c r="AR86" i="8"/>
  <c r="AP86" i="8"/>
  <c r="AH86" i="8"/>
  <c r="N11" i="8"/>
  <c r="AX21" i="6"/>
  <c r="AP21" i="6"/>
  <c r="AH21" i="6"/>
  <c r="AV21" i="6"/>
  <c r="AN21" i="6"/>
  <c r="AF21" i="6"/>
  <c r="AT21" i="6"/>
  <c r="AL21" i="6"/>
  <c r="AD21" i="6"/>
  <c r="N11" i="6"/>
  <c r="AR21" i="6"/>
  <c r="AJ21" i="6"/>
  <c r="AB21" i="6"/>
  <c r="AT76" i="7"/>
  <c r="AL76" i="7"/>
  <c r="AD76" i="7"/>
  <c r="AX76" i="7"/>
  <c r="AP76" i="7"/>
  <c r="AH76" i="7"/>
  <c r="AN76" i="7"/>
  <c r="AJ76" i="7"/>
  <c r="AV76" i="7"/>
  <c r="AR76" i="7"/>
  <c r="AF76" i="7"/>
  <c r="AB76" i="7"/>
  <c r="AR76" i="6"/>
  <c r="AJ76" i="6"/>
  <c r="AB76" i="6"/>
  <c r="AV76" i="6"/>
  <c r="AN76" i="6"/>
  <c r="AF76" i="6"/>
  <c r="AP76" i="6"/>
  <c r="AL76" i="6"/>
  <c r="AX76" i="6"/>
  <c r="AH76" i="6"/>
  <c r="AT76" i="6"/>
  <c r="AD76" i="6"/>
  <c r="AY22" i="4"/>
  <c r="AQ22" i="4"/>
  <c r="AI22" i="4"/>
  <c r="AW22" i="4"/>
  <c r="AO22" i="4"/>
  <c r="AG22" i="4"/>
  <c r="AU22" i="4"/>
  <c r="AM22" i="4"/>
  <c r="AE22" i="4"/>
  <c r="O12" i="4"/>
  <c r="AS22" i="4"/>
  <c r="AK22" i="4"/>
  <c r="AC22" i="4"/>
  <c r="AT151" i="8"/>
  <c r="AL151" i="8"/>
  <c r="AD151" i="8"/>
  <c r="AP151" i="8"/>
  <c r="AN151" i="8"/>
  <c r="AX151" i="8"/>
  <c r="AB151" i="8"/>
  <c r="AV151" i="8"/>
  <c r="AJ151" i="8"/>
  <c r="AR151" i="8"/>
  <c r="AH151" i="8"/>
  <c r="AF151" i="8"/>
  <c r="AR26" i="6"/>
  <c r="AJ26" i="6"/>
  <c r="AB26" i="6"/>
  <c r="AX26" i="6"/>
  <c r="AP26" i="6"/>
  <c r="AH26" i="6"/>
  <c r="AV26" i="6"/>
  <c r="AN26" i="6"/>
  <c r="AF26" i="6"/>
  <c r="AT26" i="6"/>
  <c r="AL26" i="6"/>
  <c r="AD26" i="6"/>
  <c r="AT116" i="8"/>
  <c r="AL116" i="8"/>
  <c r="AD116" i="8"/>
  <c r="AV116" i="8"/>
  <c r="AH116" i="8"/>
  <c r="AF116" i="8"/>
  <c r="AX116" i="8"/>
  <c r="AB116" i="8"/>
  <c r="AR116" i="8"/>
  <c r="AP116" i="8"/>
  <c r="AN116" i="8"/>
  <c r="AJ116" i="8"/>
  <c r="AV86" i="5"/>
  <c r="AN86" i="5"/>
  <c r="AF86" i="5"/>
  <c r="AT86" i="5"/>
  <c r="AL86" i="5"/>
  <c r="AD86" i="5"/>
  <c r="AR86" i="5"/>
  <c r="AJ86" i="5"/>
  <c r="AB86" i="5"/>
  <c r="AX86" i="5"/>
  <c r="AP86" i="5"/>
  <c r="AH86" i="5"/>
  <c r="AT176" i="6"/>
  <c r="AL176" i="6"/>
  <c r="AD176" i="6"/>
  <c r="AX176" i="6"/>
  <c r="AP176" i="6"/>
  <c r="AH176" i="6"/>
  <c r="AN176" i="6"/>
  <c r="AJ176" i="6"/>
  <c r="AV176" i="6"/>
  <c r="AF176" i="6"/>
  <c r="AR176" i="6"/>
  <c r="AB176" i="6"/>
  <c r="AR81" i="5"/>
  <c r="AJ81" i="5"/>
  <c r="AB81" i="5"/>
  <c r="AX81" i="5"/>
  <c r="AP81" i="5"/>
  <c r="AH81" i="5"/>
  <c r="AV81" i="5"/>
  <c r="AN81" i="5"/>
  <c r="AF81" i="5"/>
  <c r="AT81" i="5"/>
  <c r="AL81" i="5"/>
  <c r="AD81" i="5"/>
  <c r="AX136" i="8"/>
  <c r="AP136" i="8"/>
  <c r="AH136" i="8"/>
  <c r="AV136" i="8"/>
  <c r="AN136" i="8"/>
  <c r="AF136" i="8"/>
  <c r="AT136" i="8"/>
  <c r="AL136" i="8"/>
  <c r="AD136" i="8"/>
  <c r="AJ136" i="8"/>
  <c r="AB136" i="8"/>
  <c r="AR136" i="8"/>
  <c r="AR46" i="7"/>
  <c r="AJ46" i="7"/>
  <c r="AB46" i="7"/>
  <c r="AX46" i="7"/>
  <c r="AP46" i="7"/>
  <c r="AH46" i="7"/>
  <c r="AV46" i="7"/>
  <c r="AN46" i="7"/>
  <c r="AF46" i="7"/>
  <c r="AT46" i="7"/>
  <c r="AL46" i="7"/>
  <c r="AD46" i="7"/>
  <c r="N11" i="7"/>
  <c r="AX56" i="7"/>
  <c r="AF56" i="7"/>
  <c r="AN56" i="7"/>
  <c r="AV56" i="7"/>
  <c r="AD56" i="7"/>
  <c r="AL56" i="7"/>
  <c r="AT56" i="7"/>
  <c r="AB56" i="7"/>
  <c r="AJ56" i="7"/>
  <c r="AR56" i="7"/>
  <c r="AH56" i="7"/>
  <c r="AP56" i="7"/>
  <c r="B19" i="9"/>
  <c r="H19" i="2"/>
  <c r="AR141" i="8"/>
  <c r="AJ141" i="8"/>
  <c r="AB141" i="8"/>
  <c r="AX141" i="8"/>
  <c r="AP141" i="8"/>
  <c r="AH141" i="8"/>
  <c r="AV141" i="8"/>
  <c r="AN141" i="8"/>
  <c r="AF141" i="8"/>
  <c r="AT141" i="8"/>
  <c r="AL141" i="8"/>
  <c r="AD141" i="8"/>
  <c r="AQ136" i="8"/>
  <c r="AI136" i="8"/>
  <c r="AA136" i="8"/>
  <c r="AW136" i="8"/>
  <c r="AO136" i="8"/>
  <c r="AG136" i="8"/>
  <c r="AU136" i="8"/>
  <c r="AM136" i="8"/>
  <c r="AE136" i="8"/>
  <c r="AK136" i="8"/>
  <c r="AC136" i="8"/>
  <c r="AS136" i="8"/>
  <c r="AQ46" i="7"/>
  <c r="AI46" i="7"/>
  <c r="AA46" i="7"/>
  <c r="AW46" i="7"/>
  <c r="AO46" i="7"/>
  <c r="AG46" i="7"/>
  <c r="AU46" i="7"/>
  <c r="AM46" i="7"/>
  <c r="AE46" i="7"/>
  <c r="AS46" i="7"/>
  <c r="AK46" i="7"/>
  <c r="AC46" i="7"/>
  <c r="AU86" i="5"/>
  <c r="AM86" i="5"/>
  <c r="AE86" i="5"/>
  <c r="AS86" i="5"/>
  <c r="AK86" i="5"/>
  <c r="AC86" i="5"/>
  <c r="AQ86" i="5"/>
  <c r="AI86" i="5"/>
  <c r="AA86" i="5"/>
  <c r="AW86" i="5"/>
  <c r="AO86" i="5"/>
  <c r="AG86" i="5"/>
  <c r="M11" i="5"/>
  <c r="AS176" i="6"/>
  <c r="AK176" i="6"/>
  <c r="AC176" i="6"/>
  <c r="AU176" i="6"/>
  <c r="AM176" i="6"/>
  <c r="AO176" i="6"/>
  <c r="AA176" i="6"/>
  <c r="AI176" i="6"/>
  <c r="AW176" i="6"/>
  <c r="AG176" i="6"/>
  <c r="AE176" i="6"/>
  <c r="AQ176" i="6"/>
  <c r="AS86" i="6"/>
  <c r="AK86" i="6"/>
  <c r="AC86" i="6"/>
  <c r="AQ86" i="6"/>
  <c r="AI86" i="6"/>
  <c r="AA86" i="6"/>
  <c r="AW86" i="6"/>
  <c r="AO86" i="6"/>
  <c r="AG86" i="6"/>
  <c r="AE86" i="6"/>
  <c r="AU86" i="6"/>
  <c r="AM86" i="6"/>
  <c r="AU56" i="8"/>
  <c r="AM56" i="8"/>
  <c r="AE56" i="8"/>
  <c r="AW56" i="8"/>
  <c r="AW11" i="8" s="1"/>
  <c r="N20" i="9" s="1"/>
  <c r="AK56" i="8"/>
  <c r="AA56" i="8"/>
  <c r="AS56" i="8"/>
  <c r="AI56" i="8"/>
  <c r="AQ56" i="8"/>
  <c r="AG56" i="8"/>
  <c r="AO56" i="8"/>
  <c r="AC56" i="8"/>
  <c r="AC11" i="8" s="1"/>
  <c r="D20" i="9" s="1"/>
  <c r="AW126" i="6"/>
  <c r="AO126" i="6"/>
  <c r="AG126" i="6"/>
  <c r="AU126" i="6"/>
  <c r="AM126" i="6"/>
  <c r="AE126" i="6"/>
  <c r="AS126" i="6"/>
  <c r="AK126" i="6"/>
  <c r="AC126" i="6"/>
  <c r="AQ126" i="6"/>
  <c r="AI126" i="6"/>
  <c r="AA126" i="6"/>
  <c r="AT142" i="4"/>
  <c r="AL142" i="4"/>
  <c r="AD142" i="4"/>
  <c r="AX142" i="4"/>
  <c r="AP142" i="4"/>
  <c r="AH142" i="4"/>
  <c r="AV142" i="4"/>
  <c r="AN142" i="4"/>
  <c r="AF142" i="4"/>
  <c r="AJ142" i="4"/>
  <c r="AB142" i="4"/>
  <c r="AR142" i="4"/>
  <c r="AS101" i="8"/>
  <c r="AK101" i="8"/>
  <c r="AC101" i="8"/>
  <c r="AW101" i="8"/>
  <c r="AI101" i="8"/>
  <c r="AU101" i="8"/>
  <c r="AG101" i="8"/>
  <c r="AQ101" i="8"/>
  <c r="AE101" i="8"/>
  <c r="AO101" i="8"/>
  <c r="AA101" i="8"/>
  <c r="AM101" i="8"/>
  <c r="AO61" i="7"/>
  <c r="AW61" i="7"/>
  <c r="AE61" i="7"/>
  <c r="AM61" i="7"/>
  <c r="AU61" i="7"/>
  <c r="AC61" i="7"/>
  <c r="AK61" i="7"/>
  <c r="AA61" i="7"/>
  <c r="AS61" i="7"/>
  <c r="AI61" i="7"/>
  <c r="AQ61" i="7"/>
  <c r="AG61" i="7"/>
  <c r="AU116" i="8"/>
  <c r="AM116" i="8"/>
  <c r="AE116" i="8"/>
  <c r="AS116" i="8"/>
  <c r="AK116" i="8"/>
  <c r="AC116" i="8"/>
  <c r="AO116" i="8"/>
  <c r="AA116" i="8"/>
  <c r="AW116" i="8"/>
  <c r="AI116" i="8"/>
  <c r="AQ116" i="8"/>
  <c r="AG116" i="8"/>
  <c r="AR86" i="6"/>
  <c r="AJ86" i="6"/>
  <c r="AB86" i="6"/>
  <c r="AV86" i="6"/>
  <c r="AN86" i="6"/>
  <c r="AF86" i="6"/>
  <c r="AT86" i="6"/>
  <c r="AL86" i="6"/>
  <c r="AD86" i="6"/>
  <c r="AX86" i="6"/>
  <c r="AP86" i="6"/>
  <c r="AH86" i="6"/>
  <c r="AW151" i="8"/>
  <c r="AO151" i="8"/>
  <c r="AG151" i="8"/>
  <c r="AE151" i="8"/>
  <c r="AC151" i="8"/>
  <c r="AM151" i="8"/>
  <c r="AK151" i="8"/>
  <c r="AA151" i="8"/>
  <c r="AU151" i="8"/>
  <c r="AS151" i="8"/>
  <c r="AI151" i="8"/>
  <c r="AQ151" i="8"/>
  <c r="AS31" i="6"/>
  <c r="AK31" i="6"/>
  <c r="AC31" i="6"/>
  <c r="AQ31" i="6"/>
  <c r="AI31" i="6"/>
  <c r="AA31" i="6"/>
  <c r="AW31" i="6"/>
  <c r="AO31" i="6"/>
  <c r="AG31" i="6"/>
  <c r="AU31" i="6"/>
  <c r="AM31" i="6"/>
  <c r="AE31" i="6"/>
  <c r="AQ66" i="8"/>
  <c r="AI66" i="8"/>
  <c r="AA66" i="8"/>
  <c r="AW66" i="8"/>
  <c r="AO66" i="8"/>
  <c r="AG66" i="8"/>
  <c r="AM66" i="8"/>
  <c r="AK66" i="8"/>
  <c r="AU66" i="8"/>
  <c r="AE66" i="8"/>
  <c r="AS66" i="8"/>
  <c r="AC66" i="8"/>
  <c r="AA11" i="8"/>
  <c r="C20" i="9" s="1"/>
  <c r="AV56" i="8"/>
  <c r="AN56" i="8"/>
  <c r="AF56" i="8"/>
  <c r="AT56" i="8"/>
  <c r="AJ56" i="8"/>
  <c r="AR56" i="8"/>
  <c r="AH56" i="8"/>
  <c r="AP56" i="8"/>
  <c r="AD56" i="8"/>
  <c r="AX56" i="8"/>
  <c r="AL56" i="8"/>
  <c r="AB56" i="8"/>
  <c r="AX126" i="6"/>
  <c r="AP126" i="6"/>
  <c r="AH126" i="6"/>
  <c r="AV126" i="6"/>
  <c r="AN126" i="6"/>
  <c r="AF126" i="6"/>
  <c r="AT126" i="6"/>
  <c r="AL126" i="6"/>
  <c r="AD126" i="6"/>
  <c r="AR126" i="6"/>
  <c r="AJ126" i="6"/>
  <c r="AB126" i="6"/>
  <c r="AW81" i="7"/>
  <c r="AO81" i="7"/>
  <c r="AG81" i="7"/>
  <c r="AS81" i="7"/>
  <c r="AK81" i="7"/>
  <c r="AC81" i="7"/>
  <c r="AE81" i="7"/>
  <c r="AU81" i="7"/>
  <c r="AA81" i="7"/>
  <c r="AQ81" i="7"/>
  <c r="AM81" i="7"/>
  <c r="AI81" i="7"/>
  <c r="AQ51" i="7"/>
  <c r="AI51" i="7"/>
  <c r="AA51" i="7"/>
  <c r="AG51" i="7"/>
  <c r="AO51" i="7"/>
  <c r="AW51" i="7"/>
  <c r="AE51" i="7"/>
  <c r="AM51" i="7"/>
  <c r="AU51" i="7"/>
  <c r="AC51" i="7"/>
  <c r="AK51" i="7"/>
  <c r="AS51" i="7"/>
  <c r="AU142" i="4"/>
  <c r="AM142" i="4"/>
  <c r="AE142" i="4"/>
  <c r="AY142" i="4"/>
  <c r="AQ142" i="4"/>
  <c r="AI142" i="4"/>
  <c r="AW142" i="4"/>
  <c r="AO142" i="4"/>
  <c r="AG142" i="4"/>
  <c r="AK142" i="4"/>
  <c r="AC142" i="4"/>
  <c r="AS142" i="4"/>
  <c r="AV101" i="8"/>
  <c r="AN101" i="8"/>
  <c r="AF101" i="8"/>
  <c r="AR101" i="8"/>
  <c r="AJ101" i="8"/>
  <c r="AB101" i="8"/>
  <c r="AH101" i="8"/>
  <c r="AT101" i="8"/>
  <c r="AP101" i="8"/>
  <c r="AD101" i="8"/>
  <c r="AX101" i="8"/>
  <c r="AL101" i="8"/>
  <c r="AQ131" i="6"/>
  <c r="AI131" i="6"/>
  <c r="AA131" i="6"/>
  <c r="AW131" i="6"/>
  <c r="AO131" i="6"/>
  <c r="AG131" i="6"/>
  <c r="AU131" i="6"/>
  <c r="AM131" i="6"/>
  <c r="AE131" i="6"/>
  <c r="AS131" i="6"/>
  <c r="AK131" i="6"/>
  <c r="AC131" i="6"/>
  <c r="AR61" i="7"/>
  <c r="AJ61" i="7"/>
  <c r="AB61" i="7"/>
  <c r="AX61" i="7"/>
  <c r="AF61" i="7"/>
  <c r="AN61" i="7"/>
  <c r="AV61" i="7"/>
  <c r="AD61" i="7"/>
  <c r="AL61" i="7"/>
  <c r="AT61" i="7"/>
  <c r="AH61" i="7"/>
  <c r="AP61" i="7"/>
  <c r="AQ26" i="6"/>
  <c r="AI26" i="6"/>
  <c r="AA26" i="6"/>
  <c r="AW26" i="6"/>
  <c r="AO26" i="6"/>
  <c r="AG26" i="6"/>
  <c r="AU26" i="6"/>
  <c r="AM26" i="6"/>
  <c r="AE26" i="6"/>
  <c r="AS26" i="6"/>
  <c r="AK26" i="6"/>
  <c r="AC26" i="6"/>
  <c r="AS66" i="7"/>
  <c r="AK66" i="7"/>
  <c r="AC66" i="7"/>
  <c r="AO66" i="7"/>
  <c r="AW66" i="7"/>
  <c r="AE66" i="7"/>
  <c r="AM66" i="7"/>
  <c r="AU66" i="7"/>
  <c r="AA66" i="7"/>
  <c r="AI66" i="7"/>
  <c r="AI11" i="7" s="1"/>
  <c r="G19" i="9" s="1"/>
  <c r="AQ66" i="7"/>
  <c r="AG66" i="7"/>
  <c r="AS96" i="8"/>
  <c r="AK96" i="8"/>
  <c r="AC96" i="8"/>
  <c r="AM96" i="8"/>
  <c r="AM11" i="8" s="1"/>
  <c r="I20" i="9" s="1"/>
  <c r="AW96" i="8"/>
  <c r="AA96" i="8"/>
  <c r="AU96" i="8"/>
  <c r="AI96" i="8"/>
  <c r="AQ96" i="8"/>
  <c r="AG96" i="8"/>
  <c r="AE96" i="8"/>
  <c r="AO96" i="8"/>
  <c r="AS86" i="8"/>
  <c r="AK86" i="8"/>
  <c r="AC86" i="8"/>
  <c r="AM86" i="8"/>
  <c r="AW86" i="8"/>
  <c r="AA86" i="8"/>
  <c r="AU86" i="8"/>
  <c r="AI86" i="8"/>
  <c r="AQ86" i="8"/>
  <c r="AG86" i="8"/>
  <c r="AE86" i="8"/>
  <c r="AO86" i="8"/>
  <c r="AR32" i="4"/>
  <c r="AJ32" i="4"/>
  <c r="AB32" i="4"/>
  <c r="AX32" i="4"/>
  <c r="AP32" i="4"/>
  <c r="AH32" i="4"/>
  <c r="AV32" i="4"/>
  <c r="AN32" i="4"/>
  <c r="AF32" i="4"/>
  <c r="AT32" i="4"/>
  <c r="AL32" i="4"/>
  <c r="AD32" i="4"/>
  <c r="M11" i="8"/>
  <c r="AR81" i="7"/>
  <c r="AJ81" i="7"/>
  <c r="AB81" i="7"/>
  <c r="AX81" i="7"/>
  <c r="AP81" i="7"/>
  <c r="AH81" i="7"/>
  <c r="AV81" i="7"/>
  <c r="AN81" i="7"/>
  <c r="AF81" i="7"/>
  <c r="AD81" i="7"/>
  <c r="AT81" i="7"/>
  <c r="AL81" i="7"/>
  <c r="AP51" i="7"/>
  <c r="AX51" i="7"/>
  <c r="AF51" i="7"/>
  <c r="AN51" i="7"/>
  <c r="AV51" i="7"/>
  <c r="AD51" i="7"/>
  <c r="AL51" i="7"/>
  <c r="AT51" i="7"/>
  <c r="AB51" i="7"/>
  <c r="AJ51" i="7"/>
  <c r="AR51" i="7"/>
  <c r="AH51" i="7"/>
  <c r="AX131" i="6"/>
  <c r="AP131" i="6"/>
  <c r="AH131" i="6"/>
  <c r="AV131" i="6"/>
  <c r="AN131" i="6"/>
  <c r="AF131" i="6"/>
  <c r="AT131" i="6"/>
  <c r="AL131" i="6"/>
  <c r="AD131" i="6"/>
  <c r="AR131" i="6"/>
  <c r="AJ131" i="6"/>
  <c r="AB131" i="6"/>
  <c r="M8" i="5"/>
  <c r="AX66" i="7"/>
  <c r="AF66" i="7"/>
  <c r="AN66" i="7"/>
  <c r="AV66" i="7"/>
  <c r="AD66" i="7"/>
  <c r="AL66" i="7"/>
  <c r="AB66" i="7"/>
  <c r="AT66" i="7"/>
  <c r="AJ66" i="7"/>
  <c r="AR66" i="7"/>
  <c r="AH66" i="7"/>
  <c r="AP66" i="7"/>
  <c r="AS76" i="8"/>
  <c r="AS11" i="8" s="1"/>
  <c r="L20" i="9" s="1"/>
  <c r="AK76" i="8"/>
  <c r="AC76" i="8"/>
  <c r="AM76" i="8"/>
  <c r="AW76" i="8"/>
  <c r="AA76" i="8"/>
  <c r="AU76" i="8"/>
  <c r="AI76" i="8"/>
  <c r="AQ76" i="8"/>
  <c r="AO76" i="8"/>
  <c r="AG76" i="8"/>
  <c r="AE76" i="8"/>
  <c r="AV96" i="8"/>
  <c r="AN96" i="8"/>
  <c r="AF96" i="8"/>
  <c r="AX96" i="8"/>
  <c r="AB96" i="8"/>
  <c r="AL96" i="8"/>
  <c r="AJ96" i="8"/>
  <c r="AT96" i="8"/>
  <c r="AR96" i="8"/>
  <c r="AH96" i="8"/>
  <c r="AP96" i="8"/>
  <c r="AD96" i="8"/>
  <c r="AG11" i="7"/>
  <c r="F19" i="9" s="1"/>
  <c r="AU96" i="6"/>
  <c r="AM96" i="6"/>
  <c r="AE96" i="6"/>
  <c r="AS96" i="6"/>
  <c r="AK96" i="6"/>
  <c r="AC96" i="6"/>
  <c r="AQ96" i="6"/>
  <c r="AI96" i="6"/>
  <c r="AA96" i="6"/>
  <c r="AO96" i="6"/>
  <c r="AG96" i="6"/>
  <c r="AW96" i="6"/>
  <c r="AR31" i="6"/>
  <c r="AJ31" i="6"/>
  <c r="AB31" i="6"/>
  <c r="AX31" i="6"/>
  <c r="AP31" i="6"/>
  <c r="AH31" i="6"/>
  <c r="AV31" i="6"/>
  <c r="AN31" i="6"/>
  <c r="AF31" i="6"/>
  <c r="AT31" i="6"/>
  <c r="AL31" i="6"/>
  <c r="AD31" i="6"/>
  <c r="AR66" i="8"/>
  <c r="AJ66" i="8"/>
  <c r="AB66" i="8"/>
  <c r="AX66" i="8"/>
  <c r="AP66" i="8"/>
  <c r="AH66" i="8"/>
  <c r="AL66" i="8"/>
  <c r="AV66" i="8"/>
  <c r="AF66" i="8"/>
  <c r="AT66" i="8"/>
  <c r="AD66" i="8"/>
  <c r="AN66" i="8"/>
  <c r="AR27" i="4"/>
  <c r="AJ27" i="4"/>
  <c r="AB27" i="4"/>
  <c r="AX27" i="4"/>
  <c r="AP27" i="4"/>
  <c r="AH27" i="4"/>
  <c r="AV27" i="4"/>
  <c r="AN27" i="4"/>
  <c r="AF27" i="4"/>
  <c r="AT27" i="4"/>
  <c r="AL27" i="4"/>
  <c r="AD27" i="4"/>
  <c r="AT96" i="6"/>
  <c r="AL96" i="6"/>
  <c r="AD96" i="6"/>
  <c r="AX96" i="6"/>
  <c r="AP96" i="6"/>
  <c r="AH96" i="6"/>
  <c r="AV96" i="6"/>
  <c r="AN96" i="6"/>
  <c r="AF96" i="6"/>
  <c r="AR96" i="6"/>
  <c r="AJ96" i="6"/>
  <c r="AB96" i="6"/>
  <c r="AQ21" i="6"/>
  <c r="AI21" i="6"/>
  <c r="AA21" i="6"/>
  <c r="AW21" i="6"/>
  <c r="AW11" i="6" s="1"/>
  <c r="N18" i="9" s="1"/>
  <c r="AO21" i="6"/>
  <c r="AG21" i="6"/>
  <c r="AU21" i="6"/>
  <c r="AM21" i="6"/>
  <c r="AE21" i="6"/>
  <c r="AS21" i="6"/>
  <c r="AK21" i="6"/>
  <c r="AC21" i="6"/>
  <c r="M11" i="6"/>
  <c r="AQ81" i="5"/>
  <c r="AI81" i="5"/>
  <c r="AA81" i="5"/>
  <c r="AW81" i="5"/>
  <c r="AO81" i="5"/>
  <c r="AG81" i="5"/>
  <c r="AU81" i="5"/>
  <c r="AM81" i="5"/>
  <c r="AE81" i="5"/>
  <c r="AS81" i="5"/>
  <c r="AK81" i="5"/>
  <c r="AC81" i="5"/>
  <c r="N8" i="5"/>
  <c r="K12" i="2" s="1"/>
  <c r="AS91" i="8"/>
  <c r="AK91" i="8"/>
  <c r="AK11" i="8" s="1"/>
  <c r="H20" i="9" s="1"/>
  <c r="AC91" i="8"/>
  <c r="AM91" i="8"/>
  <c r="AW91" i="8"/>
  <c r="AA91" i="8"/>
  <c r="AU91" i="8"/>
  <c r="AI91" i="8"/>
  <c r="AQ91" i="8"/>
  <c r="AG91" i="8"/>
  <c r="AG11" i="8" s="1"/>
  <c r="F20" i="9" s="1"/>
  <c r="P20" i="9" s="1"/>
  <c r="AO91" i="8"/>
  <c r="AE91" i="8"/>
  <c r="AT132" i="4"/>
  <c r="AL132" i="4"/>
  <c r="AD132" i="4"/>
  <c r="AX132" i="4"/>
  <c r="AP132" i="4"/>
  <c r="AH132" i="4"/>
  <c r="AN132" i="4"/>
  <c r="AJ132" i="4"/>
  <c r="AF132" i="4"/>
  <c r="AV132" i="4"/>
  <c r="AB132" i="4"/>
  <c r="AR132" i="4"/>
  <c r="AS81" i="8"/>
  <c r="AK81" i="8"/>
  <c r="AC81" i="8"/>
  <c r="AM81" i="8"/>
  <c r="AW81" i="8"/>
  <c r="AA81" i="8"/>
  <c r="AU81" i="8"/>
  <c r="AI81" i="8"/>
  <c r="AQ81" i="8"/>
  <c r="AG81" i="8"/>
  <c r="AO81" i="8"/>
  <c r="AE81" i="8"/>
  <c r="AV76" i="8"/>
  <c r="AN76" i="8"/>
  <c r="AF76" i="8"/>
  <c r="AX76" i="8"/>
  <c r="AB76" i="8"/>
  <c r="AL76" i="8"/>
  <c r="AJ76" i="8"/>
  <c r="AT76" i="8"/>
  <c r="AD76" i="8"/>
  <c r="AR76" i="8"/>
  <c r="AP76" i="8"/>
  <c r="AH76" i="8"/>
  <c r="AS42" i="4"/>
  <c r="AK42" i="4"/>
  <c r="AC42" i="4"/>
  <c r="AY42" i="4"/>
  <c r="AQ42" i="4"/>
  <c r="AI42" i="4"/>
  <c r="AW42" i="4"/>
  <c r="AO42" i="4"/>
  <c r="AG42" i="4"/>
  <c r="AU42" i="4"/>
  <c r="AM42" i="4"/>
  <c r="AE42" i="4"/>
  <c r="AR22" i="4"/>
  <c r="AJ22" i="4"/>
  <c r="AB22" i="4"/>
  <c r="AX22" i="4"/>
  <c r="AP22" i="4"/>
  <c r="AH22" i="4"/>
  <c r="AV22" i="4"/>
  <c r="AN22" i="4"/>
  <c r="AF22" i="4"/>
  <c r="AT22" i="4"/>
  <c r="AL22" i="4"/>
  <c r="AD22" i="4"/>
  <c r="N12" i="4"/>
  <c r="AU76" i="7"/>
  <c r="AM76" i="7"/>
  <c r="AE76" i="7"/>
  <c r="AA76" i="7"/>
  <c r="AK76" i="7"/>
  <c r="AW76" i="7"/>
  <c r="AI76" i="7"/>
  <c r="AS76" i="7"/>
  <c r="AG76" i="7"/>
  <c r="AQ76" i="7"/>
  <c r="AC76" i="7"/>
  <c r="AO76" i="7"/>
  <c r="AO11" i="8"/>
  <c r="J20" i="9" s="1"/>
  <c r="AR37" i="4"/>
  <c r="AJ37" i="4"/>
  <c r="AB37" i="4"/>
  <c r="AX37" i="4"/>
  <c r="AP37" i="4"/>
  <c r="AH37" i="4"/>
  <c r="AV37" i="4"/>
  <c r="AN37" i="4"/>
  <c r="AF37" i="4"/>
  <c r="AT37" i="4"/>
  <c r="AL37" i="4"/>
  <c r="AD37" i="4"/>
  <c r="AV61" i="8"/>
  <c r="AN61" i="8"/>
  <c r="AF61" i="8"/>
  <c r="AX61" i="8"/>
  <c r="AL61" i="8"/>
  <c r="AB61" i="8"/>
  <c r="AT61" i="8"/>
  <c r="AJ61" i="8"/>
  <c r="AR61" i="8"/>
  <c r="AH61" i="8"/>
  <c r="AP61" i="8"/>
  <c r="AD61" i="8"/>
  <c r="M9" i="6"/>
  <c r="AV91" i="8"/>
  <c r="AN91" i="8"/>
  <c r="AF91" i="8"/>
  <c r="AX91" i="8"/>
  <c r="AB91" i="8"/>
  <c r="AL91" i="8"/>
  <c r="AJ91" i="8"/>
  <c r="AT91" i="8"/>
  <c r="AR91" i="8"/>
  <c r="AP91" i="8"/>
  <c r="AH91" i="8"/>
  <c r="AD91" i="8"/>
  <c r="AQ56" i="7"/>
  <c r="AI56" i="7"/>
  <c r="AA56" i="7"/>
  <c r="AO56" i="7"/>
  <c r="AW56" i="7"/>
  <c r="AE56" i="7"/>
  <c r="AM56" i="7"/>
  <c r="AU56" i="7"/>
  <c r="AC56" i="7"/>
  <c r="AK56" i="7"/>
  <c r="AS56" i="7"/>
  <c r="AG56" i="7"/>
  <c r="AU132" i="4"/>
  <c r="AM132" i="4"/>
  <c r="AE132" i="4"/>
  <c r="AY132" i="4"/>
  <c r="AQ132" i="4"/>
  <c r="AI132" i="4"/>
  <c r="AW132" i="4"/>
  <c r="AO132" i="4"/>
  <c r="AG132" i="4"/>
  <c r="AK132" i="4"/>
  <c r="AC132" i="4"/>
  <c r="AS132" i="4"/>
  <c r="AV81" i="8"/>
  <c r="AN81" i="8"/>
  <c r="AF81" i="8"/>
  <c r="AX81" i="8"/>
  <c r="AB81" i="8"/>
  <c r="AL81" i="8"/>
  <c r="AJ81" i="8"/>
  <c r="AT81" i="8"/>
  <c r="AP81" i="8"/>
  <c r="AH81" i="8"/>
  <c r="AD81" i="8"/>
  <c r="AR81" i="8"/>
  <c r="AW31" i="7"/>
  <c r="AO31" i="7"/>
  <c r="AO11" i="7" s="1"/>
  <c r="J19" i="9" s="1"/>
  <c r="AG31" i="7"/>
  <c r="AU31" i="7"/>
  <c r="AU11" i="7" s="1"/>
  <c r="M19" i="9" s="1"/>
  <c r="AM31" i="7"/>
  <c r="AM11" i="7" s="1"/>
  <c r="I19" i="9" s="1"/>
  <c r="Q19" i="9" s="1"/>
  <c r="AE31" i="7"/>
  <c r="AE11" i="7" s="1"/>
  <c r="E19" i="9" s="1"/>
  <c r="AS31" i="7"/>
  <c r="AS11" i="7" s="1"/>
  <c r="L19" i="9" s="1"/>
  <c r="AK31" i="7"/>
  <c r="AK11" i="7" s="1"/>
  <c r="H19" i="9" s="1"/>
  <c r="AC31" i="7"/>
  <c r="AQ31" i="7"/>
  <c r="AQ11" i="7" s="1"/>
  <c r="K19" i="9" s="1"/>
  <c r="AI31" i="7"/>
  <c r="AA31" i="7"/>
  <c r="AA11" i="7" s="1"/>
  <c r="C19" i="9" s="1"/>
  <c r="O19" i="9" s="1"/>
  <c r="AC11" i="7"/>
  <c r="D19" i="9" s="1"/>
  <c r="AW11" i="7"/>
  <c r="N19" i="9" s="1"/>
  <c r="N10" i="7"/>
  <c r="M19" i="2" s="1"/>
  <c r="M29" i="2" s="1"/>
  <c r="AI171" i="6"/>
  <c r="AQ171" i="6"/>
  <c r="AG171" i="6"/>
  <c r="AO171" i="6"/>
  <c r="AW171" i="6"/>
  <c r="AE171" i="6"/>
  <c r="AM171" i="6"/>
  <c r="AU171" i="6"/>
  <c r="AC171" i="6"/>
  <c r="AK171" i="6"/>
  <c r="AS171" i="6"/>
  <c r="AA171" i="6"/>
  <c r="AW181" i="6"/>
  <c r="AO181" i="6"/>
  <c r="AG181" i="6"/>
  <c r="AU181" i="6"/>
  <c r="AM181" i="6"/>
  <c r="AE181" i="6"/>
  <c r="AQ181" i="6"/>
  <c r="AI181" i="6"/>
  <c r="AA181" i="6"/>
  <c r="AK181" i="6"/>
  <c r="AC181" i="6"/>
  <c r="AS181" i="6"/>
  <c r="AW61" i="8"/>
  <c r="AO61" i="8"/>
  <c r="AG61" i="8"/>
  <c r="AU61" i="8"/>
  <c r="AU11" i="8" s="1"/>
  <c r="M20" i="9" s="1"/>
  <c r="AK61" i="8"/>
  <c r="AA61" i="8"/>
  <c r="AS61" i="8"/>
  <c r="AI61" i="8"/>
  <c r="AI11" i="8" s="1"/>
  <c r="G20" i="9" s="1"/>
  <c r="AQ61" i="8"/>
  <c r="AQ11" i="8" s="1"/>
  <c r="K20" i="9" s="1"/>
  <c r="AE61" i="8"/>
  <c r="AE11" i="8" s="1"/>
  <c r="E20" i="9" s="1"/>
  <c r="AM61" i="8"/>
  <c r="AC61" i="8"/>
  <c r="AV61" i="5"/>
  <c r="AN61" i="5"/>
  <c r="AN11" i="5" s="1"/>
  <c r="AF61" i="5"/>
  <c r="AF11" i="5" s="1"/>
  <c r="AT61" i="5"/>
  <c r="AL61" i="5"/>
  <c r="AL11" i="5" s="1"/>
  <c r="AD61" i="5"/>
  <c r="AR61" i="5"/>
  <c r="AJ61" i="5"/>
  <c r="AB61" i="5"/>
  <c r="AB11" i="5" s="1"/>
  <c r="AX61" i="5"/>
  <c r="AP61" i="5"/>
  <c r="AP11" i="5" s="1"/>
  <c r="AH61" i="5"/>
  <c r="AS71" i="7"/>
  <c r="AK71" i="7"/>
  <c r="AC71" i="7"/>
  <c r="AO71" i="7"/>
  <c r="AE71" i="7"/>
  <c r="AW71" i="7"/>
  <c r="AM71" i="7"/>
  <c r="AA71" i="7"/>
  <c r="AU71" i="7"/>
  <c r="AI71" i="7"/>
  <c r="AQ71" i="7"/>
  <c r="AG71" i="7"/>
  <c r="N9" i="6"/>
  <c r="L15" i="2" s="1"/>
  <c r="L29" i="2" s="1"/>
  <c r="M8" i="6"/>
  <c r="AQ141" i="8"/>
  <c r="AI141" i="8"/>
  <c r="AA141" i="8"/>
  <c r="AW141" i="8"/>
  <c r="AO141" i="8"/>
  <c r="AG141" i="8"/>
  <c r="AU141" i="8"/>
  <c r="AM141" i="8"/>
  <c r="AE141" i="8"/>
  <c r="AS141" i="8"/>
  <c r="AK141" i="8"/>
  <c r="AC141" i="8"/>
  <c r="AU76" i="6"/>
  <c r="AM76" i="6"/>
  <c r="AE76" i="6"/>
  <c r="AS76" i="6"/>
  <c r="AK76" i="6"/>
  <c r="AC76" i="6"/>
  <c r="AO76" i="6"/>
  <c r="AI76" i="6"/>
  <c r="AW76" i="6"/>
  <c r="AG76" i="6"/>
  <c r="AQ76" i="6"/>
  <c r="AA76" i="6"/>
  <c r="N11" i="5"/>
  <c r="AX171" i="6"/>
  <c r="AP171" i="6"/>
  <c r="AH171" i="6"/>
  <c r="AR171" i="6"/>
  <c r="AF171" i="6"/>
  <c r="AN171" i="6"/>
  <c r="AV171" i="6"/>
  <c r="AD171" i="6"/>
  <c r="AL171" i="6"/>
  <c r="AT171" i="6"/>
  <c r="AB171" i="6"/>
  <c r="AJ171" i="6"/>
  <c r="AR42" i="4"/>
  <c r="AJ42" i="4"/>
  <c r="AB42" i="4"/>
  <c r="AX42" i="4"/>
  <c r="AP42" i="4"/>
  <c r="AH42" i="4"/>
  <c r="AV42" i="4"/>
  <c r="AN42" i="4"/>
  <c r="AF42" i="4"/>
  <c r="AT42" i="4"/>
  <c r="AL42" i="4"/>
  <c r="AD42" i="4"/>
  <c r="AX181" i="6"/>
  <c r="AP181" i="6"/>
  <c r="AH181" i="6"/>
  <c r="AT181" i="6"/>
  <c r="AL181" i="6"/>
  <c r="AD181" i="6"/>
  <c r="AR181" i="6"/>
  <c r="AN181" i="6"/>
  <c r="AJ181" i="6"/>
  <c r="AF181" i="6"/>
  <c r="AV181" i="6"/>
  <c r="AB181" i="6"/>
  <c r="AW61" i="5"/>
  <c r="AW11" i="5" s="1"/>
  <c r="N17" i="9" s="1"/>
  <c r="AO61" i="5"/>
  <c r="AO11" i="5" s="1"/>
  <c r="J17" i="9" s="1"/>
  <c r="AG61" i="5"/>
  <c r="AG11" i="5" s="1"/>
  <c r="F17" i="9" s="1"/>
  <c r="AU61" i="5"/>
  <c r="AU11" i="5" s="1"/>
  <c r="M17" i="9" s="1"/>
  <c r="AM61" i="5"/>
  <c r="AM11" i="5" s="1"/>
  <c r="I17" i="9" s="1"/>
  <c r="Q17" i="9" s="1"/>
  <c r="AE61" i="5"/>
  <c r="AS61" i="5"/>
  <c r="AS11" i="5" s="1"/>
  <c r="L17" i="9" s="1"/>
  <c r="R17" i="9" s="1"/>
  <c r="AK61" i="5"/>
  <c r="AK11" i="5" s="1"/>
  <c r="H17" i="9" s="1"/>
  <c r="AC61" i="5"/>
  <c r="AC11" i="5" s="1"/>
  <c r="D17" i="9" s="1"/>
  <c r="AQ61" i="5"/>
  <c r="AI61" i="5"/>
  <c r="AI11" i="5" s="1"/>
  <c r="G17" i="9" s="1"/>
  <c r="AA61" i="5"/>
  <c r="AA11" i="5" s="1"/>
  <c r="C17" i="9" s="1"/>
  <c r="O17" i="9" s="1"/>
  <c r="AT71" i="7"/>
  <c r="AL71" i="7"/>
  <c r="AD71" i="7"/>
  <c r="AP71" i="7"/>
  <c r="AF71" i="7"/>
  <c r="AX71" i="7"/>
  <c r="AN71" i="7"/>
  <c r="AB71" i="7"/>
  <c r="AV71" i="7"/>
  <c r="AJ71" i="7"/>
  <c r="AR71" i="7"/>
  <c r="AH71" i="7"/>
  <c r="AV31" i="7"/>
  <c r="AN31" i="7"/>
  <c r="AF31" i="7"/>
  <c r="AT31" i="7"/>
  <c r="AL31" i="7"/>
  <c r="AL11" i="7" s="1"/>
  <c r="AD31" i="7"/>
  <c r="AR31" i="7"/>
  <c r="AJ31" i="7"/>
  <c r="AB31" i="7"/>
  <c r="AB11" i="7" s="1"/>
  <c r="AX31" i="7"/>
  <c r="AP31" i="7"/>
  <c r="AH31" i="7"/>
  <c r="J29" i="2"/>
  <c r="N8" i="6"/>
  <c r="K15" i="2" s="1"/>
  <c r="K29" i="2" s="1"/>
  <c r="AE11" i="5"/>
  <c r="E17" i="9" s="1"/>
  <c r="AQ11" i="5"/>
  <c r="K17" i="9" s="1"/>
  <c r="AD11" i="5"/>
  <c r="AX11" i="5"/>
  <c r="AT12" i="4" l="1"/>
  <c r="L16" i="9" s="1"/>
  <c r="AJ12" i="4"/>
  <c r="G16" i="9" s="1"/>
  <c r="AN11" i="8"/>
  <c r="AJ11" i="7"/>
  <c r="AV11" i="5"/>
  <c r="AJ11" i="5"/>
  <c r="AD11" i="7"/>
  <c r="P11" i="7" s="1"/>
  <c r="AH11" i="8"/>
  <c r="F10" i="9" s="1"/>
  <c r="AT11" i="7"/>
  <c r="AP11" i="7"/>
  <c r="AF11" i="7"/>
  <c r="AH11" i="5"/>
  <c r="AT11" i="5"/>
  <c r="AL11" i="8"/>
  <c r="AR11" i="7"/>
  <c r="AR11" i="8"/>
  <c r="K10" i="9" s="1"/>
  <c r="AN11" i="7"/>
  <c r="AR11" i="5"/>
  <c r="W11" i="5" s="1"/>
  <c r="AJ11" i="8"/>
  <c r="G10" i="9" s="1"/>
  <c r="AX11" i="7"/>
  <c r="N9" i="9" s="1"/>
  <c r="AP11" i="8"/>
  <c r="AH11" i="7"/>
  <c r="AV11" i="8"/>
  <c r="M10" i="9" s="1"/>
  <c r="AD11" i="8"/>
  <c r="P11" i="8" s="1"/>
  <c r="AX11" i="8"/>
  <c r="N10" i="9" s="1"/>
  <c r="AV11" i="7"/>
  <c r="Y11" i="7" s="1"/>
  <c r="AF11" i="8"/>
  <c r="AB11" i="8"/>
  <c r="C10" i="9" s="1"/>
  <c r="AT11" i="8"/>
  <c r="L10" i="9" s="1"/>
  <c r="AQ12" i="4"/>
  <c r="I9" i="9"/>
  <c r="U11" i="7"/>
  <c r="D9" i="9"/>
  <c r="J10" i="9"/>
  <c r="V11" i="8"/>
  <c r="M7" i="9"/>
  <c r="Y11" i="5"/>
  <c r="F9" i="9"/>
  <c r="R11" i="7"/>
  <c r="H7" i="9"/>
  <c r="T11" i="5"/>
  <c r="R20" i="9"/>
  <c r="G9" i="9"/>
  <c r="S11" i="7"/>
  <c r="C7" i="9"/>
  <c r="O11" i="5"/>
  <c r="K9" i="9"/>
  <c r="W11" i="7"/>
  <c r="J9" i="9"/>
  <c r="V11" i="7"/>
  <c r="P17" i="9"/>
  <c r="F7" i="9"/>
  <c r="R11" i="5"/>
  <c r="L7" i="9"/>
  <c r="X11" i="5"/>
  <c r="E7" i="9"/>
  <c r="Q11" i="5"/>
  <c r="R19" i="9"/>
  <c r="H10" i="9"/>
  <c r="T11" i="8"/>
  <c r="L9" i="9"/>
  <c r="X11" i="7"/>
  <c r="M9" i="9"/>
  <c r="I7" i="9"/>
  <c r="U11" i="5"/>
  <c r="E10" i="9"/>
  <c r="Q11" i="8"/>
  <c r="Q20" i="9"/>
  <c r="P19" i="9"/>
  <c r="AF12" i="4"/>
  <c r="E16" i="9" s="1"/>
  <c r="AR12" i="4"/>
  <c r="K16" i="9" s="1"/>
  <c r="AK11" i="6"/>
  <c r="H18" i="9" s="1"/>
  <c r="AA11" i="6"/>
  <c r="C18" i="9" s="1"/>
  <c r="AE12" i="4"/>
  <c r="AY12" i="4"/>
  <c r="AF11" i="6"/>
  <c r="G7" i="9"/>
  <c r="S11" i="5"/>
  <c r="B7" i="9"/>
  <c r="I12" i="2"/>
  <c r="N7" i="9"/>
  <c r="Z11" i="5"/>
  <c r="AN12" i="4"/>
  <c r="I16" i="9" s="1"/>
  <c r="AS11" i="6"/>
  <c r="L18" i="9" s="1"/>
  <c r="AI11" i="6"/>
  <c r="G18" i="9" s="1"/>
  <c r="G21" i="9" s="1"/>
  <c r="G22" i="9" s="1"/>
  <c r="AM12" i="4"/>
  <c r="AB11" i="6"/>
  <c r="AN11" i="6"/>
  <c r="C9" i="9"/>
  <c r="O11" i="7"/>
  <c r="AV12" i="4"/>
  <c r="M16" i="9" s="1"/>
  <c r="AE11" i="6"/>
  <c r="E18" i="9" s="1"/>
  <c r="AQ11" i="6"/>
  <c r="K18" i="9" s="1"/>
  <c r="B9" i="9"/>
  <c r="I19" i="2"/>
  <c r="AU12" i="4"/>
  <c r="AJ11" i="6"/>
  <c r="AV11" i="6"/>
  <c r="J7" i="9"/>
  <c r="V11" i="5"/>
  <c r="I10" i="9"/>
  <c r="U11" i="8"/>
  <c r="H9" i="9"/>
  <c r="T11" i="7"/>
  <c r="AH12" i="4"/>
  <c r="F16" i="9" s="1"/>
  <c r="AM11" i="6"/>
  <c r="I18" i="9" s="1"/>
  <c r="B17" i="9"/>
  <c r="S17" i="9" s="1"/>
  <c r="H12" i="2"/>
  <c r="AG12" i="4"/>
  <c r="AR11" i="6"/>
  <c r="AH11" i="6"/>
  <c r="E9" i="9"/>
  <c r="Q11" i="7"/>
  <c r="AC11" i="6"/>
  <c r="D18" i="9" s="1"/>
  <c r="O20" i="9"/>
  <c r="J6" i="9"/>
  <c r="W12" i="4"/>
  <c r="AT11" i="6"/>
  <c r="B16" i="9"/>
  <c r="H7" i="2"/>
  <c r="AP12" i="4"/>
  <c r="J16" i="9" s="1"/>
  <c r="AU11" i="6"/>
  <c r="M18" i="9" s="1"/>
  <c r="AC12" i="4"/>
  <c r="AO12" i="4"/>
  <c r="B8" i="9"/>
  <c r="I15" i="2"/>
  <c r="AP11" i="6"/>
  <c r="AD12" i="4"/>
  <c r="D16" i="9" s="1"/>
  <c r="AX12" i="4"/>
  <c r="N16" i="9" s="1"/>
  <c r="N21" i="9" s="1"/>
  <c r="N22" i="9" s="1"/>
  <c r="AG11" i="6"/>
  <c r="F18" i="9" s="1"/>
  <c r="P18" i="9" s="1"/>
  <c r="B20" i="9"/>
  <c r="S20" i="9" s="1"/>
  <c r="H22" i="2"/>
  <c r="S19" i="9"/>
  <c r="AK12" i="4"/>
  <c r="AW12" i="4"/>
  <c r="AD11" i="6"/>
  <c r="AX11" i="6"/>
  <c r="B6" i="9"/>
  <c r="I7" i="2"/>
  <c r="D7" i="9"/>
  <c r="P11" i="5"/>
  <c r="AL12" i="4"/>
  <c r="H16" i="9" s="1"/>
  <c r="H21" i="9" s="1"/>
  <c r="H22" i="9" s="1"/>
  <c r="AB12" i="4"/>
  <c r="C16" i="9" s="1"/>
  <c r="B18" i="9"/>
  <c r="H15" i="2"/>
  <c r="AO11" i="6"/>
  <c r="J18" i="9" s="1"/>
  <c r="AS12" i="4"/>
  <c r="AI12" i="4"/>
  <c r="AL11" i="6"/>
  <c r="B10" i="9"/>
  <c r="I22" i="2"/>
  <c r="D10" i="9" l="1"/>
  <c r="W11" i="8"/>
  <c r="R11" i="8"/>
  <c r="Y11" i="8"/>
  <c r="Z11" i="8"/>
  <c r="K7" i="9"/>
  <c r="S7" i="9"/>
  <c r="Q10" i="9"/>
  <c r="X11" i="8"/>
  <c r="Z11" i="7"/>
  <c r="I29" i="2"/>
  <c r="O11" i="8"/>
  <c r="S11" i="8"/>
  <c r="R9" i="9"/>
  <c r="C8" i="9"/>
  <c r="O11" i="6"/>
  <c r="F6" i="9"/>
  <c r="S12" i="4"/>
  <c r="I6" i="9"/>
  <c r="V12" i="4"/>
  <c r="H6" i="9"/>
  <c r="U12" i="4"/>
  <c r="E21" i="9"/>
  <c r="E22" i="9" s="1"/>
  <c r="E6" i="9"/>
  <c r="R12" i="4"/>
  <c r="M21" i="9"/>
  <c r="M22" i="9" s="1"/>
  <c r="Q18" i="9"/>
  <c r="M8" i="9"/>
  <c r="Y11" i="6"/>
  <c r="R16" i="9"/>
  <c r="R18" i="9"/>
  <c r="E8" i="9"/>
  <c r="Q11" i="6"/>
  <c r="P10" i="9"/>
  <c r="K6" i="9"/>
  <c r="X12" i="4"/>
  <c r="J21" i="9"/>
  <c r="J22" i="9" s="1"/>
  <c r="F21" i="9"/>
  <c r="P16" i="9"/>
  <c r="G8" i="9"/>
  <c r="S11" i="6"/>
  <c r="L21" i="9"/>
  <c r="I21" i="9"/>
  <c r="Q16" i="9"/>
  <c r="N6" i="9"/>
  <c r="AA12" i="4"/>
  <c r="Q7" i="9"/>
  <c r="H8" i="9"/>
  <c r="T11" i="6"/>
  <c r="K21" i="9"/>
  <c r="K22" i="9" s="1"/>
  <c r="B11" i="9"/>
  <c r="N8" i="9"/>
  <c r="Z11" i="6"/>
  <c r="S18" i="9"/>
  <c r="D8" i="9"/>
  <c r="P11" i="6"/>
  <c r="D21" i="9"/>
  <c r="D22" i="9" s="1"/>
  <c r="H29" i="2"/>
  <c r="L6" i="9"/>
  <c r="Y12" i="4"/>
  <c r="D6" i="9"/>
  <c r="Q12" i="4"/>
  <c r="R10" i="9"/>
  <c r="R7" i="9"/>
  <c r="Q9" i="9"/>
  <c r="C6" i="9"/>
  <c r="P12" i="4"/>
  <c r="C21" i="9"/>
  <c r="O16" i="9"/>
  <c r="M6" i="9"/>
  <c r="Z12" i="4"/>
  <c r="J8" i="9"/>
  <c r="J11" i="9" s="1"/>
  <c r="V11" i="6"/>
  <c r="S16" i="9"/>
  <c r="B21" i="9"/>
  <c r="F8" i="9"/>
  <c r="R11" i="6"/>
  <c r="O9" i="9"/>
  <c r="O18" i="9"/>
  <c r="O7" i="9"/>
  <c r="S10" i="9"/>
  <c r="G6" i="9"/>
  <c r="T12" i="4"/>
  <c r="L8" i="9"/>
  <c r="X11" i="6"/>
  <c r="K8" i="9"/>
  <c r="W11" i="6"/>
  <c r="S9" i="9"/>
  <c r="I8" i="9"/>
  <c r="U11" i="6"/>
  <c r="O10" i="9"/>
  <c r="P7" i="9"/>
  <c r="P9" i="9"/>
  <c r="B30" i="2" l="1"/>
  <c r="H11" i="9"/>
  <c r="K11" i="9"/>
  <c r="G11" i="9"/>
  <c r="Q8" i="9"/>
  <c r="I22" i="9"/>
  <c r="Q21" i="9"/>
  <c r="L22" i="9"/>
  <c r="R21" i="9"/>
  <c r="C11" i="9"/>
  <c r="O6" i="9"/>
  <c r="I11" i="9"/>
  <c r="Q11" i="9" s="1"/>
  <c r="Q6" i="9"/>
  <c r="S6" i="9"/>
  <c r="S8" i="9"/>
  <c r="D11" i="9"/>
  <c r="E11" i="9"/>
  <c r="F11" i="9"/>
  <c r="P6" i="9"/>
  <c r="M11" i="9"/>
  <c r="R8" i="9"/>
  <c r="C22" i="9"/>
  <c r="O21" i="9"/>
  <c r="P21" i="9"/>
  <c r="F22" i="9"/>
  <c r="P8" i="9"/>
  <c r="S21" i="9"/>
  <c r="L11" i="9"/>
  <c r="R6" i="9"/>
  <c r="N11" i="9"/>
  <c r="O8" i="9"/>
  <c r="R11" i="9" l="1"/>
  <c r="P11" i="9"/>
  <c r="J12" i="9"/>
  <c r="H12" i="9"/>
  <c r="N12" i="9"/>
  <c r="F12" i="9"/>
  <c r="O11" i="9"/>
  <c r="M12" i="9"/>
  <c r="E12" i="9"/>
  <c r="D12" i="9"/>
  <c r="C12" i="9"/>
  <c r="L12" i="9"/>
  <c r="K12" i="9"/>
  <c r="I12" i="9"/>
  <c r="G12" i="9"/>
  <c r="S1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17" authorId="0" shapeId="0" xr:uid="{00000000-0006-0000-0300-000001000000}">
      <text>
        <r>
          <rPr>
            <sz val="10"/>
            <rFont val="Arial"/>
            <family val="2"/>
          </rPr>
          <t>Benchmark rows: industry average from the Benchmark tab (same on +25% and +50%). Expert input row: agronomist may overwrite.</t>
        </r>
      </text>
    </comment>
    <comment ref="I17" authorId="0" shapeId="0" xr:uid="{00000000-0006-0000-0300-000002000000}">
      <text>
        <r>
          <rPr>
            <sz val="10"/>
            <rFont val="Arial"/>
            <family val="2"/>
          </rPr>
          <t>Industry average = average cost ÷ average man-days (Benchmark tab). Raised 25% / 50% on the band rows. Expert input row: agronomist may overwrite.</t>
        </r>
      </text>
    </comment>
    <comment ref="K17" authorId="0" shapeId="0" xr:uid="{00000000-0006-0000-0300-000003000000}">
      <text>
        <r>
          <rPr>
            <sz val="10"/>
            <rFont val="Arial"/>
            <family val="2"/>
          </rPr>
          <t>Entered once on the Industry average row. Green = linked to the General information block; yellow blank = type it. Other rows follow.</t>
        </r>
      </text>
    </comment>
    <comment ref="L17" authorId="0" shapeId="0" xr:uid="{00000000-0006-0000-0300-000004000000}">
      <text>
        <r>
          <rPr>
            <sz val="10"/>
            <rFont val="Arial"/>
            <family val="2"/>
          </rPr>
          <t>Benchmark rows: B-Agro average. Expert input row: agronomist may overwrite.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6" authorId="0" shapeId="0" xr:uid="{00000000-0006-0000-0400-000001000000}">
      <text>
        <r>
          <rPr>
            <sz val="10"/>
            <rFont val="Arial"/>
            <family val="2"/>
          </rPr>
          <t>Benchmark rows: industry average from the Benchmark tab (same on +25% and +50%). Expert input row: agronomist may overwrite.</t>
        </r>
      </text>
    </comment>
    <comment ref="H16" authorId="0" shapeId="0" xr:uid="{00000000-0006-0000-0400-000002000000}">
      <text>
        <r>
          <rPr>
            <sz val="10"/>
            <rFont val="Arial"/>
            <family val="2"/>
          </rPr>
          <t>Industry average = average cost ÷ average man-days (Benchmark tab). Raised 25% / 50% on the band rows. Expert input row: agronomist may overwrite.</t>
        </r>
      </text>
    </comment>
    <comment ref="J16" authorId="0" shapeId="0" xr:uid="{00000000-0006-0000-0400-000003000000}">
      <text>
        <r>
          <rPr>
            <sz val="10"/>
            <rFont val="Arial"/>
            <family val="2"/>
          </rPr>
          <t>Entered once on the Industry average row. Green = linked to the General information block; yellow blank = type it. Other rows follow.</t>
        </r>
      </text>
    </comment>
    <comment ref="K16" authorId="0" shapeId="0" xr:uid="{00000000-0006-0000-0400-000004000000}">
      <text>
        <r>
          <rPr>
            <sz val="10"/>
            <rFont val="Arial"/>
            <family val="2"/>
          </rPr>
          <t>Benchmark rows: B-Agro average. Expert input row: agronomist may overwrite.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6" authorId="0" shapeId="0" xr:uid="{00000000-0006-0000-0500-000001000000}">
      <text>
        <r>
          <rPr>
            <sz val="10"/>
            <rFont val="Arial"/>
            <family val="2"/>
          </rPr>
          <t>Benchmark rows: industry average from the Benchmark tab (same on +25% and +50%). Expert input row: agronomist may overwrite.</t>
        </r>
      </text>
    </comment>
    <comment ref="H16" authorId="0" shapeId="0" xr:uid="{00000000-0006-0000-0500-000002000000}">
      <text>
        <r>
          <rPr>
            <sz val="10"/>
            <rFont val="Arial"/>
            <family val="2"/>
          </rPr>
          <t>Industry average = average cost ÷ average man-days (Benchmark tab). Raised 25% / 50% on the band rows. Expert input row: agronomist may overwrite.</t>
        </r>
      </text>
    </comment>
    <comment ref="J16" authorId="0" shapeId="0" xr:uid="{00000000-0006-0000-0500-000003000000}">
      <text>
        <r>
          <rPr>
            <sz val="10"/>
            <rFont val="Arial"/>
            <family val="2"/>
          </rPr>
          <t>Entered once on the Industry average row. Green = linked to the General information block; yellow blank = type it. Other rows follow.</t>
        </r>
      </text>
    </comment>
    <comment ref="K16" authorId="0" shapeId="0" xr:uid="{00000000-0006-0000-0500-000004000000}">
      <text>
        <r>
          <rPr>
            <sz val="10"/>
            <rFont val="Arial"/>
            <family val="2"/>
          </rPr>
          <t>Benchmark rows: B-Agro average. Expert input row: agronomist may overwrite.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6" authorId="0" shapeId="0" xr:uid="{00000000-0006-0000-0600-000001000000}">
      <text>
        <r>
          <rPr>
            <sz val="10"/>
            <rFont val="Arial"/>
            <family val="2"/>
          </rPr>
          <t>Benchmark rows: industry average from the Benchmark tab (same on +25% and +50%). Expert input row: agronomist may overwrite.</t>
        </r>
      </text>
    </comment>
    <comment ref="H16" authorId="0" shapeId="0" xr:uid="{00000000-0006-0000-0600-000002000000}">
      <text>
        <r>
          <rPr>
            <sz val="10"/>
            <rFont val="Arial"/>
            <family val="2"/>
          </rPr>
          <t>Industry average = average cost ÷ average man-days (Benchmark tab). Raised 25% / 50% on the band rows. Expert input row: agronomist may overwrite.</t>
        </r>
      </text>
    </comment>
    <comment ref="J16" authorId="0" shapeId="0" xr:uid="{00000000-0006-0000-0600-000003000000}">
      <text>
        <r>
          <rPr>
            <sz val="10"/>
            <rFont val="Arial"/>
            <family val="2"/>
          </rPr>
          <t>Entered once on the Industry average row. Green = linked to the General information block; yellow blank = type it. Other rows follow.</t>
        </r>
      </text>
    </comment>
    <comment ref="K16" authorId="0" shapeId="0" xr:uid="{00000000-0006-0000-0600-000004000000}">
      <text>
        <r>
          <rPr>
            <sz val="10"/>
            <rFont val="Arial"/>
            <family val="2"/>
          </rPr>
          <t>Benchmark rows: B-Agro average. Expert input row: agronomist may overwrite.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16" authorId="0" shapeId="0" xr:uid="{00000000-0006-0000-0700-000001000000}">
      <text>
        <r>
          <rPr>
            <sz val="10"/>
            <rFont val="Arial"/>
            <family val="2"/>
          </rPr>
          <t>Benchmark rows: industry average from the Benchmark tab (same on +25% and +50%). Expert input row: agronomist may overwrite.</t>
        </r>
      </text>
    </comment>
    <comment ref="H16" authorId="0" shapeId="0" xr:uid="{00000000-0006-0000-0700-000002000000}">
      <text>
        <r>
          <rPr>
            <sz val="10"/>
            <rFont val="Arial"/>
            <family val="2"/>
          </rPr>
          <t>Industry average = average cost ÷ average man-days (Benchmark tab). Raised 25% / 50% on the band rows. Expert input row: agronomist may overwrite.</t>
        </r>
      </text>
    </comment>
    <comment ref="J16" authorId="0" shapeId="0" xr:uid="{00000000-0006-0000-0700-000003000000}">
      <text>
        <r>
          <rPr>
            <sz val="10"/>
            <rFont val="Arial"/>
            <family val="2"/>
          </rPr>
          <t>Entered once on the Industry average row. Green = linked to the General information block; yellow blank = type it. Other rows follow.</t>
        </r>
      </text>
    </comment>
    <comment ref="K16" authorId="0" shapeId="0" xr:uid="{00000000-0006-0000-0700-000004000000}">
      <text>
        <r>
          <rPr>
            <sz val="10"/>
            <rFont val="Arial"/>
            <family val="2"/>
          </rPr>
          <t>Benchmark rows: B-Agro average. Expert input row: agronomist may overwrite.</t>
        </r>
      </text>
    </comment>
  </commentList>
</comments>
</file>

<file path=xl/sharedStrings.xml><?xml version="1.0" encoding="utf-8"?>
<sst xmlns="http://schemas.openxmlformats.org/spreadsheetml/2006/main" count="5011" uniqueCount="694">
  <si>
    <t>Silva Annual Plan – Template Guide (v2)</t>
  </si>
  <si>
    <t>Built to the structure agreed in "Silva Plan – Revised Template Structure (v2)". Prepared by SPX for review.</t>
  </si>
  <si>
    <t>TABS</t>
  </si>
  <si>
    <t>Summary</t>
  </si>
  <si>
    <t>Category metrics, man-days and budget for the five categories, plus scenario budgets for comparison. Nothing is typed here.</t>
  </si>
  <si>
    <t>Settings</t>
  </si>
  <si>
    <t>Farm name, plan year, the +25% / +50% bands, working days, and staff settings.</t>
  </si>
  <si>
    <t>Nursery</t>
  </si>
  <si>
    <t>One tab per category (Nursery, Young Coffee, Matured Coffee, Infilling, Harvesting). See "How a category tab works" below.</t>
  </si>
  <si>
    <t>Monthly</t>
  </si>
  <si>
    <t>Monthly cost and man-days from the Chaka Buna plan rows of all five category tabs.</t>
  </si>
  <si>
    <t>Staff &amp; Overheads</t>
  </si>
  <si>
    <t>Parked – not yet in the Summary or Monthly tabs.</t>
  </si>
  <si>
    <t>Benchmark Data</t>
  </si>
  <si>
    <t>Rates from all six B-Agro farm plans (2019 EFY). Source of every industry-average value.</t>
  </si>
  <si>
    <t>HOW A CATEGORY TAB WORKS</t>
  </si>
  <si>
    <t>1. Plan basis (top of the tab): choose Industry average, +25%, +50% or Expert input. It sets the Chaka Buna plan row of every activity on the tab.</t>
  </si>
  <si>
    <t>2. General information: enter the category metrics (areas, tree counts, beds…). Activity quantities link to these, and the Summary shows them.</t>
  </si>
  <si>
    <t>3. Each activity has five rows: Industry average · +25% · +50% · Expert input · Chaka Buna plan. Only the Chaka Buna plan row counts in totals.</t>
  </si>
  <si>
    <t>4. Cost per unit = man-days per unit × wage per man-day on every row. The bands raise the wage by 25% / 50%; man-days stay the same.</t>
  </si>
  <si>
    <t>5. Enter the activity quantity per round once, on the Industry average row (green = already linked to a metric; yellow blank = type it).</t>
  </si>
  <si>
    <t>6. The agronomist overwrites man-days, wage or frequency on the Expert input row (pre-filled with the industry average).</t>
  </si>
  <si>
    <t>7. Activities with no industry-average rate always use the Expert input row, whatever the plan basis says.</t>
  </si>
  <si>
    <t>8. Phasing % is entered on the Chaka Buna plan row (pre-filled from B-Agro's seasonal timing). It turns red if it does not add up to 100%.</t>
  </si>
  <si>
    <t>9. Use the outline buttons (1 / 2) at the top-left of the sheet to collapse each activity to its Chaka Buna plan row.</t>
  </si>
  <si>
    <t>COLOUR CODE</t>
  </si>
  <si>
    <t>Blue text, yellow cell</t>
  </si>
  <si>
    <t>Input – type here.</t>
  </si>
  <si>
    <t>Green text, yellow cell</t>
  </si>
  <si>
    <t>Pre-filled suggestion (link to a benchmark or metric) – overwrite if needed.</t>
  </si>
  <si>
    <t>Green text</t>
  </si>
  <si>
    <t>Link from another tab – do not edit.</t>
  </si>
  <si>
    <t>Green row</t>
  </si>
  <si>
    <t>Chaka Buna plan row – the one that counts.</t>
  </si>
  <si>
    <t>Black text</t>
  </si>
  <si>
    <t>Calculation – do not edit.</t>
  </si>
  <si>
    <t>ABOUT THE BENCHMARKS</t>
  </si>
  <si>
    <t>• Industry average = Telli, Gawi and Chetu, the three B-Agro farms closest to Silva, counting only the farms that plan the activity.</t>
  </si>
  <si>
    <t>• Industry wage per man-day = average cost ÷ average man-days, so the Industry average row reproduces the three farms' average cost.</t>
  </si>
  <si>
    <t>• 124 activities: 102 have a rate at one or more of the three farms; 9 only at the other B-Agro farms (six-farm average pre-fills the Expert input row); 13 have no B-Agro rate (10 SPX additions and 3 B-Agro lines with no rate) – enter them on the Expert input row.</t>
  </si>
  <si>
    <t>• Benchmarks are B-Agro budgets, not actual costs.</t>
  </si>
  <si>
    <t>REVIEW LOG</t>
  </si>
  <si>
    <t>#</t>
  </si>
  <si>
    <t>Tab / code / cell</t>
  </si>
  <si>
    <t>Comment</t>
  </si>
  <si>
    <t>Raised by</t>
  </si>
  <si>
    <t>Date</t>
  </si>
  <si>
    <t>SPX response</t>
  </si>
  <si>
    <t>Status</t>
  </si>
  <si>
    <t>Silva Annual Plan – Summary</t>
  </si>
  <si>
    <t>Everything on this tab comes from the category tabs: metrics from each "General information" block, man-days and budget from the Chaka Buna plan rows.</t>
  </si>
  <si>
    <t>CATEGORY METRICS</t>
  </si>
  <si>
    <t>CHAKA BUNA PLAN</t>
  </si>
  <si>
    <t>BUDGET BY SCENARIO (for comparison)</t>
  </si>
  <si>
    <t>Category</t>
  </si>
  <si>
    <t>Metric (Amharic)</t>
  </si>
  <si>
    <t>Metric (English)</t>
  </si>
  <si>
    <t>Unit</t>
  </si>
  <si>
    <t>Quantity</t>
  </si>
  <si>
    <t>Plan basis</t>
  </si>
  <si>
    <t>Total man-days</t>
  </si>
  <si>
    <t>Budget (birr)</t>
  </si>
  <si>
    <t>Industry average</t>
  </si>
  <si>
    <t>+25%</t>
  </si>
  <si>
    <t>+50%</t>
  </si>
  <si>
    <t>Expert input</t>
  </si>
  <si>
    <t>Young Coffee</t>
  </si>
  <si>
    <t>Matured Coffee</t>
  </si>
  <si>
    <t>Infilling</t>
  </si>
  <si>
    <t>Harvesting &amp; Related</t>
  </si>
  <si>
    <t>TOTAL – ALL FIELD WORK</t>
  </si>
  <si>
    <t>Values used across the workbook. Quantities now sit in each category tab ("General information" block).</t>
  </si>
  <si>
    <t>Setting</t>
  </si>
  <si>
    <t>Value</t>
  </si>
  <si>
    <t>Source / note</t>
  </si>
  <si>
    <t>Farm</t>
  </si>
  <si>
    <t>Chaka Buna Estate (Silva Forest Coffee)</t>
  </si>
  <si>
    <t>text</t>
  </si>
  <si>
    <t>Appears in the tab headers.</t>
  </si>
  <si>
    <t>Plan year</t>
  </si>
  <si>
    <t>2019 EFY (2026/27) – confirm</t>
  </si>
  <si>
    <t>Months run Tikimt–Meskerem (Oct–Sep), as in the B-Agro plans. Confirm against Chaka Buna's financial year.</t>
  </si>
  <si>
    <t>Band 1 above industry average</t>
  </si>
  <si>
    <t>%</t>
  </si>
  <si>
    <t>Applied to wage per man-day on the "+25%" rows. The row labels stay "+25%" if you change this value.</t>
  </si>
  <si>
    <t>Band 2 above industry average</t>
  </si>
  <si>
    <t>Applied to wage per man-day on the "+50%" rows. The row labels stay "+50%" if you change this value.</t>
  </si>
  <si>
    <t>Working days per month</t>
  </si>
  <si>
    <t>days</t>
  </si>
  <si>
    <t>Converts monthly man-days into workers needed (Monthly tab).</t>
  </si>
  <si>
    <t>Employer pension contribution</t>
  </si>
  <si>
    <t>% of salary</t>
  </si>
  <si>
    <t>Staff &amp; Overheads tab only. Rate used in all B-Agro salary sheets.</t>
  </si>
  <si>
    <t>Salary increment for plan year</t>
  </si>
  <si>
    <t>Staff &amp; Overheads tab only. B-Agro applied 10% in its 2018 EFY Chetu plan. Assumption – confirm.</t>
  </si>
  <si>
    <t>Bonus</t>
  </si>
  <si>
    <t>months of salary</t>
  </si>
  <si>
    <t>Staff &amp; Overheads tab only. B-Agro plans budget one month. Assumption – confirm.</t>
  </si>
  <si>
    <t>Nursery – activity plan and budget</t>
  </si>
  <si>
    <t>Plan basis (drop-down) ►</t>
  </si>
  <si>
    <t>Sets the Chaka Buna plan row of every activity on this tab. Activities with no industry-average rate always use the Expert input row.</t>
  </si>
  <si>
    <t>GENERAL INFORMATION</t>
  </si>
  <si>
    <t>CATEGORY TOTALS</t>
  </si>
  <si>
    <t>Rate scenario</t>
  </si>
  <si>
    <t>Total cost (birr)</t>
  </si>
  <si>
    <t>Plan phasing (% of cost)</t>
  </si>
  <si>
    <t>Plan monthly totals</t>
  </si>
  <si>
    <t>Plantation area</t>
  </si>
  <si>
    <r>
      <rPr>
        <sz val="11"/>
        <rFont val="FreeSans"/>
        <family val="2"/>
      </rPr>
      <t xml:space="preserve">የሚተከል የቦታ ስፋት </t>
    </r>
    <r>
      <rPr>
        <sz val="11"/>
        <rFont val="Nyala"/>
        <charset val="1"/>
      </rPr>
      <t>(</t>
    </r>
    <r>
      <rPr>
        <sz val="11"/>
        <rFont val="FreeSans"/>
        <family val="2"/>
      </rPr>
      <t>ሄ</t>
    </r>
    <r>
      <rPr>
        <sz val="11"/>
        <rFont val="Nyala"/>
        <charset val="1"/>
      </rPr>
      <t>/</t>
    </r>
    <r>
      <rPr>
        <sz val="11"/>
        <rFont val="FreeSans"/>
        <family val="2"/>
      </rPr>
      <t>ር</t>
    </r>
    <r>
      <rPr>
        <sz val="11"/>
        <rFont val="Nyala"/>
        <charset val="1"/>
      </rPr>
      <t>)</t>
    </r>
  </si>
  <si>
    <t>ha</t>
  </si>
  <si>
    <t>Total seedlings</t>
  </si>
  <si>
    <r>
      <rPr>
        <sz val="11"/>
        <rFont val="FreeSans"/>
        <family val="2"/>
      </rPr>
      <t xml:space="preserve">የሚዘጋጅ ችግኝ ብዛት </t>
    </r>
    <r>
      <rPr>
        <sz val="11"/>
        <rFont val="Nyala"/>
        <charset val="1"/>
      </rPr>
      <t>(</t>
    </r>
    <r>
      <rPr>
        <sz val="11"/>
        <rFont val="FreeSans"/>
        <family val="2"/>
      </rPr>
      <t>ቁጥር</t>
    </r>
    <r>
      <rPr>
        <sz val="11"/>
        <rFont val="Nyala"/>
        <charset val="1"/>
      </rPr>
      <t>)</t>
    </r>
  </si>
  <si>
    <t>no.</t>
  </si>
  <si>
    <t>Nursery site area</t>
  </si>
  <si>
    <t>የችግኝ ጣቢያ ስፋት</t>
  </si>
  <si>
    <t>Germination seedbeds</t>
  </si>
  <si>
    <t>የዘር መደብ</t>
  </si>
  <si>
    <t>bed</t>
  </si>
  <si>
    <t>Polytube beds</t>
  </si>
  <si>
    <t>የፖሊቲዩብ መደብ</t>
  </si>
  <si>
    <t>Chaka Buna plan – counts in Summary</t>
  </si>
  <si>
    <t>ACTIVITY</t>
  </si>
  <si>
    <t>RATE  (cost per unit = man-days × wage)</t>
  </si>
  <si>
    <t>QUANTITY</t>
  </si>
  <si>
    <t>TOTALS (calculated)</t>
  </si>
  <si>
    <t>PHASING – % of annual (input on the Chaka Buna plan row)</t>
  </si>
  <si>
    <t>MONTHLY MAN-DAYS AND COST (Chaka Buna plan row)</t>
  </si>
  <si>
    <t>Code</t>
  </si>
  <si>
    <t>Activity</t>
  </si>
  <si>
    <t>Activity (Amharic)</t>
  </si>
  <si>
    <t>Sub-group</t>
  </si>
  <si>
    <t>Man-days per unit</t>
  </si>
  <si>
    <t>Wage per man-day (birr)</t>
  </si>
  <si>
    <t>Cost per unit (birr)</t>
  </si>
  <si>
    <t>Activity quantity per round</t>
  </si>
  <si>
    <t>Frequency (times / year)</t>
  </si>
  <si>
    <t>Total activity quantity</t>
  </si>
  <si>
    <t>Total man-days per activity</t>
  </si>
  <si>
    <t>Total cost per activity (birr)</t>
  </si>
  <si>
    <t>Tikimt (Oct)</t>
  </si>
  <si>
    <t>Hidar (Nov)</t>
  </si>
  <si>
    <t>Tahsas (Dec)</t>
  </si>
  <si>
    <t>Tir (Jan)</t>
  </si>
  <si>
    <t>Yekatit (Feb)</t>
  </si>
  <si>
    <t>Megabit (Mar)</t>
  </si>
  <si>
    <t>Miyazya (Apr)</t>
  </si>
  <si>
    <t>Ginbot (May)</t>
  </si>
  <si>
    <t>Sene (Jun)</t>
  </si>
  <si>
    <t>Hamle (Jul)</t>
  </si>
  <si>
    <t>Nehase (Aug)</t>
  </si>
  <si>
    <t>Meskerem (Sep)</t>
  </si>
  <si>
    <t>Tikimt (Oct) – man-days</t>
  </si>
  <si>
    <t>Tikimt (Oct) – cost</t>
  </si>
  <si>
    <t>Hidar (Nov) – man-days</t>
  </si>
  <si>
    <t>Hidar (Nov) – cost</t>
  </si>
  <si>
    <t>Tahsas (Dec) – man-days</t>
  </si>
  <si>
    <t>Tahsas (Dec) – cost</t>
  </si>
  <si>
    <t>Tir (Jan) – man-days</t>
  </si>
  <si>
    <t>Tir (Jan) – cost</t>
  </si>
  <si>
    <t>Yekatit (Feb) – man-days</t>
  </si>
  <si>
    <t>Yekatit (Feb) – cost</t>
  </si>
  <si>
    <t>Megabit (Mar) – man-days</t>
  </si>
  <si>
    <t>Megabit (Mar) – cost</t>
  </si>
  <si>
    <t>Miyazya (Apr) – man-days</t>
  </si>
  <si>
    <t>Miyazya (Apr) – cost</t>
  </si>
  <si>
    <t>Ginbot (May) – man-days</t>
  </si>
  <si>
    <t>Ginbot (May) – cost</t>
  </si>
  <si>
    <t>Sene (Jun) – man-days</t>
  </si>
  <si>
    <t>Sene (Jun) – cost</t>
  </si>
  <si>
    <t>Hamle (Jul) – man-days</t>
  </si>
  <si>
    <t>Hamle (Jul) – cost</t>
  </si>
  <si>
    <t>Nehase (Aug) – man-days</t>
  </si>
  <si>
    <t>Nehase (Aug) – cost</t>
  </si>
  <si>
    <t>Meskerem (Sep) – man-days</t>
  </si>
  <si>
    <t>Meskerem (Sep) – cost</t>
  </si>
  <si>
    <t>NU-01</t>
  </si>
  <si>
    <t>Land clearing</t>
  </si>
  <si>
    <t>ምንጣሮ</t>
  </si>
  <si>
    <t>Site preparation</t>
  </si>
  <si>
    <t>Chaka Buna plan</t>
  </si>
  <si>
    <t>NU-02</t>
  </si>
  <si>
    <t>Tree felling / stump removal</t>
  </si>
  <si>
    <r>
      <rPr>
        <sz val="11"/>
        <color rgb="FF000000"/>
        <rFont val="FreeSans"/>
        <family val="2"/>
      </rPr>
      <t xml:space="preserve">ዛፍ መጣል </t>
    </r>
    <r>
      <rPr>
        <sz val="11"/>
        <color rgb="FF000000"/>
        <rFont val="Nyala"/>
        <charset val="1"/>
      </rPr>
      <t xml:space="preserve">/ </t>
    </r>
    <r>
      <rPr>
        <sz val="11"/>
        <color rgb="FF000000"/>
        <rFont val="FreeSans"/>
        <family val="2"/>
      </rPr>
      <t>ጉቶ መንቀል</t>
    </r>
  </si>
  <si>
    <r>
      <rPr>
        <sz val="9"/>
        <color rgb="FFA6A6A6"/>
        <rFont val="FreeSans"/>
        <family val="2"/>
      </rPr>
      <t xml:space="preserve">ዛፍ መጣል </t>
    </r>
    <r>
      <rPr>
        <sz val="9"/>
        <color rgb="FFA6A6A6"/>
        <rFont val="Nyala"/>
        <charset val="1"/>
      </rPr>
      <t xml:space="preserve">/ </t>
    </r>
    <r>
      <rPr>
        <sz val="9"/>
        <color rgb="FFA6A6A6"/>
        <rFont val="FreeSans"/>
        <family val="2"/>
      </rPr>
      <t>ጉቶ መንቀል</t>
    </r>
  </si>
  <si>
    <r>
      <rPr>
        <b/>
        <sz val="11"/>
        <color rgb="FF000000"/>
        <rFont val="FreeSans"/>
        <family val="2"/>
      </rPr>
      <t xml:space="preserve">ዛፍ መጣል </t>
    </r>
    <r>
      <rPr>
        <b/>
        <sz val="11"/>
        <color rgb="FF000000"/>
        <rFont val="Nyala"/>
        <charset val="1"/>
      </rPr>
      <t xml:space="preserve">/ </t>
    </r>
    <r>
      <rPr>
        <b/>
        <sz val="11"/>
        <color rgb="FF000000"/>
        <rFont val="FreeSans"/>
        <family val="2"/>
      </rPr>
      <t>ጉቶ መንቀል</t>
    </r>
  </si>
  <si>
    <t>NU-03</t>
  </si>
  <si>
    <t>Digging</t>
  </si>
  <si>
    <t>መቆፈር</t>
  </si>
  <si>
    <t>NU-04</t>
  </si>
  <si>
    <t>Trash removal</t>
  </si>
  <si>
    <t>ጥራጎ ማስወገድ</t>
  </si>
  <si>
    <t>NU-05</t>
  </si>
  <si>
    <t>Topsoil heaping</t>
  </si>
  <si>
    <t>ለም አፈር መቆለል</t>
  </si>
  <si>
    <t>Soil &amp; polytube</t>
  </si>
  <si>
    <t>m³</t>
  </si>
  <si>
    <t>NU-06</t>
  </si>
  <si>
    <t>Topsoil sieving</t>
  </si>
  <si>
    <t>ለም አፈር ማበጠር</t>
  </si>
  <si>
    <t>NU-07</t>
  </si>
  <si>
    <t>Polytube cutting</t>
  </si>
  <si>
    <t>ፖሊ ቲዩብ ቆረጣ</t>
  </si>
  <si>
    <t>kg</t>
  </si>
  <si>
    <t>NU-08</t>
  </si>
  <si>
    <t>Polytube filling</t>
  </si>
  <si>
    <t>ፖሊቲዩብ ጥቅጣቆ</t>
  </si>
  <si>
    <t>polytube</t>
  </si>
  <si>
    <t>NU-09</t>
  </si>
  <si>
    <t>Polytube transport</t>
  </si>
  <si>
    <t>ፖሊ ማጓጓዝ</t>
  </si>
  <si>
    <t>NU-10</t>
  </si>
  <si>
    <t>Polytube arranging</t>
  </si>
  <si>
    <t>ፖሊ ድርዳሮ</t>
  </si>
  <si>
    <t>NU-11</t>
  </si>
  <si>
    <t>Seedbed preparation</t>
  </si>
  <si>
    <t>መደብ ዝግጅት</t>
  </si>
  <si>
    <t>Seedbed &amp; sowing</t>
  </si>
  <si>
    <t>NU-12</t>
  </si>
  <si>
    <t>Pre-watering seedbed</t>
  </si>
  <si>
    <t>ቅድመ ዘር ዉኃ ማጠጣት</t>
  </si>
  <si>
    <t>NU-13</t>
  </si>
  <si>
    <t>Sowing seed</t>
  </si>
  <si>
    <t>ዘር ማፍሰስ</t>
  </si>
  <si>
    <t>NU-14</t>
  </si>
  <si>
    <t>Mulch material preparation &amp; transport</t>
  </si>
  <si>
    <t>ጉዝጓዝ ዝግጅት እና ማጓጓዝ</t>
  </si>
  <si>
    <t>load</t>
  </si>
  <si>
    <t>NU-15</t>
  </si>
  <si>
    <t>Mulch application</t>
  </si>
  <si>
    <t>ጉዝጓዝ ማድረግ</t>
  </si>
  <si>
    <t>NU-16</t>
  </si>
  <si>
    <t>Mulch removal</t>
  </si>
  <si>
    <t>ጉዝጓዝ ማንሳት</t>
  </si>
  <si>
    <t>NU-17</t>
  </si>
  <si>
    <t>Transplanting seedlings to polytube</t>
  </si>
  <si>
    <t>ችግኝ ማዘዋወር</t>
  </si>
  <si>
    <t>seedling</t>
  </si>
  <si>
    <t>NU-18</t>
  </si>
  <si>
    <t>Shade poles preparation &amp; transport</t>
  </si>
  <si>
    <r>
      <rPr>
        <sz val="11"/>
        <color rgb="FF000000"/>
        <rFont val="FreeSans"/>
        <family val="2"/>
      </rPr>
      <t>ለዳስ ፍልጥ</t>
    </r>
    <r>
      <rPr>
        <sz val="11"/>
        <color rgb="FF000000"/>
        <rFont val="Nyala"/>
        <charset val="1"/>
      </rPr>
      <t>/</t>
    </r>
    <r>
      <rPr>
        <sz val="11"/>
        <color rgb="FF000000"/>
        <rFont val="FreeSans"/>
        <family val="2"/>
      </rPr>
      <t>ባላ ዝግጅት እና ማጓጓዝ</t>
    </r>
  </si>
  <si>
    <t>Nursery shade</t>
  </si>
  <si>
    <r>
      <rPr>
        <sz val="9"/>
        <color rgb="FFA6A6A6"/>
        <rFont val="FreeSans"/>
        <family val="2"/>
      </rPr>
      <t>ለዳስ ፍልጥ</t>
    </r>
    <r>
      <rPr>
        <sz val="9"/>
        <color rgb="FFA6A6A6"/>
        <rFont val="Nyala"/>
        <charset val="1"/>
      </rPr>
      <t>/</t>
    </r>
    <r>
      <rPr>
        <sz val="9"/>
        <color rgb="FFA6A6A6"/>
        <rFont val="FreeSans"/>
        <family val="2"/>
      </rPr>
      <t>ባላ ዝግጅት እና ማጓጓዝ</t>
    </r>
  </si>
  <si>
    <r>
      <rPr>
        <b/>
        <sz val="11"/>
        <color rgb="FF000000"/>
        <rFont val="FreeSans"/>
        <family val="2"/>
      </rPr>
      <t>ለዳስ ፍልጥ</t>
    </r>
    <r>
      <rPr>
        <b/>
        <sz val="11"/>
        <color rgb="FF000000"/>
        <rFont val="Nyala"/>
        <charset val="1"/>
      </rPr>
      <t>/</t>
    </r>
    <r>
      <rPr>
        <b/>
        <sz val="11"/>
        <color rgb="FF000000"/>
        <rFont val="FreeSans"/>
        <family val="2"/>
      </rPr>
      <t>ባላ ዝግጅት እና ማጓጓዝ</t>
    </r>
  </si>
  <si>
    <t>NU-19</t>
  </si>
  <si>
    <t>Shade cover material preparation</t>
  </si>
  <si>
    <t>ለዳስ ክዳን ቁሳቁስ ዝግጅት</t>
  </si>
  <si>
    <t>NU-20</t>
  </si>
  <si>
    <t>Shade construction</t>
  </si>
  <si>
    <t>ዳስ መሰራት</t>
  </si>
  <si>
    <t>NU-21</t>
  </si>
  <si>
    <t>Shade thinning</t>
  </si>
  <si>
    <t>ዳስ ማሳሳት</t>
  </si>
  <si>
    <t>NU-22</t>
  </si>
  <si>
    <t>Shade maintenance</t>
  </si>
  <si>
    <t>ዳስ መጠገን</t>
  </si>
  <si>
    <t>NU-23</t>
  </si>
  <si>
    <t>Shade removal</t>
  </si>
  <si>
    <t>ዳስ ማንሳት</t>
  </si>
  <si>
    <t>NU-24</t>
  </si>
  <si>
    <t>Watering seedlings</t>
  </si>
  <si>
    <t>ዉኃ ማጠጣት</t>
  </si>
  <si>
    <t>Seedling care</t>
  </si>
  <si>
    <t>NU-25</t>
  </si>
  <si>
    <t>Weeding of seedlings</t>
  </si>
  <si>
    <t>ችግኝ ማረም</t>
  </si>
  <si>
    <t>NU-26</t>
  </si>
  <si>
    <t>Hoeing &amp; fertiliser application</t>
  </si>
  <si>
    <t>ኩትኳቶና ማዳበሪያ ማድረግ</t>
  </si>
  <si>
    <t>NU-27</t>
  </si>
  <si>
    <t>Sorting of seedlings</t>
  </si>
  <si>
    <t>ችግኝ መረጣ</t>
  </si>
  <si>
    <t>NU-28</t>
  </si>
  <si>
    <t>Counting of seedlings</t>
  </si>
  <si>
    <t>ችግኝ ቆጠራ</t>
  </si>
  <si>
    <t>NU-29</t>
  </si>
  <si>
    <t>Loading seedlings for dispatch</t>
  </si>
  <si>
    <t>ችግኝ ማስሸከም</t>
  </si>
  <si>
    <t>day</t>
  </si>
  <si>
    <t>NU-30</t>
  </si>
  <si>
    <t>Permanent shade tree seedling preparation</t>
  </si>
  <si>
    <t>ቋሚ ጥላ ዛፍ ችግኝ ማዘጋጀት</t>
  </si>
  <si>
    <t>NU-31</t>
  </si>
  <si>
    <t>Guard tower / hut construction</t>
  </si>
  <si>
    <r>
      <rPr>
        <sz val="11"/>
        <color rgb="FF000000"/>
        <rFont val="FreeSans"/>
        <family val="2"/>
      </rPr>
      <t>የጥበቃ ማማ</t>
    </r>
    <r>
      <rPr>
        <sz val="11"/>
        <color rgb="FF000000"/>
        <rFont val="Nyala"/>
        <charset val="1"/>
      </rPr>
      <t>/</t>
    </r>
    <r>
      <rPr>
        <sz val="11"/>
        <color rgb="FF000000"/>
        <rFont val="FreeSans"/>
        <family val="2"/>
      </rPr>
      <t>ጎጆ መስራት</t>
    </r>
  </si>
  <si>
    <t>Protection</t>
  </si>
  <si>
    <r>
      <rPr>
        <sz val="9"/>
        <color rgb="FFA6A6A6"/>
        <rFont val="FreeSans"/>
        <family val="2"/>
      </rPr>
      <t>የጥበቃ ማማ</t>
    </r>
    <r>
      <rPr>
        <sz val="9"/>
        <color rgb="FFA6A6A6"/>
        <rFont val="Nyala"/>
        <charset val="1"/>
      </rPr>
      <t>/</t>
    </r>
    <r>
      <rPr>
        <sz val="9"/>
        <color rgb="FFA6A6A6"/>
        <rFont val="FreeSans"/>
        <family val="2"/>
      </rPr>
      <t>ጎጆ መስራት</t>
    </r>
  </si>
  <si>
    <r>
      <rPr>
        <b/>
        <sz val="11"/>
        <color rgb="FF000000"/>
        <rFont val="FreeSans"/>
        <family val="2"/>
      </rPr>
      <t>የጥበቃ ማማ</t>
    </r>
    <r>
      <rPr>
        <b/>
        <sz val="11"/>
        <color rgb="FF000000"/>
        <rFont val="Nyala"/>
        <charset val="1"/>
      </rPr>
      <t>/</t>
    </r>
    <r>
      <rPr>
        <b/>
        <sz val="11"/>
        <color rgb="FF000000"/>
        <rFont val="FreeSans"/>
        <family val="2"/>
      </rPr>
      <t>ጎጆ መስራት</t>
    </r>
  </si>
  <si>
    <t>NU-32</t>
  </si>
  <si>
    <t>Temporary guard</t>
  </si>
  <si>
    <t>ጊዚያዊ ጥበቃ</t>
  </si>
  <si>
    <t>NU-33</t>
  </si>
  <si>
    <t>Nursery pest &amp; disease inspection</t>
  </si>
  <si>
    <t>SPX addition – no B-Agro benchmark</t>
  </si>
  <si>
    <t>Young Coffee – activity plan and budget</t>
  </si>
  <si>
    <t>Total trees (net area)</t>
  </si>
  <si>
    <r>
      <rPr>
        <sz val="11"/>
        <rFont val="FreeSans"/>
        <family val="2"/>
      </rPr>
      <t xml:space="preserve">የቡና እግር ብዛት </t>
    </r>
    <r>
      <rPr>
        <sz val="11"/>
        <rFont val="Nyala"/>
        <charset val="1"/>
      </rPr>
      <t>(</t>
    </r>
    <r>
      <rPr>
        <sz val="11"/>
        <rFont val="FreeSans"/>
        <family val="2"/>
      </rPr>
      <t>ቁጥር</t>
    </r>
    <r>
      <rPr>
        <sz val="11"/>
        <rFont val="Nyala"/>
        <charset val="1"/>
      </rPr>
      <t>)</t>
    </r>
  </si>
  <si>
    <t>Gross area</t>
  </si>
  <si>
    <r>
      <rPr>
        <sz val="11"/>
        <rFont val="FreeSans"/>
        <family val="2"/>
      </rPr>
      <t xml:space="preserve">ጠቅላላ የማሳ ስፋት </t>
    </r>
    <r>
      <rPr>
        <sz val="11"/>
        <rFont val="Nyala"/>
        <charset val="1"/>
      </rPr>
      <t>(</t>
    </r>
    <r>
      <rPr>
        <sz val="11"/>
        <rFont val="FreeSans"/>
        <family val="2"/>
      </rPr>
      <t>ሄ</t>
    </r>
    <r>
      <rPr>
        <sz val="11"/>
        <rFont val="Nyala"/>
        <charset val="1"/>
      </rPr>
      <t>/</t>
    </r>
    <r>
      <rPr>
        <sz val="11"/>
        <rFont val="FreeSans"/>
        <family val="2"/>
      </rPr>
      <t>ር</t>
    </r>
    <r>
      <rPr>
        <sz val="11"/>
        <rFont val="Nyala"/>
        <charset val="1"/>
      </rPr>
      <t>)</t>
    </r>
  </si>
  <si>
    <t>Average trees per ha</t>
  </si>
  <si>
    <r>
      <rPr>
        <sz val="11"/>
        <rFont val="FreeSans"/>
        <family val="2"/>
      </rPr>
      <t xml:space="preserve">የቡና እግር አማካይ </t>
    </r>
    <r>
      <rPr>
        <sz val="11"/>
        <rFont val="Nyala"/>
        <charset val="1"/>
      </rPr>
      <t>(</t>
    </r>
    <r>
      <rPr>
        <sz val="11"/>
        <rFont val="FreeSans"/>
        <family val="2"/>
      </rPr>
      <t>ሄ</t>
    </r>
    <r>
      <rPr>
        <sz val="11"/>
        <rFont val="Nyala"/>
        <charset val="1"/>
      </rPr>
      <t>/</t>
    </r>
    <r>
      <rPr>
        <sz val="11"/>
        <rFont val="FreeSans"/>
        <family val="2"/>
      </rPr>
      <t>ር</t>
    </r>
    <r>
      <rPr>
        <sz val="11"/>
        <rFont val="Nyala"/>
        <charset val="1"/>
      </rPr>
      <t>)</t>
    </r>
  </si>
  <si>
    <t>trees/ha</t>
  </si>
  <si>
    <t>YC-01</t>
  </si>
  <si>
    <t>Manual weeding (slashing)</t>
  </si>
  <si>
    <t>አረም ቁጥጥር በገጀራ</t>
  </si>
  <si>
    <t>Weed &amp; soil care</t>
  </si>
  <si>
    <t>YC-02</t>
  </si>
  <si>
    <t>Hoeing</t>
  </si>
  <si>
    <t>ኩትኳቶ</t>
  </si>
  <si>
    <t>tree</t>
  </si>
  <si>
    <t>YC-03</t>
  </si>
  <si>
    <t>Ring weeding</t>
  </si>
  <si>
    <t>ችግኝ ቡና ዙሪያ አረም</t>
  </si>
  <si>
    <t>YC-04</t>
  </si>
  <si>
    <t>ችግኝ ቡና ጉዝጓዝ ማድረግ</t>
  </si>
  <si>
    <t>YC-05</t>
  </si>
  <si>
    <t>Full block digging</t>
  </si>
  <si>
    <t>ሙሉ ብሎክ ማስቆፈር</t>
  </si>
  <si>
    <t>YC-06</t>
  </si>
  <si>
    <t>Fertiliser application</t>
  </si>
  <si>
    <t>ማዳበሪያ ማድረግ</t>
  </si>
  <si>
    <t>Nutrition</t>
  </si>
  <si>
    <t>YC-07</t>
  </si>
  <si>
    <t>Compost preparation</t>
  </si>
  <si>
    <t>የተፈጥሮ ማዳበሪያ ዝግጅት</t>
  </si>
  <si>
    <t>YC-08</t>
  </si>
  <si>
    <t>Compost application</t>
  </si>
  <si>
    <t>የተፈጥሮ ማዳበሪያ ማድረግ</t>
  </si>
  <si>
    <t>YC-09</t>
  </si>
  <si>
    <t>Topping</t>
  </si>
  <si>
    <t>ቁመት መግታት</t>
  </si>
  <si>
    <t>Canopy &amp; shade</t>
  </si>
  <si>
    <t>YC-10</t>
  </si>
  <si>
    <t>Shade tree regulation</t>
  </si>
  <si>
    <t>ጥላ ዛፍ ቅነሳ</t>
  </si>
  <si>
    <t>YC-11</t>
  </si>
  <si>
    <t>Terrace construction</t>
  </si>
  <si>
    <t>እርከን ስራ</t>
  </si>
  <si>
    <t>Soil conservation</t>
  </si>
  <si>
    <t>m</t>
  </si>
  <si>
    <t>YC-12</t>
  </si>
  <si>
    <t>Terrace maintenance</t>
  </si>
  <si>
    <t>እርከን እደሳ</t>
  </si>
  <si>
    <t>YC-13</t>
  </si>
  <si>
    <t>Vetiver planting</t>
  </si>
  <si>
    <t>ቪቲቫር ተከላ</t>
  </si>
  <si>
    <t>YC-14</t>
  </si>
  <si>
    <t>Vetiver maintenance</t>
  </si>
  <si>
    <t>ቪቲቫር እንክብካቤ</t>
  </si>
  <si>
    <t>YC-15</t>
  </si>
  <si>
    <t>Survival count &amp; gap recording</t>
  </si>
  <si>
    <t>Matured Coffee – activity plan and budget</t>
  </si>
  <si>
    <t>Total coffee area</t>
  </si>
  <si>
    <r>
      <rPr>
        <sz val="11"/>
        <rFont val="FreeSans"/>
        <family val="2"/>
      </rPr>
      <t xml:space="preserve">ጠቅላላ የመሬት </t>
    </r>
    <r>
      <rPr>
        <sz val="11"/>
        <rFont val="Nyala"/>
        <charset val="1"/>
      </rPr>
      <t>(</t>
    </r>
    <r>
      <rPr>
        <sz val="11"/>
        <rFont val="FreeSans"/>
        <family val="2"/>
      </rPr>
      <t>ሄ</t>
    </r>
    <r>
      <rPr>
        <sz val="11"/>
        <rFont val="Nyala"/>
        <charset val="1"/>
      </rPr>
      <t>/</t>
    </r>
    <r>
      <rPr>
        <sz val="11"/>
        <rFont val="FreeSans"/>
        <family val="2"/>
      </rPr>
      <t>ር</t>
    </r>
    <r>
      <rPr>
        <sz val="11"/>
        <rFont val="Nyala"/>
        <charset val="1"/>
      </rPr>
      <t>)</t>
    </r>
  </si>
  <si>
    <t>Total mature trees (net area)</t>
  </si>
  <si>
    <r>
      <rPr>
        <sz val="11"/>
        <rFont val="FreeSans"/>
        <family val="2"/>
      </rPr>
      <t xml:space="preserve">እናት ቡና እግር ብዛት </t>
    </r>
    <r>
      <rPr>
        <sz val="11"/>
        <rFont val="Nyala"/>
        <charset val="1"/>
      </rPr>
      <t>(</t>
    </r>
    <r>
      <rPr>
        <sz val="11"/>
        <rFont val="FreeSans"/>
        <family val="2"/>
      </rPr>
      <t>ቁጥር</t>
    </r>
    <r>
      <rPr>
        <sz val="11"/>
        <rFont val="Nyala"/>
        <charset val="1"/>
      </rPr>
      <t>)</t>
    </r>
  </si>
  <si>
    <t>Trees to stump</t>
  </si>
  <si>
    <t>የሚጎነደል ቡና</t>
  </si>
  <si>
    <t>MC-01</t>
  </si>
  <si>
    <t>Weed control</t>
  </si>
  <si>
    <t>MC-02</t>
  </si>
  <si>
    <t>Chemical weeding</t>
  </si>
  <si>
    <r>
      <rPr>
        <sz val="11"/>
        <color rgb="FF000000"/>
        <rFont val="FreeSans"/>
        <family val="2"/>
      </rPr>
      <t>ፀረ</t>
    </r>
    <r>
      <rPr>
        <sz val="11"/>
        <color rgb="FF000000"/>
        <rFont val="Nyala"/>
        <charset val="1"/>
      </rPr>
      <t>-</t>
    </r>
    <r>
      <rPr>
        <sz val="11"/>
        <color rgb="FF000000"/>
        <rFont val="FreeSans"/>
        <family val="2"/>
      </rPr>
      <t>አረም መድሃኒት ርጭት</t>
    </r>
  </si>
  <si>
    <r>
      <rPr>
        <sz val="9"/>
        <color rgb="FFA6A6A6"/>
        <rFont val="FreeSans"/>
        <family val="2"/>
      </rPr>
      <t>ፀረ</t>
    </r>
    <r>
      <rPr>
        <sz val="9"/>
        <color rgb="FFA6A6A6"/>
        <rFont val="Nyala"/>
        <charset val="1"/>
      </rPr>
      <t>-</t>
    </r>
    <r>
      <rPr>
        <sz val="9"/>
        <color rgb="FFA6A6A6"/>
        <rFont val="FreeSans"/>
        <family val="2"/>
      </rPr>
      <t>አረም መድሃኒት ርጭት</t>
    </r>
  </si>
  <si>
    <r>
      <rPr>
        <b/>
        <sz val="11"/>
        <color rgb="FF000000"/>
        <rFont val="FreeSans"/>
        <family val="2"/>
      </rPr>
      <t>ፀረ</t>
    </r>
    <r>
      <rPr>
        <b/>
        <sz val="11"/>
        <color rgb="FF000000"/>
        <rFont val="Nyala"/>
        <charset val="1"/>
      </rPr>
      <t>-</t>
    </r>
    <r>
      <rPr>
        <b/>
        <sz val="11"/>
        <color rgb="FF000000"/>
        <rFont val="FreeSans"/>
        <family val="2"/>
      </rPr>
      <t>አረም መድሃኒት ርጭት</t>
    </r>
  </si>
  <si>
    <t>MC-03</t>
  </si>
  <si>
    <t>Water fetching for spraying</t>
  </si>
  <si>
    <r>
      <rPr>
        <sz val="11"/>
        <color rgb="FF000000"/>
        <rFont val="FreeSans"/>
        <family val="2"/>
      </rPr>
      <t>ለፀረ</t>
    </r>
    <r>
      <rPr>
        <sz val="11"/>
        <color rgb="FF000000"/>
        <rFont val="Nyala"/>
        <charset val="1"/>
      </rPr>
      <t>-</t>
    </r>
    <r>
      <rPr>
        <sz val="11"/>
        <color rgb="FF000000"/>
        <rFont val="FreeSans"/>
        <family val="2"/>
      </rPr>
      <t>አረም መድሃኒት ውሃ መቅዳት</t>
    </r>
  </si>
  <si>
    <t>knapsack</t>
  </si>
  <si>
    <r>
      <rPr>
        <sz val="9"/>
        <color rgb="FFA6A6A6"/>
        <rFont val="FreeSans"/>
        <family val="2"/>
      </rPr>
      <t>ለፀረ</t>
    </r>
    <r>
      <rPr>
        <sz val="9"/>
        <color rgb="FFA6A6A6"/>
        <rFont val="Nyala"/>
        <charset val="1"/>
      </rPr>
      <t>-</t>
    </r>
    <r>
      <rPr>
        <sz val="9"/>
        <color rgb="FFA6A6A6"/>
        <rFont val="FreeSans"/>
        <family val="2"/>
      </rPr>
      <t>አረም መድሃኒት ውሃ መቅዳት</t>
    </r>
  </si>
  <si>
    <r>
      <rPr>
        <b/>
        <sz val="11"/>
        <color rgb="FF000000"/>
        <rFont val="FreeSans"/>
        <family val="2"/>
      </rPr>
      <t>ለፀረ</t>
    </r>
    <r>
      <rPr>
        <b/>
        <sz val="11"/>
        <color rgb="FF000000"/>
        <rFont val="Nyala"/>
        <charset val="1"/>
      </rPr>
      <t>-</t>
    </r>
    <r>
      <rPr>
        <b/>
        <sz val="11"/>
        <color rgb="FF000000"/>
        <rFont val="FreeSans"/>
        <family val="2"/>
      </rPr>
      <t>አረም መድሃኒት ውሃ መቅዳት</t>
    </r>
  </si>
  <si>
    <t>MC-04</t>
  </si>
  <si>
    <t>Ring weeding for fertiliser</t>
  </si>
  <si>
    <t>ለማዳበሪያ ዙሪያ ማውጣት</t>
  </si>
  <si>
    <t>MC-05</t>
  </si>
  <si>
    <t>MC-06</t>
  </si>
  <si>
    <t>Foliar urea spraying</t>
  </si>
  <si>
    <t>ዩሪያ በቅጠል መርጨት</t>
  </si>
  <si>
    <t>MC-07</t>
  </si>
  <si>
    <t>Lime application</t>
  </si>
  <si>
    <t>ኖራ መጨመር</t>
  </si>
  <si>
    <t>MC-08</t>
  </si>
  <si>
    <t>Pruning</t>
  </si>
  <si>
    <t>ቡና ምቀሳ</t>
  </si>
  <si>
    <t>Canopy management</t>
  </si>
  <si>
    <t>MC-09</t>
  </si>
  <si>
    <t>MC-10</t>
  </si>
  <si>
    <t>Handling &amp; desuckering</t>
  </si>
  <si>
    <t>ምልመላና ቅጥያ ማሳሳት</t>
  </si>
  <si>
    <t>MC-11</t>
  </si>
  <si>
    <t>Supporting fallen coffee trees</t>
  </si>
  <si>
    <t>የወደቀ ቡና ማስደገፍ</t>
  </si>
  <si>
    <t>MC-12</t>
  </si>
  <si>
    <t>Removing climbers from coffee</t>
  </si>
  <si>
    <t>ከቡና ላይ ሃረግ ማውረድ</t>
  </si>
  <si>
    <t>MC-13</t>
  </si>
  <si>
    <t>Lichen removal</t>
  </si>
  <si>
    <t>ሽበት ማስወገድ</t>
  </si>
  <si>
    <t>MC-14</t>
  </si>
  <si>
    <t>Stumping</t>
  </si>
  <si>
    <t>ጉንደላ</t>
  </si>
  <si>
    <t>Rejuvenation</t>
  </si>
  <si>
    <t>MC-15</t>
  </si>
  <si>
    <t>Thinning sprouts on stumped coffee</t>
  </si>
  <si>
    <t>ጉንድል ቡና ምልማሎ</t>
  </si>
  <si>
    <t>MC-16</t>
  </si>
  <si>
    <t>Clearing debris from stumped coffee</t>
  </si>
  <si>
    <t>ከጉንድል ቡና ጭራሮ ማንሳት</t>
  </si>
  <si>
    <t>MC-17</t>
  </si>
  <si>
    <t>Uprooting old trees</t>
  </si>
  <si>
    <t>የቡና እግር ነቀላ</t>
  </si>
  <si>
    <t>MC-18</t>
  </si>
  <si>
    <t>Shade &amp; vegetation</t>
  </si>
  <si>
    <t>MC-19</t>
  </si>
  <si>
    <t>Removal of unwanted bushes</t>
  </si>
  <si>
    <t>ቁጥቋጦ ማጥፋት</t>
  </si>
  <si>
    <t>MC-20</t>
  </si>
  <si>
    <t>Removal of fallen trees</t>
  </si>
  <si>
    <t>የወደቀ እንጨት ማንሳት</t>
  </si>
  <si>
    <t>MC-21</t>
  </si>
  <si>
    <t>Coffee tree counting</t>
  </si>
  <si>
    <t>ቡና ዛፍ ቆጠራ</t>
  </si>
  <si>
    <t>Monitoring</t>
  </si>
  <si>
    <t>MC-22</t>
  </si>
  <si>
    <t>Yield estimation</t>
  </si>
  <si>
    <t>ቡና ምርት ትመና</t>
  </si>
  <si>
    <t>MC-23</t>
  </si>
  <si>
    <t>Farm boundary clearing</t>
  </si>
  <si>
    <t>ማሳ ዙሪያ ምንጣሮ</t>
  </si>
  <si>
    <t>Infrastructure &amp; protection</t>
  </si>
  <si>
    <t>MC-24</t>
  </si>
  <si>
    <t>Compound clearing</t>
  </si>
  <si>
    <t>ግቢ ዙሪያ ጽዳት</t>
  </si>
  <si>
    <t>MC-25</t>
  </si>
  <si>
    <t>Fencing</t>
  </si>
  <si>
    <t>አጥር ሥራ</t>
  </si>
  <si>
    <t>MC-26</t>
  </si>
  <si>
    <t>Inter-block road works</t>
  </si>
  <si>
    <t>ውስጥ ለውስጥ መንገድ ሥራ</t>
  </si>
  <si>
    <t>MC-27</t>
  </si>
  <si>
    <t>Bridge construction</t>
  </si>
  <si>
    <t>ድልድይ ሥራ</t>
  </si>
  <si>
    <t>MC-28</t>
  </si>
  <si>
    <t>Bridge maintenance</t>
  </si>
  <si>
    <t>ድልድይ እድሳት</t>
  </si>
  <si>
    <t>MC-29</t>
  </si>
  <si>
    <t>Guard house construction</t>
  </si>
  <si>
    <t>የጥበቃ ጎጆ ስራ</t>
  </si>
  <si>
    <t>MC-30</t>
  </si>
  <si>
    <t>Watchman tower construction</t>
  </si>
  <si>
    <t>የጥበቃ ማማ ስራ</t>
  </si>
  <si>
    <t>MC-31</t>
  </si>
  <si>
    <t>Construction material preparation</t>
  </si>
  <si>
    <t>የመስሪያ ቁሳቁስ ዝግጅት</t>
  </si>
  <si>
    <t>MC-32</t>
  </si>
  <si>
    <t>Pest &amp; disease scouting (CBD, leaf rust, wilt, berry borer)</t>
  </si>
  <si>
    <t>MC-33</t>
  </si>
  <si>
    <t>Removal &amp; destruction of wilt-infected trees</t>
  </si>
  <si>
    <t>MC-34</t>
  </si>
  <si>
    <t>Berry borer sanitation – collecting fallen / left-over berries</t>
  </si>
  <si>
    <t>MC-35</t>
  </si>
  <si>
    <t>Soil &amp; leaf sampling</t>
  </si>
  <si>
    <t>sample</t>
  </si>
  <si>
    <t>Infilling – activity plan and budget</t>
  </si>
  <si>
    <t>Trees to infill</t>
  </si>
  <si>
    <t>ሞተ ከዳ ቁጥር</t>
  </si>
  <si>
    <t>Average trees per ha (trees to infill ÷ area)</t>
  </si>
  <si>
    <t>IF-01</t>
  </si>
  <si>
    <t>Peg preparation &amp; transport</t>
  </si>
  <si>
    <t>ችካል ዝግጅትና ማጓጓዝ</t>
  </si>
  <si>
    <t>peg</t>
  </si>
  <si>
    <t>IF-02</t>
  </si>
  <si>
    <t>Layout &amp; pegging</t>
  </si>
  <si>
    <t>ቅየሳና ችካል መቸከል</t>
  </si>
  <si>
    <t>IF-03</t>
  </si>
  <si>
    <t>Holing</t>
  </si>
  <si>
    <t>ጉድጓድ ቁፋሮ</t>
  </si>
  <si>
    <t>hole</t>
  </si>
  <si>
    <t>IF-04</t>
  </si>
  <si>
    <t>Refilling holes</t>
  </si>
  <si>
    <t>አፈር ምለሳ</t>
  </si>
  <si>
    <t>IF-05</t>
  </si>
  <si>
    <t>Seedling counting</t>
  </si>
  <si>
    <t>ቡና ችግኝ ቆጠራ</t>
  </si>
  <si>
    <t>Planting</t>
  </si>
  <si>
    <t>IF-06</t>
  </si>
  <si>
    <t>Seedling transport</t>
  </si>
  <si>
    <t>ቡና ችግኝ ማጓጓዝ</t>
  </si>
  <si>
    <t>IF-07</t>
  </si>
  <si>
    <t>Coffee planting</t>
  </si>
  <si>
    <t>ቡና ተከላ</t>
  </si>
  <si>
    <t>IF-08</t>
  </si>
  <si>
    <t>Ring weeding of planted seedlings</t>
  </si>
  <si>
    <t>ችግኝ ቡና ዙሪያ ማረም</t>
  </si>
  <si>
    <t>IF-09</t>
  </si>
  <si>
    <t>Permanent shade tree planting</t>
  </si>
  <si>
    <t>ቋሚ ጥላ ዛፍ ተከላ</t>
  </si>
  <si>
    <t>Shade</t>
  </si>
  <si>
    <t>IF-10</t>
  </si>
  <si>
    <t>Grevillea planting</t>
  </si>
  <si>
    <t>ግራቪሊያ ተከላ</t>
  </si>
  <si>
    <t>IF-11</t>
  </si>
  <si>
    <t>IF-12</t>
  </si>
  <si>
    <t>man-day</t>
  </si>
  <si>
    <t>IF-13</t>
  </si>
  <si>
    <t>Establishment survival count (3 months after planting)</t>
  </si>
  <si>
    <t>Harvesting &amp; Related – activity plan and budget</t>
  </si>
  <si>
    <t>Productive trees</t>
  </si>
  <si>
    <t>ምርታማ የቡና እግር ቁጥር</t>
  </si>
  <si>
    <t>Gross plantation area</t>
  </si>
  <si>
    <r>
      <rPr>
        <sz val="11"/>
        <rFont val="FreeSans"/>
        <family val="2"/>
      </rPr>
      <t xml:space="preserve">ጠቅላላ የቦታ ስፋት </t>
    </r>
    <r>
      <rPr>
        <sz val="11"/>
        <rFont val="Nyala"/>
        <charset val="1"/>
      </rPr>
      <t>(</t>
    </r>
    <r>
      <rPr>
        <sz val="11"/>
        <rFont val="FreeSans"/>
        <family val="2"/>
      </rPr>
      <t>ሄ</t>
    </r>
    <r>
      <rPr>
        <sz val="11"/>
        <rFont val="Nyala"/>
        <charset val="1"/>
      </rPr>
      <t>/</t>
    </r>
    <r>
      <rPr>
        <sz val="11"/>
        <rFont val="FreeSans"/>
        <family val="2"/>
      </rPr>
      <t>ር</t>
    </r>
    <r>
      <rPr>
        <sz val="11"/>
        <rFont val="Nyala"/>
        <charset val="1"/>
      </rPr>
      <t>)</t>
    </r>
  </si>
  <si>
    <t>Average productivity</t>
  </si>
  <si>
    <r>
      <rPr>
        <sz val="11"/>
        <rFont val="FreeSans"/>
        <family val="2"/>
      </rPr>
      <t xml:space="preserve">ምርታማነት አማካይ </t>
    </r>
    <r>
      <rPr>
        <sz val="11"/>
        <rFont val="Nyala"/>
        <charset val="1"/>
      </rPr>
      <t>(</t>
    </r>
    <r>
      <rPr>
        <sz val="11"/>
        <rFont val="FreeSans"/>
        <family val="2"/>
      </rPr>
      <t>ኩ</t>
    </r>
    <r>
      <rPr>
        <sz val="11"/>
        <rFont val="Nyala"/>
        <charset val="1"/>
      </rPr>
      <t>/</t>
    </r>
    <r>
      <rPr>
        <sz val="11"/>
        <rFont val="FreeSans"/>
        <family val="2"/>
      </rPr>
      <t>ል</t>
    </r>
    <r>
      <rPr>
        <sz val="11"/>
        <rFont val="Nyala"/>
        <charset val="1"/>
      </rPr>
      <t>/</t>
    </r>
    <r>
      <rPr>
        <sz val="11"/>
        <rFont val="FreeSans"/>
        <family val="2"/>
      </rPr>
      <t>ሄ</t>
    </r>
    <r>
      <rPr>
        <sz val="11"/>
        <rFont val="Nyala"/>
        <charset val="1"/>
      </rPr>
      <t>/</t>
    </r>
    <r>
      <rPr>
        <sz val="11"/>
        <rFont val="FreeSans"/>
        <family val="2"/>
      </rPr>
      <t>ር</t>
    </r>
    <r>
      <rPr>
        <sz val="11"/>
        <rFont val="Nyala"/>
        <charset val="1"/>
      </rPr>
      <t>)</t>
    </r>
  </si>
  <si>
    <t>qt clean coffee/ha</t>
  </si>
  <si>
    <t>Total clean coffee production</t>
  </si>
  <si>
    <r>
      <rPr>
        <sz val="11"/>
        <rFont val="FreeSans"/>
        <family val="2"/>
      </rPr>
      <t xml:space="preserve">አጠቃላይ የሚመረት ንፁህ ቡና </t>
    </r>
    <r>
      <rPr>
        <sz val="11"/>
        <rFont val="Nyala"/>
        <charset val="1"/>
      </rPr>
      <t>(</t>
    </r>
    <r>
      <rPr>
        <sz val="11"/>
        <rFont val="FreeSans"/>
        <family val="2"/>
      </rPr>
      <t>ኩ</t>
    </r>
    <r>
      <rPr>
        <sz val="11"/>
        <rFont val="Nyala"/>
        <charset val="1"/>
      </rPr>
      <t>/</t>
    </r>
    <r>
      <rPr>
        <sz val="11"/>
        <rFont val="FreeSans"/>
        <family val="2"/>
      </rPr>
      <t>ል</t>
    </r>
    <r>
      <rPr>
        <sz val="11"/>
        <rFont val="Nyala"/>
        <charset val="1"/>
      </rPr>
      <t>)</t>
    </r>
  </si>
  <si>
    <t>qt</t>
  </si>
  <si>
    <t>Red cherry to pick</t>
  </si>
  <si>
    <t>ቀይ ቡና</t>
  </si>
  <si>
    <t>Drying beds</t>
  </si>
  <si>
    <t>የቡና ማስጫ አልጋ</t>
  </si>
  <si>
    <t>Dry cherry bags</t>
  </si>
  <si>
    <t>ደረቅ ቡና ኬሻ</t>
  </si>
  <si>
    <t>bag</t>
  </si>
  <si>
    <t>HR-01</t>
  </si>
  <si>
    <t>Watchman tower construction / repair</t>
  </si>
  <si>
    <r>
      <rPr>
        <sz val="11"/>
        <color rgb="FF000000"/>
        <rFont val="FreeSans"/>
        <family val="2"/>
      </rPr>
      <t>የጥበቃ ማማ ስራ</t>
    </r>
    <r>
      <rPr>
        <sz val="11"/>
        <color rgb="FF000000"/>
        <rFont val="Nyala"/>
        <charset val="1"/>
      </rPr>
      <t>/</t>
    </r>
    <r>
      <rPr>
        <sz val="11"/>
        <color rgb="FF000000"/>
        <rFont val="FreeSans"/>
        <family val="2"/>
      </rPr>
      <t>እድሳት</t>
    </r>
  </si>
  <si>
    <t>Harvest preparation</t>
  </si>
  <si>
    <r>
      <rPr>
        <sz val="9"/>
        <color rgb="FFA6A6A6"/>
        <rFont val="FreeSans"/>
        <family val="2"/>
      </rPr>
      <t>የጥበቃ ማማ ስራ</t>
    </r>
    <r>
      <rPr>
        <sz val="9"/>
        <color rgb="FFA6A6A6"/>
        <rFont val="Nyala"/>
        <charset val="1"/>
      </rPr>
      <t>/</t>
    </r>
    <r>
      <rPr>
        <sz val="9"/>
        <color rgb="FFA6A6A6"/>
        <rFont val="FreeSans"/>
        <family val="2"/>
      </rPr>
      <t>እድሳት</t>
    </r>
  </si>
  <si>
    <r>
      <rPr>
        <b/>
        <sz val="11"/>
        <color rgb="FF000000"/>
        <rFont val="FreeSans"/>
        <family val="2"/>
      </rPr>
      <t>የጥበቃ ማማ ስራ</t>
    </r>
    <r>
      <rPr>
        <b/>
        <sz val="11"/>
        <color rgb="FF000000"/>
        <rFont val="Nyala"/>
        <charset val="1"/>
      </rPr>
      <t>/</t>
    </r>
    <r>
      <rPr>
        <b/>
        <sz val="11"/>
        <color rgb="FF000000"/>
        <rFont val="FreeSans"/>
        <family val="2"/>
      </rPr>
      <t>እድሳት</t>
    </r>
  </si>
  <si>
    <t>HR-02</t>
  </si>
  <si>
    <t>Fence material preparation &amp; transport</t>
  </si>
  <si>
    <t>ለአጥር ቁሳቁስ ዝግጅት</t>
  </si>
  <si>
    <t>HR-03</t>
  </si>
  <si>
    <t>Drying area fencing</t>
  </si>
  <si>
    <t>አውድማ አጥር ማሳጠር</t>
  </si>
  <si>
    <t>HR-04</t>
  </si>
  <si>
    <t>Drying site clearing</t>
  </si>
  <si>
    <t>የቡና ማድረቂያ ቦታ ማፅዳት</t>
  </si>
  <si>
    <t>HR-05</t>
  </si>
  <si>
    <t>Bamboo / wicker purchase &amp; transport</t>
  </si>
  <si>
    <t>ቀርቀሀ ግዢ እና ማጓጓዝ</t>
  </si>
  <si>
    <t>HR-06</t>
  </si>
  <si>
    <t>Drying-bed material preparation &amp; transport</t>
  </si>
  <si>
    <t>ቡና ማስጫ ማቴሪያል ዝግጅትና ማጓጓዝ</t>
  </si>
  <si>
    <t>HR-07</t>
  </si>
  <si>
    <t>Drying-bed construction</t>
  </si>
  <si>
    <t>ቡና ማስጫ አልጋ ስራ</t>
  </si>
  <si>
    <t>HR-08</t>
  </si>
  <si>
    <t>Red cherry picking</t>
  </si>
  <si>
    <t>ቀይ ቡና ለቀማ</t>
  </si>
  <si>
    <t>Picking</t>
  </si>
  <si>
    <t>HR-09</t>
  </si>
  <si>
    <t>Dry (jenfel) cherry picking</t>
  </si>
  <si>
    <t>ጀንፍል ቡና ልቀማ</t>
  </si>
  <si>
    <t>HR-10</t>
  </si>
  <si>
    <t>Night guarding</t>
  </si>
  <si>
    <t>የለሊት ጥበቃ</t>
  </si>
  <si>
    <t>HR-11</t>
  </si>
  <si>
    <t>Monkey guarding</t>
  </si>
  <si>
    <t>ዝንጀሮ ጥብቃ</t>
  </si>
  <si>
    <t>HR-12</t>
  </si>
  <si>
    <t>Drying cherry (turning &amp; covering)</t>
  </si>
  <si>
    <t>ቡና ማስጣጣት</t>
  </si>
  <si>
    <t>Drying</t>
  </si>
  <si>
    <t>HR-13</t>
  </si>
  <si>
    <t>Drying-bed maintenance</t>
  </si>
  <si>
    <t>ቡና ማስጫ አልጋ ጥጋና</t>
  </si>
  <si>
    <t>HR-14</t>
  </si>
  <si>
    <t>Clearing under drying beds</t>
  </si>
  <si>
    <t>አልጋ ስር ፅዳት</t>
  </si>
  <si>
    <t>HR-15</t>
  </si>
  <si>
    <t>Moving dry cherry to warehouse</t>
  </si>
  <si>
    <t>ደረቅ ቡና ወደ መጋዘን ማስገባት</t>
  </si>
  <si>
    <t>HR-16</t>
  </si>
  <si>
    <t>Dismantling drying beds</t>
  </si>
  <si>
    <t>ቡና ማስጫ አልጋ ማፍረስ</t>
  </si>
  <si>
    <t>HR-17</t>
  </si>
  <si>
    <t>Weighing &amp; stacking dry cherry</t>
  </si>
  <si>
    <t>ደረቅ ቡና መመዘንና መደርደር</t>
  </si>
  <si>
    <t>Processing &amp; transport</t>
  </si>
  <si>
    <t>HR-18</t>
  </si>
  <si>
    <t>Loading dry cherry between sub-farms</t>
  </si>
  <si>
    <r>
      <rPr>
        <sz val="11"/>
        <color rgb="FF000000"/>
        <rFont val="FreeSans"/>
        <family val="2"/>
      </rPr>
      <t xml:space="preserve">ደረቅ ቡና መጫን </t>
    </r>
    <r>
      <rPr>
        <sz val="11"/>
        <color rgb="FF000000"/>
        <rFont val="Nyala"/>
        <charset val="1"/>
      </rPr>
      <t>(</t>
    </r>
    <r>
      <rPr>
        <sz val="11"/>
        <color rgb="FF000000"/>
        <rFont val="FreeSans"/>
        <family val="2"/>
      </rPr>
      <t xml:space="preserve">ከእርሻ </t>
    </r>
    <r>
      <rPr>
        <sz val="11"/>
        <color rgb="FF000000"/>
        <rFont val="Nyala"/>
        <charset val="1"/>
      </rPr>
      <t>2-1)</t>
    </r>
  </si>
  <si>
    <r>
      <rPr>
        <sz val="9"/>
        <color rgb="FFA6A6A6"/>
        <rFont val="FreeSans"/>
        <family val="2"/>
      </rPr>
      <t xml:space="preserve">ደረቅ ቡና መጫን </t>
    </r>
    <r>
      <rPr>
        <sz val="9"/>
        <color rgb="FFA6A6A6"/>
        <rFont val="Nyala"/>
        <charset val="1"/>
      </rPr>
      <t>(</t>
    </r>
    <r>
      <rPr>
        <sz val="9"/>
        <color rgb="FFA6A6A6"/>
        <rFont val="FreeSans"/>
        <family val="2"/>
      </rPr>
      <t xml:space="preserve">ከእርሻ </t>
    </r>
    <r>
      <rPr>
        <sz val="9"/>
        <color rgb="FFA6A6A6"/>
        <rFont val="Nyala"/>
        <charset val="1"/>
      </rPr>
      <t>2-1)</t>
    </r>
  </si>
  <si>
    <r>
      <rPr>
        <b/>
        <sz val="11"/>
        <color rgb="FF000000"/>
        <rFont val="FreeSans"/>
        <family val="2"/>
      </rPr>
      <t xml:space="preserve">ደረቅ ቡና መጫን </t>
    </r>
    <r>
      <rPr>
        <b/>
        <sz val="11"/>
        <color rgb="FF000000"/>
        <rFont val="Nyala"/>
        <charset val="1"/>
      </rPr>
      <t>(</t>
    </r>
    <r>
      <rPr>
        <b/>
        <sz val="11"/>
        <color rgb="FF000000"/>
        <rFont val="FreeSans"/>
        <family val="2"/>
      </rPr>
      <t xml:space="preserve">ከእርሻ </t>
    </r>
    <r>
      <rPr>
        <b/>
        <sz val="11"/>
        <color rgb="FF000000"/>
        <rFont val="Nyala"/>
        <charset val="1"/>
      </rPr>
      <t>2-1)</t>
    </r>
  </si>
  <si>
    <t>HR-19</t>
  </si>
  <si>
    <t>Loading dry cherry, farm to huller</t>
  </si>
  <si>
    <r>
      <rPr>
        <sz val="11"/>
        <color rgb="FF000000"/>
        <rFont val="FreeSans"/>
        <family val="2"/>
      </rPr>
      <t>ደረቅ ቡና መጫን ከእርሻ</t>
    </r>
    <r>
      <rPr>
        <sz val="11"/>
        <color rgb="FF000000"/>
        <rFont val="Nyala"/>
        <charset val="1"/>
      </rPr>
      <t>-</t>
    </r>
    <r>
      <rPr>
        <sz val="11"/>
        <color rgb="FF000000"/>
        <rFont val="FreeSans"/>
        <family val="2"/>
      </rPr>
      <t>መቀሸሪያ</t>
    </r>
  </si>
  <si>
    <r>
      <rPr>
        <sz val="9"/>
        <color rgb="FFA6A6A6"/>
        <rFont val="FreeSans"/>
        <family val="2"/>
      </rPr>
      <t>ደረቅ ቡና መጫን ከእርሻ</t>
    </r>
    <r>
      <rPr>
        <sz val="9"/>
        <color rgb="FFA6A6A6"/>
        <rFont val="Nyala"/>
        <charset val="1"/>
      </rPr>
      <t>-</t>
    </r>
    <r>
      <rPr>
        <sz val="9"/>
        <color rgb="FFA6A6A6"/>
        <rFont val="FreeSans"/>
        <family val="2"/>
      </rPr>
      <t>መቀሸሪያ</t>
    </r>
  </si>
  <si>
    <r>
      <rPr>
        <b/>
        <sz val="11"/>
        <color rgb="FF000000"/>
        <rFont val="FreeSans"/>
        <family val="2"/>
      </rPr>
      <t>ደረቅ ቡና መጫን ከእርሻ</t>
    </r>
    <r>
      <rPr>
        <b/>
        <sz val="11"/>
        <color rgb="FF000000"/>
        <rFont val="Nyala"/>
        <charset val="1"/>
      </rPr>
      <t>-</t>
    </r>
    <r>
      <rPr>
        <b/>
        <sz val="11"/>
        <color rgb="FF000000"/>
        <rFont val="FreeSans"/>
        <family val="2"/>
      </rPr>
      <t>መቀሸሪያ</t>
    </r>
  </si>
  <si>
    <t>HR-20</t>
  </si>
  <si>
    <t>Vehicle rent: dry cherry to huller</t>
  </si>
  <si>
    <t>ደረቅ ቡና ማጓጓዝ ከእርሻ መኪና ኪራይ</t>
  </si>
  <si>
    <t>HR-21</t>
  </si>
  <si>
    <t>Unloading dry cherry at huller</t>
  </si>
  <si>
    <t>ደረቅ ቡና መቀሸሪያ ቤት ማውረድ</t>
  </si>
  <si>
    <t>HR-22</t>
  </si>
  <si>
    <t>Hulling machine fee (incl. VAT)</t>
  </si>
  <si>
    <t>ደረቅ ቡና ማስቀሸር የማሽን</t>
  </si>
  <si>
    <t>HR-23</t>
  </si>
  <si>
    <t>Hulling labour</t>
  </si>
  <si>
    <t>ቡና ማስቀሸር የጉልበት ሰራተኞች</t>
  </si>
  <si>
    <t>HR-24</t>
  </si>
  <si>
    <t>Loading clean coffee</t>
  </si>
  <si>
    <t>ንፁህ ቡና መጫን</t>
  </si>
  <si>
    <t>HR-25</t>
  </si>
  <si>
    <t>Vehicle rent: clean coffee to Addis Ababa</t>
  </si>
  <si>
    <r>
      <rPr>
        <sz val="11"/>
        <color rgb="FF000000"/>
        <rFont val="FreeSans"/>
        <family val="2"/>
      </rPr>
      <t>ንፁህ ቡና ወደ አ</t>
    </r>
    <r>
      <rPr>
        <sz val="11"/>
        <color rgb="FF000000"/>
        <rFont val="Nyala"/>
        <charset val="1"/>
      </rPr>
      <t>.</t>
    </r>
    <r>
      <rPr>
        <sz val="11"/>
        <color rgb="FF000000"/>
        <rFont val="FreeSans"/>
        <family val="2"/>
      </rPr>
      <t>አ መላክ መኪና ኪራይ</t>
    </r>
  </si>
  <si>
    <t>quintal</t>
  </si>
  <si>
    <r>
      <rPr>
        <sz val="9"/>
        <color rgb="FFA6A6A6"/>
        <rFont val="FreeSans"/>
        <family val="2"/>
      </rPr>
      <t>ንፁህ ቡና ወደ አ</t>
    </r>
    <r>
      <rPr>
        <sz val="9"/>
        <color rgb="FFA6A6A6"/>
        <rFont val="Nyala"/>
        <charset val="1"/>
      </rPr>
      <t>.</t>
    </r>
    <r>
      <rPr>
        <sz val="9"/>
        <color rgb="FFA6A6A6"/>
        <rFont val="FreeSans"/>
        <family val="2"/>
      </rPr>
      <t>አ መላክ መኪና ኪራይ</t>
    </r>
  </si>
  <si>
    <r>
      <rPr>
        <b/>
        <sz val="11"/>
        <color rgb="FF000000"/>
        <rFont val="FreeSans"/>
        <family val="2"/>
      </rPr>
      <t>ንፁህ ቡና ወደ አ</t>
    </r>
    <r>
      <rPr>
        <b/>
        <sz val="11"/>
        <color rgb="FF000000"/>
        <rFont val="Nyala"/>
        <charset val="1"/>
      </rPr>
      <t>.</t>
    </r>
    <r>
      <rPr>
        <b/>
        <sz val="11"/>
        <color rgb="FF000000"/>
        <rFont val="FreeSans"/>
        <family val="2"/>
      </rPr>
      <t>አ መላክ መኪና ኪራይ</t>
    </r>
  </si>
  <si>
    <t>HR-26</t>
  </si>
  <si>
    <t>Cherry sorting &amp; floating before drying</t>
  </si>
  <si>
    <t>HR-27</t>
  </si>
  <si>
    <t>Moisture testing of drying lots</t>
  </si>
  <si>
    <t>lot</t>
  </si>
  <si>
    <t>HR-28</t>
  </si>
  <si>
    <t>Lot tagging &amp; block traceability records</t>
  </si>
  <si>
    <t>Monthly Plan – field activities</t>
  </si>
  <si>
    <t>Rolled up from the Chaka Buna plan rows of the five category tabs. Nothing to enter here. Staff &amp; overheads are not included yet.</t>
  </si>
  <si>
    <t>COST (birr)</t>
  </si>
  <si>
    <t>Annual</t>
  </si>
  <si>
    <t>Q1</t>
  </si>
  <si>
    <t>Q2</t>
  </si>
  <si>
    <t>Q3</t>
  </si>
  <si>
    <t>Q4</t>
  </si>
  <si>
    <t>Check: months – annual</t>
  </si>
  <si>
    <t>TOTAL FIELD ACTIVITIES</t>
  </si>
  <si>
    <t>Cumulative</t>
  </si>
  <si>
    <t>LABOUR (man-days)</t>
  </si>
  <si>
    <t>TOTAL MAN-DAYS</t>
  </si>
  <si>
    <t>PARKED – not included in the Summary or Monthly tabs until SPX decides how to treat it. Seasonal and daily labour is costed in the category tabs.</t>
  </si>
  <si>
    <t>A. PERMANENT STAFF</t>
  </si>
  <si>
    <t>Position</t>
  </si>
  <si>
    <t>Number</t>
  </si>
  <si>
    <t>Monthly gross salary per person (birr)</t>
  </si>
  <si>
    <t>Months employed</t>
  </si>
  <si>
    <t>Notes</t>
  </si>
  <si>
    <t>Annual salary incl. increment (birr)</t>
  </si>
  <si>
    <t>Employer pension (birr)</t>
  </si>
  <si>
    <t>Total (birr)</t>
  </si>
  <si>
    <t>Farm manager</t>
  </si>
  <si>
    <t>Agronomist</t>
  </si>
  <si>
    <t>Block supervisor / foreman</t>
  </si>
  <si>
    <t>Nursery foreman</t>
  </si>
  <si>
    <t>Store keeper</t>
  </si>
  <si>
    <t>Cashier / accountant</t>
  </si>
  <si>
    <t>Data recorder / clerk</t>
  </si>
  <si>
    <t>Driver</t>
  </si>
  <si>
    <t>Permanent guards</t>
  </si>
  <si>
    <t>Permanent field workers</t>
  </si>
  <si>
    <t>TOTAL STAFF (salary + pension)</t>
  </si>
  <si>
    <t>Reference – B-Agro 2019 EFY permanent salary budgets (birr per year, before pension)</t>
  </si>
  <si>
    <t>Telli</t>
  </si>
  <si>
    <t>Gawi</t>
  </si>
  <si>
    <t>Chetu</t>
  </si>
  <si>
    <t>B. OVERHEADS</t>
  </si>
  <si>
    <t>Item</t>
  </si>
  <si>
    <t>Silva annual budget (birr)</t>
  </si>
  <si>
    <t>Petty cash</t>
  </si>
  <si>
    <t>Per diem</t>
  </si>
  <si>
    <t>Mobile cards &amp; communication</t>
  </si>
  <si>
    <t>Stationery, photocopy &amp; postage</t>
  </si>
  <si>
    <t>Telli: photocopy &amp; postal; Gawi, Chetu: stationery.</t>
  </si>
  <si>
    <t>Fuel &amp; lubricants</t>
  </si>
  <si>
    <t>Medical expense</t>
  </si>
  <si>
    <t>Land use tax</t>
  </si>
  <si>
    <t>Repairs &amp; maintenance</t>
  </si>
  <si>
    <t>SPX addition.</t>
  </si>
  <si>
    <t>Insurance</t>
  </si>
  <si>
    <t>Training</t>
  </si>
  <si>
    <t>Contract guarding</t>
  </si>
  <si>
    <t>TOTAL OVERHEADS</t>
  </si>
  <si>
    <t>Benchmark Data – B-Agro 2019 EFY (2026/27) annual work plans</t>
  </si>
  <si>
    <t>Source: 'Summary Agronomy' sheet of each farm plan (Telli_2019, Gawi_2019, Chetu, Ephrata_2019, Kamisse_2019, Shakis_2019), matched by activity. Blank = the farm does not plan the activity.</t>
  </si>
  <si>
    <t>Industry average = Telli, Gawi and Chetu, counting only farms that plan the activity. Industry wage per man-day = average cost per unit ÷ average man-days per unit, so that man-days × wage reproduces the farms' average cost. Six-farm figures are the fallback for the Expert input row where the three farms have no rate.</t>
  </si>
  <si>
    <t>COST PER UNIT (birr)</t>
  </si>
  <si>
    <t>MAN-DAYS PER UNIT</t>
  </si>
  <si>
    <t>FREQUENCY (times / year)</t>
  </si>
  <si>
    <t>WAGE / MAN-DAY (calc.)</t>
  </si>
  <si>
    <t>INDUSTRY AVERAGE (Telli, Gawi, Chetu)</t>
  </si>
  <si>
    <t>SIX-FARM AVERAGE (fallback)</t>
  </si>
  <si>
    <t>Ephrata</t>
  </si>
  <si>
    <t>Kamisse</t>
  </si>
  <si>
    <t>Shakisso</t>
  </si>
  <si>
    <t>Farms with rate</t>
  </si>
  <si>
    <t>Cost per unit</t>
  </si>
  <si>
    <t>Wage per man-day</t>
  </si>
  <si>
    <t>Frequency</t>
  </si>
  <si>
    <t>Data notes</t>
  </si>
  <si>
    <t>SPX addition – no B-Agro rate</t>
  </si>
  <si>
    <t>Chetu: man-days taken from the quantity-per-man-day column</t>
  </si>
  <si>
    <t>Gawi: 1800 birr per ሄ/ር/ha excluded (different unit)</t>
  </si>
  <si>
    <t>Telli: man-days taken from the quantity-per-man-day column; Chetu: man-days taken from the quantity-per-man-day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</si>
</sst>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;\(#,##0.0\);\-"/>
    <numFmt numFmtId="165" formatCode="#,##0;\(#,##0\);\-"/>
    <numFmt numFmtId="166" formatCode="0%;\-0%;\-"/>
    <numFmt numFmtId="167" formatCode="0.000;\-0.000;\-"/>
    <numFmt numFmtId="168" formatCode="#,##0.00;\(#,##0.00\);\-"/>
  </numFmts>
  <fonts count="38">
    <font>
      <sz val="11"/>
      <color theme="1"/>
      <name val="Calibri"/>
      <family val="2"/>
      <charset val="1"/>
    </font>
    <font>
      <b/>
      <sz val="14"/>
      <color rgb="FF1F4E3D"/>
      <name val="Arial"/>
      <charset val="1"/>
    </font>
    <font>
      <i/>
      <sz val="10"/>
      <color rgb="FF595959"/>
      <name val="Arial"/>
      <charset val="1"/>
    </font>
    <font>
      <b/>
      <sz val="12"/>
      <color rgb="FF1F4E3D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i/>
      <sz val="9"/>
      <color rgb="FF595959"/>
      <name val="Arial"/>
      <charset val="1"/>
    </font>
    <font>
      <sz val="11"/>
      <color rgb="FF008000"/>
      <name val="FreeSans"/>
      <family val="2"/>
    </font>
    <font>
      <b/>
      <sz val="10"/>
      <color rgb="FF008000"/>
      <name val="Arial"/>
      <charset val="1"/>
    </font>
    <font>
      <b/>
      <sz val="9"/>
      <color rgb="FFC00000"/>
      <name val="Arial"/>
      <charset val="1"/>
    </font>
    <font>
      <sz val="10"/>
      <color rgb="FF595959"/>
      <name val="Arial"/>
      <charset val="1"/>
    </font>
    <font>
      <sz val="9"/>
      <color rgb="FF595959"/>
      <name val="Arial"/>
      <charset val="1"/>
    </font>
    <font>
      <b/>
      <sz val="11"/>
      <color rgb="FF1F4E3D"/>
      <name val="Arial"/>
      <charset val="1"/>
    </font>
    <font>
      <b/>
      <sz val="11"/>
      <color rgb="FF0000FF"/>
      <name val="Arial"/>
      <charset val="1"/>
    </font>
    <font>
      <sz val="11"/>
      <name val="FreeSans"/>
      <family val="2"/>
    </font>
    <font>
      <sz val="11"/>
      <name val="Nyala"/>
      <charset val="1"/>
    </font>
    <font>
      <sz val="11"/>
      <color rgb="FF000000"/>
      <name val="FreeSans"/>
      <family val="2"/>
    </font>
    <font>
      <sz val="9"/>
      <color rgb="FF808080"/>
      <name val="Arial"/>
      <charset val="1"/>
    </font>
    <font>
      <sz val="9"/>
      <color rgb="FFA6A6A6"/>
      <name val="Arial"/>
      <charset val="1"/>
    </font>
    <font>
      <sz val="9"/>
      <color rgb="FFA6A6A6"/>
      <name val="FreeSans"/>
      <family val="2"/>
    </font>
    <font>
      <sz val="10"/>
      <color rgb="FFA6A6A6"/>
      <name val="Arial"/>
      <charset val="1"/>
    </font>
    <font>
      <sz val="10"/>
      <color rgb="FF808080"/>
      <name val="Arial"/>
      <charset val="1"/>
    </font>
    <font>
      <b/>
      <sz val="9"/>
      <color rgb="FF000000"/>
      <name val="Arial"/>
      <charset val="1"/>
    </font>
    <font>
      <b/>
      <sz val="11"/>
      <color rgb="FF000000"/>
      <name val="FreeSans"/>
      <family val="2"/>
    </font>
    <font>
      <sz val="11"/>
      <color rgb="FF000000"/>
      <name val="Nyala"/>
      <charset val="1"/>
    </font>
    <font>
      <sz val="9"/>
      <color rgb="FFA6A6A6"/>
      <name val="Nyala"/>
      <charset val="1"/>
    </font>
    <font>
      <b/>
      <sz val="11"/>
      <color rgb="FF000000"/>
      <name val="Nyala"/>
      <charset val="1"/>
    </font>
    <font>
      <i/>
      <sz val="10"/>
      <color rgb="FF000000"/>
      <name val="Arial"/>
      <charset val="1"/>
    </font>
    <font>
      <i/>
      <sz val="9"/>
      <color rgb="FF808080"/>
      <name val="Arial"/>
      <charset val="1"/>
    </font>
    <font>
      <b/>
      <i/>
      <sz val="10"/>
      <color rgb="FF000000"/>
      <name val="Arial"/>
      <charset val="1"/>
    </font>
    <font>
      <sz val="10"/>
      <name val="Arial"/>
      <family val="2"/>
    </font>
    <font>
      <b/>
      <sz val="10"/>
      <color rgb="FFC00000"/>
      <name val="Arial"/>
      <charset val="1"/>
    </font>
    <font>
      <sz val="9"/>
      <color rgb="FF0000FF"/>
      <name val="Arial"/>
      <charset val="1"/>
    </font>
    <font>
      <b/>
      <sz val="9"/>
      <color rgb="FF595959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1F4E3D"/>
        <bgColor rgb="FF003366"/>
      </patternFill>
    </fill>
    <fill>
      <patternFill patternType="solid">
        <fgColor rgb="FFD9D9D9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7F7F7"/>
        <bgColor rgb="FFF2F2F2"/>
      </patternFill>
    </fill>
    <fill>
      <patternFill patternType="solid">
        <fgColor rgb="FFF2F2F2"/>
        <bgColor rgb="FFF7F7F7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3D"/>
      </top>
      <bottom style="medium">
        <color rgb="FF1F4E3D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2" borderId="1" xfId="0" applyFont="1" applyFill="1" applyBorder="1"/>
    <xf numFmtId="0" fontId="7" fillId="2" borderId="1" xfId="0" applyFont="1" applyFill="1" applyBorder="1"/>
    <xf numFmtId="0" fontId="7" fillId="0" borderId="1" xfId="0" applyFont="1" applyBorder="1"/>
    <xf numFmtId="0" fontId="4" fillId="3" borderId="1" xfId="0" applyFont="1" applyFill="1" applyBorder="1"/>
    <xf numFmtId="0" fontId="5" fillId="0" borderId="1" xfId="0" applyFont="1" applyBorder="1"/>
    <xf numFmtId="0" fontId="8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top" wrapText="1"/>
    </xf>
    <xf numFmtId="0" fontId="10" fillId="0" borderId="0" xfId="0" applyFont="1"/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11" fillId="0" borderId="2" xfId="0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/>
    <xf numFmtId="0" fontId="7" fillId="3" borderId="2" xfId="0" applyFont="1" applyFill="1" applyBorder="1"/>
    <xf numFmtId="165" fontId="12" fillId="3" borderId="2" xfId="0" applyNumberFormat="1" applyFont="1" applyFill="1" applyBorder="1"/>
    <xf numFmtId="165" fontId="7" fillId="0" borderId="2" xfId="0" applyNumberFormat="1" applyFont="1" applyBorder="1"/>
    <xf numFmtId="0" fontId="11" fillId="0" borderId="1" xfId="0" applyFont="1" applyBorder="1"/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/>
    <xf numFmtId="0" fontId="5" fillId="3" borderId="1" xfId="0" applyFont="1" applyFill="1" applyBorder="1"/>
    <xf numFmtId="0" fontId="8" fillId="4" borderId="1" xfId="0" applyFont="1" applyFill="1" applyBorder="1"/>
    <xf numFmtId="0" fontId="5" fillId="4" borderId="1" xfId="0" applyFont="1" applyFill="1" applyBorder="1"/>
    <xf numFmtId="165" fontId="8" fillId="4" borderId="1" xfId="0" applyNumberFormat="1" applyFont="1" applyFill="1" applyBorder="1"/>
    <xf numFmtId="0" fontId="13" fillId="0" borderId="0" xfId="0" applyFont="1"/>
    <xf numFmtId="0" fontId="14" fillId="0" borderId="1" xfId="0" applyFont="1" applyBorder="1"/>
    <xf numFmtId="0" fontId="15" fillId="0" borderId="1" xfId="0" applyFont="1" applyBorder="1" applyAlignment="1">
      <alignment vertical="top" wrapText="1"/>
    </xf>
    <xf numFmtId="166" fontId="6" fillId="2" borderId="1" xfId="0" applyNumberFormat="1" applyFont="1" applyFill="1" applyBorder="1"/>
    <xf numFmtId="165" fontId="6" fillId="2" borderId="1" xfId="0" applyNumberFormat="1" applyFont="1" applyFill="1" applyBorder="1"/>
    <xf numFmtId="164" fontId="6" fillId="2" borderId="1" xfId="0" applyNumberFormat="1" applyFont="1" applyFill="1" applyBorder="1"/>
    <xf numFmtId="0" fontId="16" fillId="0" borderId="0" xfId="0" applyFont="1" applyAlignment="1">
      <alignment horizontal="right" vertical="center"/>
    </xf>
    <xf numFmtId="0" fontId="17" fillId="2" borderId="1" xfId="0" applyFont="1" applyFill="1" applyBorder="1" applyAlignment="1">
      <alignment horizontal="center" vertical="center"/>
    </xf>
    <xf numFmtId="0" fontId="16" fillId="0" borderId="0" xfId="0" applyFont="1"/>
    <xf numFmtId="0" fontId="18" fillId="0" borderId="1" xfId="0" applyFont="1" applyBorder="1"/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/>
    <xf numFmtId="165" fontId="5" fillId="0" borderId="1" xfId="0" applyNumberFormat="1" applyFont="1" applyBorder="1"/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0" borderId="2" xfId="0" applyFont="1" applyBorder="1"/>
    <xf numFmtId="0" fontId="5" fillId="0" borderId="2" xfId="0" applyFont="1" applyBorder="1"/>
    <xf numFmtId="0" fontId="20" fillId="0" borderId="2" xfId="0" applyFont="1" applyBorder="1"/>
    <xf numFmtId="0" fontId="21" fillId="0" borderId="2" xfId="0" applyFont="1" applyBorder="1"/>
    <xf numFmtId="0" fontId="5" fillId="0" borderId="2" xfId="0" applyFont="1" applyBorder="1" applyAlignment="1">
      <alignment horizontal="center" vertical="center"/>
    </xf>
    <xf numFmtId="167" fontId="7" fillId="0" borderId="2" xfId="0" applyNumberFormat="1" applyFont="1" applyBorder="1"/>
    <xf numFmtId="168" fontId="7" fillId="0" borderId="2" xfId="0" applyNumberFormat="1" applyFont="1" applyBorder="1"/>
    <xf numFmtId="168" fontId="5" fillId="0" borderId="2" xfId="0" applyNumberFormat="1" applyFont="1" applyBorder="1"/>
    <xf numFmtId="165" fontId="7" fillId="2" borderId="2" xfId="0" applyNumberFormat="1" applyFont="1" applyFill="1" applyBorder="1"/>
    <xf numFmtId="165" fontId="5" fillId="0" borderId="2" xfId="0" applyNumberFormat="1" applyFont="1" applyBorder="1"/>
    <xf numFmtId="164" fontId="5" fillId="0" borderId="2" xfId="0" applyNumberFormat="1" applyFont="1" applyBorder="1"/>
    <xf numFmtId="165" fontId="4" fillId="0" borderId="2" xfId="0" applyNumberFormat="1" applyFont="1" applyBorder="1"/>
    <xf numFmtId="0" fontId="5" fillId="7" borderId="2" xfId="0" applyFont="1" applyFill="1" applyBorder="1"/>
    <xf numFmtId="0" fontId="21" fillId="0" borderId="1" xfId="0" applyFont="1" applyBorder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 applyAlignment="1">
      <alignment horizontal="center" vertical="center"/>
    </xf>
    <xf numFmtId="167" fontId="5" fillId="0" borderId="1" xfId="0" applyNumberFormat="1" applyFont="1" applyBorder="1"/>
    <xf numFmtId="168" fontId="5" fillId="0" borderId="1" xfId="0" applyNumberFormat="1" applyFont="1" applyBorder="1"/>
    <xf numFmtId="165" fontId="25" fillId="0" borderId="1" xfId="0" applyNumberFormat="1" applyFont="1" applyBorder="1"/>
    <xf numFmtId="165" fontId="4" fillId="0" borderId="1" xfId="0" applyNumberFormat="1" applyFont="1" applyBorder="1"/>
    <xf numFmtId="0" fontId="5" fillId="7" borderId="1" xfId="0" applyFont="1" applyFill="1" applyBorder="1"/>
    <xf numFmtId="167" fontId="7" fillId="2" borderId="1" xfId="0" applyNumberFormat="1" applyFont="1" applyFill="1" applyBorder="1"/>
    <xf numFmtId="168" fontId="7" fillId="2" borderId="1" xfId="0" applyNumberFormat="1" applyFont="1" applyFill="1" applyBorder="1"/>
    <xf numFmtId="164" fontId="7" fillId="2" borderId="1" xfId="0" applyNumberFormat="1" applyFont="1" applyFill="1" applyBorder="1"/>
    <xf numFmtId="0" fontId="26" fillId="3" borderId="1" xfId="0" applyFont="1" applyFill="1" applyBorder="1"/>
    <xf numFmtId="0" fontId="27" fillId="3" borderId="1" xfId="0" applyFont="1" applyFill="1" applyBorder="1"/>
    <xf numFmtId="0" fontId="21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167" fontId="4" fillId="3" borderId="1" xfId="0" applyNumberFormat="1" applyFont="1" applyFill="1" applyBorder="1"/>
    <xf numFmtId="168" fontId="4" fillId="3" borderId="1" xfId="0" applyNumberFormat="1" applyFont="1" applyFill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165" fontId="6" fillId="2" borderId="2" xfId="0" applyNumberFormat="1" applyFont="1" applyFill="1" applyBorder="1"/>
    <xf numFmtId="0" fontId="31" fillId="0" borderId="2" xfId="0" applyFont="1" applyBorder="1"/>
    <xf numFmtId="0" fontId="32" fillId="0" borderId="2" xfId="0" applyFont="1" applyBorder="1"/>
    <xf numFmtId="0" fontId="32" fillId="0" borderId="1" xfId="0" applyFont="1" applyBorder="1"/>
    <xf numFmtId="167" fontId="6" fillId="2" borderId="1" xfId="0" applyNumberFormat="1" applyFont="1" applyFill="1" applyBorder="1"/>
    <xf numFmtId="168" fontId="6" fillId="2" borderId="1" xfId="0" applyNumberFormat="1" applyFont="1" applyFill="1" applyBorder="1"/>
    <xf numFmtId="0" fontId="33" fillId="3" borderId="1" xfId="0" applyFont="1" applyFill="1" applyBorder="1"/>
    <xf numFmtId="0" fontId="32" fillId="3" borderId="1" xfId="0" applyFont="1" applyFill="1" applyBorder="1"/>
    <xf numFmtId="165" fontId="7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4" fillId="8" borderId="1" xfId="0" applyFont="1" applyFill="1" applyBorder="1"/>
    <xf numFmtId="164" fontId="4" fillId="8" borderId="1" xfId="0" applyNumberFormat="1" applyFont="1" applyFill="1" applyBorder="1"/>
    <xf numFmtId="0" fontId="35" fillId="0" borderId="0" xfId="0" applyFont="1"/>
    <xf numFmtId="0" fontId="36" fillId="2" borderId="1" xfId="0" applyFont="1" applyFill="1" applyBorder="1"/>
    <xf numFmtId="0" fontId="5" fillId="8" borderId="3" xfId="0" applyFont="1" applyFill="1" applyBorder="1"/>
    <xf numFmtId="0" fontId="4" fillId="8" borderId="3" xfId="0" applyFont="1" applyFill="1" applyBorder="1"/>
    <xf numFmtId="165" fontId="4" fillId="8" borderId="3" xfId="0" applyNumberFormat="1" applyFont="1" applyFill="1" applyBorder="1"/>
    <xf numFmtId="0" fontId="37" fillId="0" borderId="0" xfId="0" applyFont="1"/>
    <xf numFmtId="0" fontId="15" fillId="0" borderId="1" xfId="0" applyFont="1" applyBorder="1"/>
    <xf numFmtId="165" fontId="36" fillId="0" borderId="1" xfId="0" applyNumberFormat="1" applyFont="1" applyBorder="1"/>
    <xf numFmtId="165" fontId="6" fillId="0" borderId="1" xfId="0" applyNumberFormat="1" applyFont="1" applyBorder="1"/>
    <xf numFmtId="165" fontId="7" fillId="2" borderId="1" xfId="0" applyNumberFormat="1" applyFont="1" applyFill="1" applyBorder="1"/>
    <xf numFmtId="0" fontId="15" fillId="2" borderId="1" xfId="0" applyFont="1" applyFill="1" applyBorder="1" applyAlignment="1">
      <alignment vertical="top" wrapText="1"/>
    </xf>
    <xf numFmtId="0" fontId="9" fillId="0" borderId="1" xfId="0" applyFont="1" applyBorder="1"/>
    <xf numFmtId="168" fontId="6" fillId="0" borderId="1" xfId="0" applyNumberFormat="1" applyFont="1" applyBorder="1"/>
    <xf numFmtId="167" fontId="6" fillId="0" borderId="1" xfId="0" applyNumberFormat="1" applyFont="1" applyBorder="1"/>
    <xf numFmtId="0" fontId="6" fillId="0" borderId="1" xfId="0" applyFont="1" applyBorder="1"/>
    <xf numFmtId="168" fontId="4" fillId="0" borderId="1" xfId="0" applyNumberFormat="1" applyFont="1" applyBorder="1"/>
  </cellXfs>
  <cellStyles count="1">
    <cellStyle name="Normal" xfId="0" builtinId="0"/>
  </cellStyles>
  <dxfs count="125"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7F7F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7F7F7"/>
      <rgbColor rgb="FF99CCFF"/>
      <rgbColor rgb="FFFF99CC"/>
      <rgbColor rgb="FFCC99FF"/>
      <rgbColor rgb="FFF8CBAD"/>
      <rgbColor rgb="FF2F75B5"/>
      <rgbColor rgb="FF33CCCC"/>
      <rgbColor rgb="FF99CC00"/>
      <rgbColor rgb="FFFFCC00"/>
      <rgbColor rgb="FFBF8F00"/>
      <rgbColor rgb="FFFF6600"/>
      <rgbColor rgb="FF595959"/>
      <rgbColor rgb="FFA6A6A6"/>
      <rgbColor rgb="FF003366"/>
      <rgbColor rgb="FF70AD47"/>
      <rgbColor rgb="FF003300"/>
      <rgbColor rgb="FF333300"/>
      <rgbColor rgb="FF993300"/>
      <rgbColor rgb="FF993366"/>
      <rgbColor rgb="FF333399"/>
      <rgbColor rgb="FF1F4E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Downloads/Silva_Annual_Plan_Template_v2.xlsx" TargetMode="External"/><Relationship Id="rId2" Type="http://schemas.openxmlformats.org/officeDocument/2006/relationships/hyperlink" Target="../../../../../../Downloads/Silva_Annual_Plan_Template_v2.xlsx" TargetMode="External"/><Relationship Id="rId1" Type="http://schemas.openxmlformats.org/officeDocument/2006/relationships/hyperlink" Target="../../../../../../Downloads/Silva_Annual_Plan_Template_v2.xlsx" TargetMode="External"/><Relationship Id="rId6" Type="http://schemas.openxmlformats.org/officeDocument/2006/relationships/hyperlink" Target="../../../../../../Downloads/Silva_Annual_Plan_Template_v2.xlsx" TargetMode="External"/><Relationship Id="rId5" Type="http://schemas.openxmlformats.org/officeDocument/2006/relationships/hyperlink" Target="../../../../../../Downloads/Silva_Annual_Plan_Template_v2.xlsx" TargetMode="External"/><Relationship Id="rId4" Type="http://schemas.openxmlformats.org/officeDocument/2006/relationships/hyperlink" Target="../../../../../../Downloads/Silva_Annual_Plan_Template_v2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../../Downloads/Silva_Annual_Plan_Template_v2.xlsx" TargetMode="External"/><Relationship Id="rId2" Type="http://schemas.openxmlformats.org/officeDocument/2006/relationships/hyperlink" Target="../../../../../../Downloads/Silva_Annual_Plan_Template_v2.xlsx" TargetMode="External"/><Relationship Id="rId1" Type="http://schemas.openxmlformats.org/officeDocument/2006/relationships/hyperlink" Target="../../../../../../Downloads/Silva_Annual_Plan_Template_v2.xlsx" TargetMode="External"/><Relationship Id="rId5" Type="http://schemas.openxmlformats.org/officeDocument/2006/relationships/hyperlink" Target="../../../../../../Downloads/Silva_Annual_Plan_Template_v2.xlsx" TargetMode="External"/><Relationship Id="rId4" Type="http://schemas.openxmlformats.org/officeDocument/2006/relationships/hyperlink" Target="../../../../../../Downloads/Silva_Annual_Plan_Template_v2.xls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  <pageSetUpPr fitToPage="1"/>
  </sheetPr>
  <dimension ref="B1:H62"/>
  <sheetViews>
    <sheetView showGridLines="0" topLeftCell="A50" zoomScaleNormal="100" workbookViewId="0">
      <selection activeCell="B36" sqref="B36:H62"/>
    </sheetView>
  </sheetViews>
  <sheetFormatPr defaultColWidth="8.6640625" defaultRowHeight="14.4"/>
  <cols>
    <col min="1" max="1" width="2" customWidth="1"/>
    <col min="2" max="2" width="26" customWidth="1"/>
    <col min="3" max="3" width="100" customWidth="1"/>
    <col min="4" max="4" width="16" customWidth="1"/>
    <col min="5" max="5" width="12" customWidth="1"/>
    <col min="6" max="6" width="40" customWidth="1"/>
    <col min="7" max="7" width="12" customWidth="1"/>
  </cols>
  <sheetData>
    <row r="1" spans="2:3" ht="17.399999999999999">
      <c r="B1" s="8" t="s">
        <v>0</v>
      </c>
    </row>
    <row r="2" spans="2:3">
      <c r="B2" s="9" t="s">
        <v>1</v>
      </c>
    </row>
    <row r="4" spans="2:3" ht="15.6">
      <c r="B4" s="10" t="s">
        <v>2</v>
      </c>
    </row>
    <row r="5" spans="2:3" ht="30" customHeight="1">
      <c r="B5" s="11" t="s">
        <v>3</v>
      </c>
      <c r="C5" s="12" t="s">
        <v>4</v>
      </c>
    </row>
    <row r="6" spans="2:3" ht="15.75" customHeight="1">
      <c r="B6" s="11" t="s">
        <v>5</v>
      </c>
      <c r="C6" s="12" t="s">
        <v>6</v>
      </c>
    </row>
    <row r="7" spans="2:3" ht="30" customHeight="1">
      <c r="B7" s="11" t="s">
        <v>7</v>
      </c>
      <c r="C7" s="12" t="s">
        <v>8</v>
      </c>
    </row>
    <row r="8" spans="2:3" ht="15.75" customHeight="1">
      <c r="B8" s="11" t="s">
        <v>9</v>
      </c>
      <c r="C8" s="12" t="s">
        <v>10</v>
      </c>
    </row>
    <row r="9" spans="2:3" ht="15.75" customHeight="1">
      <c r="B9" s="11" t="s">
        <v>11</v>
      </c>
      <c r="C9" s="12" t="s">
        <v>12</v>
      </c>
    </row>
    <row r="10" spans="2:3" ht="15.75" customHeight="1">
      <c r="B10" s="11" t="s">
        <v>13</v>
      </c>
      <c r="C10" s="12" t="s">
        <v>14</v>
      </c>
    </row>
    <row r="12" spans="2:3" ht="15.6">
      <c r="B12" s="10" t="s">
        <v>15</v>
      </c>
    </row>
    <row r="13" spans="2:3" ht="30" customHeight="1">
      <c r="B13" s="7" t="s">
        <v>16</v>
      </c>
      <c r="C13" s="7"/>
    </row>
    <row r="14" spans="2:3" ht="30" customHeight="1">
      <c r="B14" s="7" t="s">
        <v>17</v>
      </c>
      <c r="C14" s="7"/>
    </row>
    <row r="15" spans="2:3" ht="30" customHeight="1">
      <c r="B15" s="7" t="s">
        <v>18</v>
      </c>
      <c r="C15" s="7"/>
    </row>
    <row r="16" spans="2:3" ht="30" customHeight="1">
      <c r="B16" s="7" t="s">
        <v>19</v>
      </c>
      <c r="C16" s="7"/>
    </row>
    <row r="17" spans="2:3" ht="30" customHeight="1">
      <c r="B17" s="7" t="s">
        <v>20</v>
      </c>
      <c r="C17" s="7"/>
    </row>
    <row r="18" spans="2:3" ht="30" customHeight="1">
      <c r="B18" s="7" t="s">
        <v>21</v>
      </c>
      <c r="C18" s="7"/>
    </row>
    <row r="19" spans="2:3" ht="15.75" customHeight="1">
      <c r="B19" s="7" t="s">
        <v>22</v>
      </c>
      <c r="C19" s="7"/>
    </row>
    <row r="20" spans="2:3" ht="30" customHeight="1">
      <c r="B20" s="7" t="s">
        <v>23</v>
      </c>
      <c r="C20" s="7"/>
    </row>
    <row r="21" spans="2:3" ht="30" customHeight="1">
      <c r="B21" s="7" t="s">
        <v>24</v>
      </c>
      <c r="C21" s="7"/>
    </row>
    <row r="23" spans="2:3" ht="15.6">
      <c r="B23" s="10" t="s">
        <v>25</v>
      </c>
    </row>
    <row r="24" spans="2:3">
      <c r="B24" s="13" t="s">
        <v>26</v>
      </c>
      <c r="C24" s="12" t="s">
        <v>27</v>
      </c>
    </row>
    <row r="25" spans="2:3">
      <c r="B25" s="14" t="s">
        <v>28</v>
      </c>
      <c r="C25" s="12" t="s">
        <v>29</v>
      </c>
    </row>
    <row r="26" spans="2:3">
      <c r="B26" s="15" t="s">
        <v>30</v>
      </c>
      <c r="C26" s="12" t="s">
        <v>31</v>
      </c>
    </row>
    <row r="27" spans="2:3">
      <c r="B27" s="16" t="s">
        <v>32</v>
      </c>
      <c r="C27" s="12" t="s">
        <v>33</v>
      </c>
    </row>
    <row r="28" spans="2:3">
      <c r="B28" s="17" t="s">
        <v>34</v>
      </c>
      <c r="C28" s="12" t="s">
        <v>35</v>
      </c>
    </row>
    <row r="30" spans="2:3" ht="15.6">
      <c r="B30" s="10" t="s">
        <v>36</v>
      </c>
    </row>
    <row r="31" spans="2:3" ht="30" customHeight="1">
      <c r="B31" s="7" t="s">
        <v>37</v>
      </c>
      <c r="C31" s="7"/>
    </row>
    <row r="32" spans="2:3" ht="30" customHeight="1">
      <c r="B32" s="7" t="s">
        <v>38</v>
      </c>
      <c r="C32" s="7"/>
    </row>
    <row r="33" spans="2:8" ht="30" customHeight="1">
      <c r="B33" s="7" t="s">
        <v>39</v>
      </c>
      <c r="C33" s="7"/>
    </row>
    <row r="34" spans="2:8" ht="15.75" customHeight="1">
      <c r="B34" s="7" t="s">
        <v>40</v>
      </c>
      <c r="C34" s="7"/>
    </row>
    <row r="36" spans="2:8" ht="15.6">
      <c r="C36" s="10" t="s">
        <v>41</v>
      </c>
    </row>
    <row r="37" spans="2:8" ht="26.4">
      <c r="B37" s="18" t="s">
        <v>42</v>
      </c>
      <c r="C37" s="18" t="s">
        <v>43</v>
      </c>
      <c r="D37" s="18" t="s">
        <v>44</v>
      </c>
      <c r="E37" s="18" t="s">
        <v>45</v>
      </c>
      <c r="F37" s="18" t="s">
        <v>46</v>
      </c>
      <c r="G37" s="18" t="s">
        <v>47</v>
      </c>
      <c r="H37" s="18" t="s">
        <v>48</v>
      </c>
    </row>
    <row r="38" spans="2:8">
      <c r="B38" s="19">
        <v>1</v>
      </c>
      <c r="C38" s="20"/>
      <c r="D38" s="20"/>
      <c r="E38" s="20"/>
      <c r="F38" s="20"/>
      <c r="G38" s="20"/>
      <c r="H38" s="20"/>
    </row>
    <row r="39" spans="2:8">
      <c r="B39" s="19">
        <v>2</v>
      </c>
      <c r="C39" s="20"/>
      <c r="D39" s="20"/>
      <c r="E39" s="20"/>
      <c r="F39" s="20"/>
      <c r="G39" s="20"/>
      <c r="H39" s="20"/>
    </row>
    <row r="40" spans="2:8">
      <c r="B40" s="19">
        <v>3</v>
      </c>
      <c r="C40" s="20"/>
      <c r="D40" s="20"/>
      <c r="E40" s="20"/>
      <c r="F40" s="20"/>
      <c r="G40" s="20"/>
      <c r="H40" s="20"/>
    </row>
    <row r="41" spans="2:8">
      <c r="B41" s="19">
        <v>4</v>
      </c>
      <c r="C41" s="20"/>
      <c r="D41" s="20"/>
      <c r="E41" s="20"/>
      <c r="F41" s="20"/>
      <c r="G41" s="20"/>
      <c r="H41" s="20"/>
    </row>
    <row r="42" spans="2:8">
      <c r="B42" s="19">
        <v>5</v>
      </c>
      <c r="C42" s="20"/>
      <c r="D42" s="20"/>
      <c r="E42" s="20"/>
      <c r="F42" s="20"/>
      <c r="G42" s="20"/>
      <c r="H42" s="20"/>
    </row>
    <row r="43" spans="2:8">
      <c r="B43" s="19">
        <v>6</v>
      </c>
      <c r="C43" s="20"/>
      <c r="D43" s="20"/>
      <c r="E43" s="20"/>
      <c r="F43" s="20"/>
      <c r="G43" s="20"/>
      <c r="H43" s="20"/>
    </row>
    <row r="44" spans="2:8">
      <c r="B44" s="19">
        <v>7</v>
      </c>
      <c r="C44" s="20"/>
      <c r="D44" s="20"/>
      <c r="E44" s="20"/>
      <c r="F44" s="20"/>
      <c r="G44" s="20"/>
      <c r="H44" s="20"/>
    </row>
    <row r="45" spans="2:8">
      <c r="B45" s="19">
        <v>8</v>
      </c>
      <c r="C45" s="20"/>
      <c r="D45" s="20"/>
      <c r="E45" s="20"/>
      <c r="F45" s="20"/>
      <c r="G45" s="20"/>
      <c r="H45" s="20"/>
    </row>
    <row r="46" spans="2:8">
      <c r="B46" s="19">
        <v>9</v>
      </c>
      <c r="C46" s="20"/>
      <c r="D46" s="20"/>
      <c r="E46" s="20"/>
      <c r="F46" s="20"/>
      <c r="G46" s="20"/>
      <c r="H46" s="20"/>
    </row>
    <row r="47" spans="2:8">
      <c r="B47" s="19">
        <v>10</v>
      </c>
      <c r="C47" s="20"/>
      <c r="D47" s="20"/>
      <c r="E47" s="20"/>
      <c r="F47" s="20"/>
      <c r="G47" s="20"/>
      <c r="H47" s="20"/>
    </row>
    <row r="48" spans="2:8">
      <c r="B48" s="19">
        <v>11</v>
      </c>
      <c r="C48" s="20"/>
      <c r="D48" s="20"/>
      <c r="E48" s="20"/>
      <c r="F48" s="20"/>
      <c r="G48" s="20"/>
      <c r="H48" s="20"/>
    </row>
    <row r="49" spans="2:8">
      <c r="B49" s="19">
        <v>12</v>
      </c>
      <c r="C49" s="20"/>
      <c r="D49" s="20"/>
      <c r="E49" s="20"/>
      <c r="F49" s="20"/>
      <c r="G49" s="20"/>
      <c r="H49" s="20"/>
    </row>
    <row r="50" spans="2:8">
      <c r="B50" s="19">
        <v>13</v>
      </c>
      <c r="C50" s="20"/>
      <c r="D50" s="20"/>
      <c r="E50" s="20"/>
      <c r="F50" s="20"/>
      <c r="G50" s="20"/>
      <c r="H50" s="20"/>
    </row>
    <row r="51" spans="2:8">
      <c r="B51" s="19">
        <v>14</v>
      </c>
      <c r="C51" s="20"/>
      <c r="D51" s="20"/>
      <c r="E51" s="20"/>
      <c r="F51" s="20"/>
      <c r="G51" s="20"/>
      <c r="H51" s="20"/>
    </row>
    <row r="52" spans="2:8">
      <c r="B52" s="19">
        <v>15</v>
      </c>
      <c r="C52" s="20"/>
      <c r="D52" s="20"/>
      <c r="E52" s="20"/>
      <c r="F52" s="20"/>
      <c r="G52" s="20"/>
      <c r="H52" s="20"/>
    </row>
    <row r="53" spans="2:8">
      <c r="B53" s="19">
        <v>16</v>
      </c>
      <c r="C53" s="20"/>
      <c r="D53" s="20"/>
      <c r="E53" s="20"/>
      <c r="F53" s="20"/>
      <c r="G53" s="20"/>
      <c r="H53" s="20"/>
    </row>
    <row r="54" spans="2:8">
      <c r="B54" s="19">
        <v>17</v>
      </c>
      <c r="C54" s="20"/>
      <c r="D54" s="20"/>
      <c r="E54" s="20"/>
      <c r="F54" s="20"/>
      <c r="G54" s="20"/>
      <c r="H54" s="20"/>
    </row>
    <row r="55" spans="2:8">
      <c r="B55" s="19">
        <v>18</v>
      </c>
      <c r="C55" s="20"/>
      <c r="D55" s="20"/>
      <c r="E55" s="20"/>
      <c r="F55" s="20"/>
      <c r="G55" s="20"/>
      <c r="H55" s="20"/>
    </row>
    <row r="56" spans="2:8">
      <c r="B56" s="19">
        <v>19</v>
      </c>
      <c r="C56" s="20"/>
      <c r="D56" s="20"/>
      <c r="E56" s="20"/>
      <c r="F56" s="20"/>
      <c r="G56" s="20"/>
      <c r="H56" s="20"/>
    </row>
    <row r="57" spans="2:8">
      <c r="B57" s="19">
        <v>20</v>
      </c>
      <c r="C57" s="20"/>
      <c r="D57" s="20"/>
      <c r="E57" s="20"/>
      <c r="F57" s="20"/>
      <c r="G57" s="20"/>
      <c r="H57" s="20"/>
    </row>
    <row r="58" spans="2:8">
      <c r="B58" s="19">
        <v>21</v>
      </c>
      <c r="C58" s="20"/>
      <c r="D58" s="20"/>
      <c r="E58" s="20"/>
      <c r="F58" s="20"/>
      <c r="G58" s="20"/>
      <c r="H58" s="20"/>
    </row>
    <row r="59" spans="2:8">
      <c r="B59" s="19">
        <v>22</v>
      </c>
      <c r="C59" s="20"/>
      <c r="D59" s="20"/>
      <c r="E59" s="20"/>
      <c r="F59" s="20"/>
      <c r="G59" s="20"/>
      <c r="H59" s="20"/>
    </row>
    <row r="60" spans="2:8">
      <c r="B60" s="19">
        <v>23</v>
      </c>
      <c r="C60" s="20"/>
      <c r="D60" s="20"/>
      <c r="E60" s="20"/>
      <c r="F60" s="20"/>
      <c r="G60" s="20"/>
      <c r="H60" s="20"/>
    </row>
    <row r="61" spans="2:8">
      <c r="B61" s="19">
        <v>24</v>
      </c>
      <c r="C61" s="20"/>
      <c r="D61" s="20"/>
      <c r="E61" s="20"/>
      <c r="F61" s="20"/>
      <c r="G61" s="20"/>
      <c r="H61" s="20"/>
    </row>
    <row r="62" spans="2:8">
      <c r="B62" s="19">
        <v>25</v>
      </c>
      <c r="C62" s="20"/>
      <c r="D62" s="20"/>
      <c r="E62" s="20"/>
      <c r="F62" s="20"/>
      <c r="G62" s="20"/>
      <c r="H62" s="20"/>
    </row>
  </sheetData>
  <mergeCells count="13">
    <mergeCell ref="B32:C32"/>
    <mergeCell ref="B33:C33"/>
    <mergeCell ref="B34:C34"/>
    <mergeCell ref="B18:C18"/>
    <mergeCell ref="B19:C19"/>
    <mergeCell ref="B20:C20"/>
    <mergeCell ref="B21:C21"/>
    <mergeCell ref="B31:C31"/>
    <mergeCell ref="B13:C13"/>
    <mergeCell ref="B14:C14"/>
    <mergeCell ref="B15:C15"/>
    <mergeCell ref="B16:C16"/>
    <mergeCell ref="B17:C17"/>
  </mergeCells>
  <hyperlinks>
    <hyperlink ref="B5" r:id="rId1" location="'Summary'!A1" xr:uid="{00000000-0004-0000-0000-000000000000}"/>
    <hyperlink ref="B6" r:id="rId2" location="'Settings'!A1" xr:uid="{00000000-0004-0000-0000-000001000000}"/>
    <hyperlink ref="B7" r:id="rId3" location="'Nursery'!A1" xr:uid="{00000000-0004-0000-0000-000002000000}"/>
    <hyperlink ref="B8" r:id="rId4" location="'Monthly'!A1" xr:uid="{00000000-0004-0000-0000-000003000000}"/>
    <hyperlink ref="B9" r:id="rId5" location="'Staff%20&amp;%20Overheads'!A1" xr:uid="{00000000-0004-0000-0000-000004000000}"/>
    <hyperlink ref="B10" r:id="rId6" location="'Benchmark%20Data'!A1" xr:uid="{00000000-0004-0000-0000-000005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3D"/>
    <pageSetUpPr fitToPage="1"/>
  </sheetPr>
  <dimension ref="B1:M30"/>
  <sheetViews>
    <sheetView showGridLines="0" zoomScaleNormal="100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B36" sqref="B36"/>
    </sheetView>
  </sheetViews>
  <sheetFormatPr defaultColWidth="8.6640625" defaultRowHeight="14.4"/>
  <cols>
    <col min="1" max="1" width="2" customWidth="1"/>
    <col min="2" max="2" width="22" customWidth="1"/>
    <col min="3" max="3" width="30" customWidth="1"/>
    <col min="4" max="4" width="36" customWidth="1"/>
    <col min="5" max="5" width="18" customWidth="1"/>
    <col min="6" max="6" width="13" customWidth="1"/>
    <col min="7" max="7" width="17" customWidth="1"/>
    <col min="8" max="8" width="13" customWidth="1"/>
    <col min="9" max="13" width="15" customWidth="1"/>
  </cols>
  <sheetData>
    <row r="1" spans="2:13" ht="17.399999999999999">
      <c r="B1" s="8" t="s">
        <v>49</v>
      </c>
    </row>
    <row r="2" spans="2:13">
      <c r="B2" s="9" t="str">
        <f>"Farm: "&amp;Settings!$C$6&amp;"     |     Plan year: "&amp;Settings!$C$7</f>
        <v>Farm: Chaka Buna Estate (Silva Forest Coffee)     |     Plan year: 2019 EFY (2026/27) – confirm</v>
      </c>
    </row>
    <row r="3" spans="2:13">
      <c r="B3" s="21" t="s">
        <v>50</v>
      </c>
    </row>
    <row r="5" spans="2:13">
      <c r="B5" s="6" t="s">
        <v>51</v>
      </c>
      <c r="C5" s="6"/>
      <c r="D5" s="6"/>
      <c r="E5" s="6"/>
      <c r="F5" s="6"/>
      <c r="G5" s="5" t="s">
        <v>52</v>
      </c>
      <c r="H5" s="5"/>
      <c r="I5" s="5"/>
      <c r="J5" s="4" t="s">
        <v>53</v>
      </c>
      <c r="K5" s="4"/>
      <c r="L5" s="4"/>
      <c r="M5" s="4"/>
    </row>
    <row r="6" spans="2:13" ht="30" customHeight="1">
      <c r="B6" s="18" t="s">
        <v>54</v>
      </c>
      <c r="C6" s="18" t="s">
        <v>55</v>
      </c>
      <c r="D6" s="18" t="s">
        <v>56</v>
      </c>
      <c r="E6" s="18" t="s">
        <v>57</v>
      </c>
      <c r="F6" s="18" t="s">
        <v>58</v>
      </c>
      <c r="G6" s="23" t="s">
        <v>59</v>
      </c>
      <c r="H6" s="23" t="s">
        <v>60</v>
      </c>
      <c r="I6" s="23" t="s">
        <v>61</v>
      </c>
      <c r="J6" s="24" t="s">
        <v>62</v>
      </c>
      <c r="K6" s="24" t="s">
        <v>63</v>
      </c>
      <c r="L6" s="24" t="s">
        <v>64</v>
      </c>
      <c r="M6" s="24" t="s">
        <v>65</v>
      </c>
    </row>
    <row r="7" spans="2:13">
      <c r="B7" s="25" t="s">
        <v>7</v>
      </c>
      <c r="C7" s="26" t="str">
        <f>Nursery!D8</f>
        <v>የሚተከል የቦታ ስፋት (ሄ/ር)</v>
      </c>
      <c r="D7" s="27" t="str">
        <f>Nursery!C8</f>
        <v>Plantation area</v>
      </c>
      <c r="E7" s="28" t="str">
        <f>Nursery!E8</f>
        <v>ha</v>
      </c>
      <c r="F7" s="29">
        <f>Nursery!F8</f>
        <v>0</v>
      </c>
      <c r="G7" s="30" t="str">
        <f>Nursery!D4</f>
        <v>Industry average</v>
      </c>
      <c r="H7" s="31">
        <f>Nursery!N12</f>
        <v>0</v>
      </c>
      <c r="I7" s="31">
        <f>Nursery!O12</f>
        <v>0</v>
      </c>
      <c r="J7" s="32">
        <f>Nursery!O8</f>
        <v>0</v>
      </c>
      <c r="K7" s="32">
        <f>Nursery!O9</f>
        <v>0</v>
      </c>
      <c r="L7" s="32">
        <f>Nursery!O10</f>
        <v>0</v>
      </c>
      <c r="M7" s="32">
        <f>Nursery!O11</f>
        <v>0</v>
      </c>
    </row>
    <row r="8" spans="2:13">
      <c r="B8" s="11"/>
      <c r="C8" s="33" t="str">
        <f>Nursery!D9</f>
        <v>የሚዘጋጅ ችግኝ ብዛት (ቁጥር)</v>
      </c>
      <c r="D8" s="15" t="str">
        <f>Nursery!C9</f>
        <v>Total seedlings</v>
      </c>
      <c r="E8" s="34" t="str">
        <f>Nursery!E9</f>
        <v>no.</v>
      </c>
      <c r="F8" s="35">
        <f>Nursery!F9</f>
        <v>0</v>
      </c>
      <c r="G8" s="36"/>
      <c r="H8" s="36"/>
      <c r="I8" s="36"/>
      <c r="J8" s="17"/>
      <c r="K8" s="17"/>
      <c r="L8" s="17"/>
      <c r="M8" s="17"/>
    </row>
    <row r="9" spans="2:13">
      <c r="B9" s="11"/>
      <c r="C9" s="33" t="str">
        <f>Nursery!D10</f>
        <v>የችግኝ ጣቢያ ስፋት</v>
      </c>
      <c r="D9" s="15" t="str">
        <f>Nursery!C10</f>
        <v>Nursery site area</v>
      </c>
      <c r="E9" s="34" t="str">
        <f>Nursery!E10</f>
        <v>ha</v>
      </c>
      <c r="F9" s="35">
        <f>Nursery!F10</f>
        <v>0</v>
      </c>
      <c r="G9" s="36"/>
      <c r="H9" s="36"/>
      <c r="I9" s="36"/>
      <c r="J9" s="17"/>
      <c r="K9" s="17"/>
      <c r="L9" s="17"/>
      <c r="M9" s="17"/>
    </row>
    <row r="10" spans="2:13">
      <c r="B10" s="11"/>
      <c r="C10" s="33" t="str">
        <f>Nursery!D11</f>
        <v>የዘር መደብ</v>
      </c>
      <c r="D10" s="15" t="str">
        <f>Nursery!C11</f>
        <v>Germination seedbeds</v>
      </c>
      <c r="E10" s="34" t="str">
        <f>Nursery!E11</f>
        <v>bed</v>
      </c>
      <c r="F10" s="35">
        <f>Nursery!F11</f>
        <v>0</v>
      </c>
      <c r="G10" s="36"/>
      <c r="H10" s="36"/>
      <c r="I10" s="36"/>
      <c r="J10" s="17"/>
      <c r="K10" s="17"/>
      <c r="L10" s="17"/>
      <c r="M10" s="17"/>
    </row>
    <row r="11" spans="2:13">
      <c r="B11" s="11"/>
      <c r="C11" s="33" t="str">
        <f>Nursery!D12</f>
        <v>የፖሊቲዩብ መደብ</v>
      </c>
      <c r="D11" s="15" t="str">
        <f>Nursery!C12</f>
        <v>Polytube beds</v>
      </c>
      <c r="E11" s="34" t="str">
        <f>Nursery!E12</f>
        <v>bed</v>
      </c>
      <c r="F11" s="35">
        <f>Nursery!F12</f>
        <v>0</v>
      </c>
      <c r="G11" s="36"/>
      <c r="H11" s="36"/>
      <c r="I11" s="36"/>
      <c r="J11" s="17"/>
      <c r="K11" s="17"/>
      <c r="L11" s="17"/>
      <c r="M11" s="17"/>
    </row>
    <row r="12" spans="2:13">
      <c r="B12" s="25" t="s">
        <v>66</v>
      </c>
      <c r="C12" s="26" t="str">
        <f>'Young Coffee'!C7</f>
        <v>የቡና እግር ብዛት (ቁጥር)</v>
      </c>
      <c r="D12" s="27" t="str">
        <f>'Young Coffee'!B7</f>
        <v>Total trees (net area)</v>
      </c>
      <c r="E12" s="28" t="str">
        <f>'Young Coffee'!D7</f>
        <v>no.</v>
      </c>
      <c r="F12" s="29">
        <f>'Young Coffee'!E7</f>
        <v>0</v>
      </c>
      <c r="G12" s="30" t="str">
        <f>'Young Coffee'!C3</f>
        <v>Industry average</v>
      </c>
      <c r="H12" s="31">
        <f>'Young Coffee'!M11</f>
        <v>0</v>
      </c>
      <c r="I12" s="31">
        <f>'Young Coffee'!N11</f>
        <v>0</v>
      </c>
      <c r="J12" s="32">
        <f>'Young Coffee'!N7</f>
        <v>0</v>
      </c>
      <c r="K12" s="32">
        <f>'Young Coffee'!N8</f>
        <v>0</v>
      </c>
      <c r="L12" s="32">
        <f>'Young Coffee'!N9</f>
        <v>0</v>
      </c>
      <c r="M12" s="32">
        <f>'Young Coffee'!N10</f>
        <v>0</v>
      </c>
    </row>
    <row r="13" spans="2:13">
      <c r="B13" s="11"/>
      <c r="C13" s="33" t="str">
        <f>'Young Coffee'!C8</f>
        <v>ጠቅላላ የማሳ ስፋት (ሄ/ር)</v>
      </c>
      <c r="D13" s="15" t="str">
        <f>'Young Coffee'!B8</f>
        <v>Gross area</v>
      </c>
      <c r="E13" s="34" t="str">
        <f>'Young Coffee'!D8</f>
        <v>ha</v>
      </c>
      <c r="F13" s="35">
        <f>'Young Coffee'!E8</f>
        <v>0</v>
      </c>
      <c r="G13" s="36"/>
      <c r="H13" s="36"/>
      <c r="I13" s="36"/>
      <c r="J13" s="17"/>
      <c r="K13" s="17"/>
      <c r="L13" s="17"/>
      <c r="M13" s="17"/>
    </row>
    <row r="14" spans="2:13">
      <c r="B14" s="11"/>
      <c r="C14" s="33" t="str">
        <f>'Young Coffee'!C9</f>
        <v>የቡና እግር አማካይ (ሄ/ር)</v>
      </c>
      <c r="D14" s="15" t="str">
        <f>'Young Coffee'!B9</f>
        <v>Average trees per ha</v>
      </c>
      <c r="E14" s="34" t="str">
        <f>'Young Coffee'!D9</f>
        <v>trees/ha</v>
      </c>
      <c r="F14" s="35">
        <f>'Young Coffee'!E9</f>
        <v>0</v>
      </c>
      <c r="G14" s="36"/>
      <c r="H14" s="36"/>
      <c r="I14" s="36"/>
      <c r="J14" s="17"/>
      <c r="K14" s="17"/>
      <c r="L14" s="17"/>
      <c r="M14" s="17"/>
    </row>
    <row r="15" spans="2:13">
      <c r="B15" s="25" t="s">
        <v>67</v>
      </c>
      <c r="C15" s="26" t="str">
        <f>'Matured Coffee'!C7</f>
        <v>ጠቅላላ የመሬት (ሄ/ር)</v>
      </c>
      <c r="D15" s="27" t="str">
        <f>'Matured Coffee'!B7</f>
        <v>Total coffee area</v>
      </c>
      <c r="E15" s="28" t="str">
        <f>'Matured Coffee'!D7</f>
        <v>ha</v>
      </c>
      <c r="F15" s="29">
        <f>'Matured Coffee'!E7</f>
        <v>0</v>
      </c>
      <c r="G15" s="30" t="str">
        <f>'Matured Coffee'!C3</f>
        <v>Industry average</v>
      </c>
      <c r="H15" s="31">
        <f>'Matured Coffee'!M11</f>
        <v>0</v>
      </c>
      <c r="I15" s="31">
        <f>'Matured Coffee'!N11</f>
        <v>0</v>
      </c>
      <c r="J15" s="32">
        <f>'Matured Coffee'!N7</f>
        <v>0</v>
      </c>
      <c r="K15" s="32">
        <f>'Matured Coffee'!N8</f>
        <v>0</v>
      </c>
      <c r="L15" s="32">
        <f>'Matured Coffee'!N9</f>
        <v>0</v>
      </c>
      <c r="M15" s="32">
        <f>'Matured Coffee'!N10</f>
        <v>0</v>
      </c>
    </row>
    <row r="16" spans="2:13">
      <c r="B16" s="11"/>
      <c r="C16" s="33" t="str">
        <f>'Matured Coffee'!C8</f>
        <v>እናት ቡና እግር ብዛት (ቁጥር)</v>
      </c>
      <c r="D16" s="15" t="str">
        <f>'Matured Coffee'!B8</f>
        <v>Total mature trees (net area)</v>
      </c>
      <c r="E16" s="34" t="str">
        <f>'Matured Coffee'!D8</f>
        <v>no.</v>
      </c>
      <c r="F16" s="35">
        <f>'Matured Coffee'!E8</f>
        <v>0</v>
      </c>
      <c r="G16" s="36"/>
      <c r="H16" s="36"/>
      <c r="I16" s="36"/>
      <c r="J16" s="17"/>
      <c r="K16" s="17"/>
      <c r="L16" s="17"/>
      <c r="M16" s="17"/>
    </row>
    <row r="17" spans="2:13">
      <c r="B17" s="11"/>
      <c r="C17" s="33" t="str">
        <f>'Matured Coffee'!C9</f>
        <v>የቡና እግር አማካይ (ሄ/ር)</v>
      </c>
      <c r="D17" s="15" t="str">
        <f>'Matured Coffee'!B9</f>
        <v>Average trees per ha</v>
      </c>
      <c r="E17" s="34" t="str">
        <f>'Matured Coffee'!D9</f>
        <v>trees/ha</v>
      </c>
      <c r="F17" s="35">
        <f>'Matured Coffee'!E9</f>
        <v>0</v>
      </c>
      <c r="G17" s="36"/>
      <c r="H17" s="36"/>
      <c r="I17" s="36"/>
      <c r="J17" s="17"/>
      <c r="K17" s="17"/>
      <c r="L17" s="17"/>
      <c r="M17" s="17"/>
    </row>
    <row r="18" spans="2:13">
      <c r="B18" s="11"/>
      <c r="C18" s="33" t="str">
        <f>'Matured Coffee'!C10</f>
        <v>የሚጎነደል ቡና</v>
      </c>
      <c r="D18" s="15" t="str">
        <f>'Matured Coffee'!B10</f>
        <v>Trees to stump</v>
      </c>
      <c r="E18" s="34" t="str">
        <f>'Matured Coffee'!D10</f>
        <v>no.</v>
      </c>
      <c r="F18" s="35">
        <f>'Matured Coffee'!E10</f>
        <v>0</v>
      </c>
      <c r="G18" s="36"/>
      <c r="H18" s="36"/>
      <c r="I18" s="36"/>
      <c r="J18" s="17"/>
      <c r="K18" s="17"/>
      <c r="L18" s="17"/>
      <c r="M18" s="17"/>
    </row>
    <row r="19" spans="2:13">
      <c r="B19" s="25" t="s">
        <v>68</v>
      </c>
      <c r="C19" s="26" t="str">
        <f>Infilling!C7</f>
        <v>ጠቅላላ የመሬት (ሄ/ር)</v>
      </c>
      <c r="D19" s="27" t="str">
        <f>Infilling!B7</f>
        <v>Total coffee area</v>
      </c>
      <c r="E19" s="28" t="str">
        <f>Infilling!D7</f>
        <v>ha</v>
      </c>
      <c r="F19" s="29">
        <f>Infilling!E7</f>
        <v>0</v>
      </c>
      <c r="G19" s="30" t="str">
        <f>Infilling!C3</f>
        <v>Industry average</v>
      </c>
      <c r="H19" s="31">
        <f>Infilling!M11</f>
        <v>0</v>
      </c>
      <c r="I19" s="31">
        <f>Infilling!N11</f>
        <v>0</v>
      </c>
      <c r="J19" s="32">
        <f>Infilling!N7</f>
        <v>0</v>
      </c>
      <c r="K19" s="32">
        <f>Infilling!N8</f>
        <v>0</v>
      </c>
      <c r="L19" s="32">
        <f>Infilling!N9</f>
        <v>0</v>
      </c>
      <c r="M19" s="32">
        <f>Infilling!N10</f>
        <v>0</v>
      </c>
    </row>
    <row r="20" spans="2:13">
      <c r="B20" s="11"/>
      <c r="C20" s="33" t="str">
        <f>Infilling!C8</f>
        <v>ሞተ ከዳ ቁጥር</v>
      </c>
      <c r="D20" s="15" t="str">
        <f>Infilling!B8</f>
        <v>Trees to infill</v>
      </c>
      <c r="E20" s="34" t="str">
        <f>Infilling!D8</f>
        <v>no.</v>
      </c>
      <c r="F20" s="35">
        <f>Infilling!E8</f>
        <v>0</v>
      </c>
      <c r="G20" s="36"/>
      <c r="H20" s="36"/>
      <c r="I20" s="36"/>
      <c r="J20" s="17"/>
      <c r="K20" s="17"/>
      <c r="L20" s="17"/>
      <c r="M20" s="17"/>
    </row>
    <row r="21" spans="2:13">
      <c r="B21" s="11"/>
      <c r="C21" s="33" t="str">
        <f>Infilling!C9</f>
        <v>የቡና እግር አማካይ (ሄ/ር)</v>
      </c>
      <c r="D21" s="15" t="str">
        <f>Infilling!B9</f>
        <v>Average trees per ha (trees to infill ÷ area)</v>
      </c>
      <c r="E21" s="34" t="str">
        <f>Infilling!D9</f>
        <v>trees/ha</v>
      </c>
      <c r="F21" s="35">
        <f>Infilling!E9</f>
        <v>0</v>
      </c>
      <c r="G21" s="36"/>
      <c r="H21" s="36"/>
      <c r="I21" s="36"/>
      <c r="J21" s="17"/>
      <c r="K21" s="17"/>
      <c r="L21" s="17"/>
      <c r="M21" s="17"/>
    </row>
    <row r="22" spans="2:13">
      <c r="B22" s="25" t="s">
        <v>69</v>
      </c>
      <c r="C22" s="26" t="str">
        <f>Harvesting!C7</f>
        <v>ምርታማ የቡና እግር ቁጥር</v>
      </c>
      <c r="D22" s="27" t="str">
        <f>Harvesting!B7</f>
        <v>Productive trees</v>
      </c>
      <c r="E22" s="28" t="str">
        <f>Harvesting!D7</f>
        <v>no.</v>
      </c>
      <c r="F22" s="29">
        <f>Harvesting!E7</f>
        <v>0</v>
      </c>
      <c r="G22" s="30" t="str">
        <f>Harvesting!C3</f>
        <v>Industry average</v>
      </c>
      <c r="H22" s="31">
        <f>Harvesting!M11</f>
        <v>0</v>
      </c>
      <c r="I22" s="31">
        <f>Harvesting!N11</f>
        <v>0</v>
      </c>
      <c r="J22" s="32">
        <f>Harvesting!N7</f>
        <v>0</v>
      </c>
      <c r="K22" s="32">
        <f>Harvesting!N8</f>
        <v>0</v>
      </c>
      <c r="L22" s="32">
        <f>Harvesting!N9</f>
        <v>0</v>
      </c>
      <c r="M22" s="32">
        <f>Harvesting!N10</f>
        <v>0</v>
      </c>
    </row>
    <row r="23" spans="2:13">
      <c r="B23" s="11"/>
      <c r="C23" s="33" t="str">
        <f>Harvesting!C8</f>
        <v>ጠቅላላ የቦታ ስፋት (ሄ/ር)</v>
      </c>
      <c r="D23" s="15" t="str">
        <f>Harvesting!B8</f>
        <v>Gross plantation area</v>
      </c>
      <c r="E23" s="34" t="str">
        <f>Harvesting!D8</f>
        <v>ha</v>
      </c>
      <c r="F23" s="35">
        <f>Harvesting!E8</f>
        <v>0</v>
      </c>
      <c r="G23" s="36"/>
      <c r="H23" s="36"/>
      <c r="I23" s="36"/>
      <c r="J23" s="17"/>
      <c r="K23" s="17"/>
      <c r="L23" s="17"/>
      <c r="M23" s="17"/>
    </row>
    <row r="24" spans="2:13">
      <c r="B24" s="11"/>
      <c r="C24" s="33" t="str">
        <f>Harvesting!C9</f>
        <v>ምርታማነት አማካይ (ኩ/ል/ሄ/ር)</v>
      </c>
      <c r="D24" s="15" t="str">
        <f>Harvesting!B9</f>
        <v>Average productivity</v>
      </c>
      <c r="E24" s="34" t="str">
        <f>Harvesting!D9</f>
        <v>qt clean coffee/ha</v>
      </c>
      <c r="F24" s="35">
        <f>Harvesting!E9</f>
        <v>0</v>
      </c>
      <c r="G24" s="36"/>
      <c r="H24" s="36"/>
      <c r="I24" s="36"/>
      <c r="J24" s="17"/>
      <c r="K24" s="17"/>
      <c r="L24" s="17"/>
      <c r="M24" s="17"/>
    </row>
    <row r="25" spans="2:13">
      <c r="B25" s="11"/>
      <c r="C25" s="33" t="str">
        <f>Harvesting!C10</f>
        <v>አጠቃላይ የሚመረት ንፁህ ቡና (ኩ/ል)</v>
      </c>
      <c r="D25" s="15" t="str">
        <f>Harvesting!B10</f>
        <v>Total clean coffee production</v>
      </c>
      <c r="E25" s="34" t="str">
        <f>Harvesting!D10</f>
        <v>qt</v>
      </c>
      <c r="F25" s="35">
        <f>Harvesting!E10</f>
        <v>0</v>
      </c>
      <c r="G25" s="36"/>
      <c r="H25" s="36"/>
      <c r="I25" s="36"/>
      <c r="J25" s="17"/>
      <c r="K25" s="17"/>
      <c r="L25" s="17"/>
      <c r="M25" s="17"/>
    </row>
    <row r="26" spans="2:13">
      <c r="B26" s="11"/>
      <c r="C26" s="33" t="str">
        <f>Harvesting!C11</f>
        <v>ቀይ ቡና</v>
      </c>
      <c r="D26" s="15" t="str">
        <f>Harvesting!B11</f>
        <v>Red cherry to pick</v>
      </c>
      <c r="E26" s="34" t="str">
        <f>Harvesting!D11</f>
        <v>kg</v>
      </c>
      <c r="F26" s="35">
        <f>Harvesting!E11</f>
        <v>0</v>
      </c>
      <c r="G26" s="36"/>
      <c r="H26" s="36"/>
      <c r="I26" s="36"/>
      <c r="J26" s="17"/>
      <c r="K26" s="17"/>
      <c r="L26" s="17"/>
      <c r="M26" s="17"/>
    </row>
    <row r="27" spans="2:13">
      <c r="B27" s="11"/>
      <c r="C27" s="33" t="str">
        <f>Harvesting!C12</f>
        <v>የቡና ማስጫ አልጋ</v>
      </c>
      <c r="D27" s="15" t="str">
        <f>Harvesting!B12</f>
        <v>Drying beds</v>
      </c>
      <c r="E27" s="34" t="str">
        <f>Harvesting!D12</f>
        <v>bed</v>
      </c>
      <c r="F27" s="35">
        <f>Harvesting!E12</f>
        <v>0</v>
      </c>
      <c r="G27" s="36"/>
      <c r="H27" s="36"/>
      <c r="I27" s="36"/>
      <c r="J27" s="17"/>
      <c r="K27" s="17"/>
      <c r="L27" s="17"/>
      <c r="M27" s="17"/>
    </row>
    <row r="28" spans="2:13">
      <c r="B28" s="11"/>
      <c r="C28" s="33" t="str">
        <f>Harvesting!C13</f>
        <v>ደረቅ ቡና ኬሻ</v>
      </c>
      <c r="D28" s="15" t="str">
        <f>Harvesting!B13</f>
        <v>Dry cherry bags</v>
      </c>
      <c r="E28" s="34" t="str">
        <f>Harvesting!D13</f>
        <v>bag</v>
      </c>
      <c r="F28" s="35">
        <f>Harvesting!E13</f>
        <v>0</v>
      </c>
      <c r="G28" s="36"/>
      <c r="H28" s="36"/>
      <c r="I28" s="36"/>
      <c r="J28" s="17"/>
      <c r="K28" s="17"/>
      <c r="L28" s="17"/>
      <c r="M28" s="17"/>
    </row>
    <row r="29" spans="2:13">
      <c r="B29" s="37" t="s">
        <v>70</v>
      </c>
      <c r="C29" s="38"/>
      <c r="D29" s="38"/>
      <c r="E29" s="38"/>
      <c r="F29" s="38"/>
      <c r="G29" s="38"/>
      <c r="H29" s="39">
        <f t="shared" ref="H29:M29" si="0">H7+H12+H15+H19+H22</f>
        <v>0</v>
      </c>
      <c r="I29" s="39">
        <f t="shared" si="0"/>
        <v>0</v>
      </c>
      <c r="J29" s="39">
        <f t="shared" si="0"/>
        <v>0</v>
      </c>
      <c r="K29" s="39">
        <f t="shared" si="0"/>
        <v>0</v>
      </c>
      <c r="L29" s="39">
        <f t="shared" si="0"/>
        <v>0</v>
      </c>
      <c r="M29" s="39">
        <f t="shared" si="0"/>
        <v>0</v>
      </c>
    </row>
    <row r="30" spans="2:13">
      <c r="B30" s="40" t="str">
        <f>IF(ABS(I29-Monthly!B11)&gt;0.5,"Check: Summary total differs from Monthly total","")</f>
        <v/>
      </c>
    </row>
  </sheetData>
  <mergeCells count="3">
    <mergeCell ref="B5:F5"/>
    <mergeCell ref="G5:I5"/>
    <mergeCell ref="J5:M5"/>
  </mergeCells>
  <hyperlinks>
    <hyperlink ref="B7" r:id="rId1" location="'Nursery'!A1" xr:uid="{00000000-0004-0000-0100-000000000000}"/>
    <hyperlink ref="B12" r:id="rId2" location="'Young%20Coffee'!A1" xr:uid="{00000000-0004-0000-0100-000001000000}"/>
    <hyperlink ref="B15" r:id="rId3" location="'Matured%20Coffee'!A1" xr:uid="{00000000-0004-0000-0100-000002000000}"/>
    <hyperlink ref="B19" r:id="rId4" location="'Infilling'!A1" xr:uid="{00000000-0004-0000-0100-000003000000}"/>
    <hyperlink ref="B22" r:id="rId5" location="'Harvesting'!A1" xr:uid="{00000000-0004-0000-0100-000004000000}"/>
  </hyperlink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F8F00"/>
    <pageSetUpPr fitToPage="1"/>
  </sheetPr>
  <dimension ref="B2:E13"/>
  <sheetViews>
    <sheetView showGridLines="0" zoomScaleNormal="100" workbookViewId="0">
      <selection activeCell="B15" sqref="B15"/>
    </sheetView>
  </sheetViews>
  <sheetFormatPr defaultColWidth="8.6640625" defaultRowHeight="14.4"/>
  <cols>
    <col min="1" max="1" width="3" customWidth="1"/>
    <col min="2" max="2" width="38" customWidth="1"/>
    <col min="3" max="3" width="22" customWidth="1"/>
    <col min="4" max="4" width="20" customWidth="1"/>
    <col min="5" max="5" width="90" customWidth="1"/>
  </cols>
  <sheetData>
    <row r="2" spans="2:5" ht="17.399999999999999">
      <c r="B2" s="8" t="s">
        <v>5</v>
      </c>
    </row>
    <row r="3" spans="2:5">
      <c r="B3" s="9" t="s">
        <v>71</v>
      </c>
    </row>
    <row r="5" spans="2:5">
      <c r="B5" s="18" t="s">
        <v>72</v>
      </c>
      <c r="C5" s="18" t="s">
        <v>73</v>
      </c>
      <c r="D5" s="18" t="s">
        <v>57</v>
      </c>
      <c r="E5" s="18" t="s">
        <v>74</v>
      </c>
    </row>
    <row r="6" spans="2:5">
      <c r="B6" s="17" t="s">
        <v>75</v>
      </c>
      <c r="C6" s="13" t="s">
        <v>76</v>
      </c>
      <c r="D6" s="41" t="s">
        <v>77</v>
      </c>
      <c r="E6" s="42" t="s">
        <v>78</v>
      </c>
    </row>
    <row r="7" spans="2:5">
      <c r="B7" s="17" t="s">
        <v>79</v>
      </c>
      <c r="C7" s="13" t="s">
        <v>80</v>
      </c>
      <c r="D7" s="41" t="s">
        <v>77</v>
      </c>
      <c r="E7" s="42" t="s">
        <v>81</v>
      </c>
    </row>
    <row r="8" spans="2:5">
      <c r="B8" s="17" t="s">
        <v>82</v>
      </c>
      <c r="C8" s="43">
        <v>0.25</v>
      </c>
      <c r="D8" s="41" t="s">
        <v>83</v>
      </c>
      <c r="E8" s="42" t="s">
        <v>84</v>
      </c>
    </row>
    <row r="9" spans="2:5">
      <c r="B9" s="17" t="s">
        <v>85</v>
      </c>
      <c r="C9" s="43">
        <v>0.5</v>
      </c>
      <c r="D9" s="41" t="s">
        <v>83</v>
      </c>
      <c r="E9" s="42" t="s">
        <v>86</v>
      </c>
    </row>
    <row r="10" spans="2:5">
      <c r="B10" s="17" t="s">
        <v>87</v>
      </c>
      <c r="C10" s="44">
        <v>26</v>
      </c>
      <c r="D10" s="41" t="s">
        <v>88</v>
      </c>
      <c r="E10" s="42" t="s">
        <v>89</v>
      </c>
    </row>
    <row r="11" spans="2:5">
      <c r="B11" s="17" t="s">
        <v>90</v>
      </c>
      <c r="C11" s="43">
        <v>0.11</v>
      </c>
      <c r="D11" s="41" t="s">
        <v>91</v>
      </c>
      <c r="E11" s="42" t="s">
        <v>92</v>
      </c>
    </row>
    <row r="12" spans="2:5">
      <c r="B12" s="17" t="s">
        <v>93</v>
      </c>
      <c r="C12" s="43">
        <v>0.1</v>
      </c>
      <c r="D12" s="41" t="s">
        <v>91</v>
      </c>
      <c r="E12" s="42" t="s">
        <v>94</v>
      </c>
    </row>
    <row r="13" spans="2:5">
      <c r="B13" s="17" t="s">
        <v>95</v>
      </c>
      <c r="C13" s="45">
        <v>1</v>
      </c>
      <c r="D13" s="41" t="s">
        <v>96</v>
      </c>
      <c r="E13" s="42" t="s">
        <v>97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  <pageSetUpPr fitToPage="1"/>
  </sheetPr>
  <dimension ref="B1:AY182"/>
  <sheetViews>
    <sheetView showGridLines="0" tabSelected="1" zoomScale="90" zoomScaleNormal="90" workbookViewId="0">
      <selection activeCell="C14" sqref="C14"/>
    </sheetView>
  </sheetViews>
  <sheetFormatPr defaultColWidth="8.6640625" defaultRowHeight="14.4" outlineLevelRow="1"/>
  <cols>
    <col min="2" max="2" width="7" customWidth="1"/>
    <col min="3" max="3" width="36" customWidth="1"/>
    <col min="4" max="4" width="24" customWidth="1"/>
    <col min="5" max="5" width="17" customWidth="1"/>
    <col min="6" max="6" width="11" customWidth="1"/>
    <col min="7" max="7" width="34.21875" customWidth="1"/>
    <col min="8" max="10" width="10" customWidth="1"/>
    <col min="11" max="11" width="12" customWidth="1"/>
    <col min="12" max="12" width="10" customWidth="1"/>
    <col min="13" max="14" width="11" customWidth="1"/>
    <col min="15" max="15" width="13" customWidth="1"/>
    <col min="16" max="27" width="7.44140625" customWidth="1"/>
    <col min="28" max="51" width="10" customWidth="1"/>
  </cols>
  <sheetData>
    <row r="1" spans="2:51" ht="17.399999999999999">
      <c r="B1" s="8" t="s">
        <v>98</v>
      </c>
    </row>
    <row r="2" spans="2:51">
      <c r="B2" s="9" t="str">
        <f>"Farm: "&amp;Settings!$C$6&amp;"     |     Plan year: "&amp;Settings!$C$7</f>
        <v>Farm: Chaka Buna Estate (Silva Forest Coffee)     |     Plan year: 2019 EFY (2026/27) – confirm</v>
      </c>
    </row>
    <row r="3" spans="2:51">
      <c r="B3" s="9"/>
    </row>
    <row r="4" spans="2:51" ht="21.75" customHeight="1">
      <c r="C4" s="46" t="s">
        <v>99</v>
      </c>
      <c r="D4" s="47" t="s">
        <v>62</v>
      </c>
      <c r="E4" s="3" t="s">
        <v>100</v>
      </c>
      <c r="F4" s="3"/>
      <c r="G4" s="3"/>
      <c r="H4" s="3"/>
      <c r="I4" s="3"/>
      <c r="J4" s="3"/>
      <c r="K4" s="3"/>
      <c r="L4" s="3"/>
      <c r="M4" s="3"/>
      <c r="N4" s="3"/>
      <c r="O4" s="3"/>
    </row>
    <row r="6" spans="2:51">
      <c r="C6" s="48" t="s">
        <v>101</v>
      </c>
      <c r="G6" s="48" t="s">
        <v>102</v>
      </c>
    </row>
    <row r="7" spans="2:51" ht="23.85" customHeight="1">
      <c r="C7" s="18" t="s">
        <v>56</v>
      </c>
      <c r="D7" s="18" t="s">
        <v>55</v>
      </c>
      <c r="E7" s="18" t="s">
        <v>57</v>
      </c>
      <c r="F7" s="18" t="s">
        <v>58</v>
      </c>
      <c r="G7" s="18" t="s">
        <v>103</v>
      </c>
      <c r="N7" s="18" t="s">
        <v>60</v>
      </c>
      <c r="O7" s="18" t="s">
        <v>104</v>
      </c>
      <c r="P7" s="2" t="s">
        <v>105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 t="s">
        <v>106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</row>
    <row r="8" spans="2:51">
      <c r="C8" s="17" t="s">
        <v>107</v>
      </c>
      <c r="D8" s="49" t="s">
        <v>108</v>
      </c>
      <c r="E8" s="50" t="s">
        <v>109</v>
      </c>
      <c r="F8" s="45"/>
      <c r="G8" s="17" t="s">
        <v>62</v>
      </c>
      <c r="N8" s="51">
        <f>SUMIF($G$18:$G$182,"Industry average",N$18:N$182)</f>
        <v>0</v>
      </c>
      <c r="O8" s="52">
        <f>SUMIF($G$18:$G$182,"Industry average",O$18:O$182)</f>
        <v>0</v>
      </c>
    </row>
    <row r="9" spans="2:51">
      <c r="C9" s="17" t="s">
        <v>110</v>
      </c>
      <c r="D9" s="49" t="s">
        <v>111</v>
      </c>
      <c r="E9" s="50" t="s">
        <v>112</v>
      </c>
      <c r="F9" s="44"/>
      <c r="G9" s="17" t="s">
        <v>63</v>
      </c>
      <c r="N9" s="51">
        <f>SUMIF($G$18:$G$182,"+25%",N$18:N$182)</f>
        <v>0</v>
      </c>
      <c r="O9" s="52">
        <f>SUMIF($G$18:$G$182,"+25%",O$18:O$182)</f>
        <v>0</v>
      </c>
    </row>
    <row r="10" spans="2:51">
      <c r="C10" s="17" t="s">
        <v>113</v>
      </c>
      <c r="D10" s="49" t="s">
        <v>114</v>
      </c>
      <c r="E10" s="50" t="s">
        <v>109</v>
      </c>
      <c r="F10" s="45"/>
      <c r="G10" s="17" t="s">
        <v>64</v>
      </c>
      <c r="N10" s="51">
        <f>SUMIF($G$18:$G$182,"+50%",N$18:N$182)</f>
        <v>0</v>
      </c>
      <c r="O10" s="52">
        <f>SUMIF($G$18:$G$182,"+50%",O$18:O$182)</f>
        <v>0</v>
      </c>
    </row>
    <row r="11" spans="2:51">
      <c r="C11" s="17" t="s">
        <v>115</v>
      </c>
      <c r="D11" s="49" t="s">
        <v>116</v>
      </c>
      <c r="E11" s="50" t="s">
        <v>117</v>
      </c>
      <c r="F11" s="44"/>
      <c r="G11" s="17" t="s">
        <v>65</v>
      </c>
      <c r="N11" s="51">
        <f>SUMIF($G$18:$G$182,"Expert input",N$18:N$182)</f>
        <v>0</v>
      </c>
      <c r="O11" s="52">
        <f>SUMIF($G$18:$G$182,"Expert input",O$18:O$182)</f>
        <v>0</v>
      </c>
    </row>
    <row r="12" spans="2:51">
      <c r="C12" s="17" t="s">
        <v>118</v>
      </c>
      <c r="D12" s="49" t="s">
        <v>119</v>
      </c>
      <c r="E12" s="50" t="s">
        <v>117</v>
      </c>
      <c r="F12" s="44"/>
      <c r="G12" s="16" t="s">
        <v>120</v>
      </c>
      <c r="N12" s="53">
        <f>SUMIF($G$18:$G$182,"Chaka Buna plan",N$18:N$182)</f>
        <v>0</v>
      </c>
      <c r="O12" s="54">
        <f>SUMIF($G$18:$G$182,"Chaka Buna plan",O$18:O$182)</f>
        <v>0</v>
      </c>
      <c r="P12" s="55">
        <f>IFERROR(AC12/$O$12,0)</f>
        <v>0</v>
      </c>
      <c r="Q12" s="55">
        <f>IFERROR(AE12/$O$12,0)</f>
        <v>0</v>
      </c>
      <c r="R12" s="55">
        <f>IFERROR(AG12/$O$12,0)</f>
        <v>0</v>
      </c>
      <c r="S12" s="55">
        <f>IFERROR(AI12/$O$12,0)</f>
        <v>0</v>
      </c>
      <c r="T12" s="55">
        <f>IFERROR(AK12/$O$12,0)</f>
        <v>0</v>
      </c>
      <c r="U12" s="55">
        <f>IFERROR(AM12/$O$12,0)</f>
        <v>0</v>
      </c>
      <c r="V12" s="55">
        <f>IFERROR(AO12/$O$12,0)</f>
        <v>0</v>
      </c>
      <c r="W12" s="55">
        <f>IFERROR(AQ12/$O$12,0)</f>
        <v>0</v>
      </c>
      <c r="X12" s="55">
        <f>IFERROR(AS12/$O$12,0)</f>
        <v>0</v>
      </c>
      <c r="Y12" s="55">
        <f>IFERROR(AU12/$O$12,0)</f>
        <v>0</v>
      </c>
      <c r="Z12" s="55">
        <f>IFERROR(AW12/$O$12,0)</f>
        <v>0</v>
      </c>
      <c r="AA12" s="55">
        <f>IFERROR(AY12/$O$12,0)</f>
        <v>0</v>
      </c>
      <c r="AB12" s="53">
        <f t="shared" ref="AB12:AY12" si="0">SUM(AB18:AB182)</f>
        <v>0</v>
      </c>
      <c r="AC12" s="54">
        <f t="shared" si="0"/>
        <v>0</v>
      </c>
      <c r="AD12" s="53">
        <f t="shared" si="0"/>
        <v>0</v>
      </c>
      <c r="AE12" s="54">
        <f t="shared" si="0"/>
        <v>0</v>
      </c>
      <c r="AF12" s="53">
        <f t="shared" si="0"/>
        <v>0</v>
      </c>
      <c r="AG12" s="54">
        <f t="shared" si="0"/>
        <v>0</v>
      </c>
      <c r="AH12" s="53">
        <f t="shared" si="0"/>
        <v>0</v>
      </c>
      <c r="AI12" s="54">
        <f t="shared" si="0"/>
        <v>0</v>
      </c>
      <c r="AJ12" s="53">
        <f t="shared" si="0"/>
        <v>0</v>
      </c>
      <c r="AK12" s="54">
        <f t="shared" si="0"/>
        <v>0</v>
      </c>
      <c r="AL12" s="53">
        <f t="shared" si="0"/>
        <v>0</v>
      </c>
      <c r="AM12" s="54">
        <f t="shared" si="0"/>
        <v>0</v>
      </c>
      <c r="AN12" s="53">
        <f t="shared" si="0"/>
        <v>0</v>
      </c>
      <c r="AO12" s="54">
        <f t="shared" si="0"/>
        <v>0</v>
      </c>
      <c r="AP12" s="53">
        <f t="shared" si="0"/>
        <v>0</v>
      </c>
      <c r="AQ12" s="54">
        <f t="shared" si="0"/>
        <v>0</v>
      </c>
      <c r="AR12" s="53">
        <f t="shared" si="0"/>
        <v>0</v>
      </c>
      <c r="AS12" s="54">
        <f t="shared" si="0"/>
        <v>0</v>
      </c>
      <c r="AT12" s="53">
        <f t="shared" si="0"/>
        <v>0</v>
      </c>
      <c r="AU12" s="54">
        <f t="shared" si="0"/>
        <v>0</v>
      </c>
      <c r="AV12" s="53">
        <f t="shared" si="0"/>
        <v>0</v>
      </c>
      <c r="AW12" s="54">
        <f t="shared" si="0"/>
        <v>0</v>
      </c>
      <c r="AX12" s="53">
        <f t="shared" si="0"/>
        <v>0</v>
      </c>
      <c r="AY12" s="54">
        <f t="shared" si="0"/>
        <v>0</v>
      </c>
    </row>
    <row r="16" spans="2:51">
      <c r="B16" s="6" t="s">
        <v>121</v>
      </c>
      <c r="C16" s="6"/>
      <c r="D16" s="6"/>
      <c r="E16" s="6"/>
      <c r="F16" s="6"/>
      <c r="G16" s="5" t="s">
        <v>122</v>
      </c>
      <c r="H16" s="5"/>
      <c r="I16" s="5"/>
      <c r="J16" s="5"/>
      <c r="K16" s="1" t="s">
        <v>123</v>
      </c>
      <c r="L16" s="1"/>
      <c r="M16" s="4" t="s">
        <v>124</v>
      </c>
      <c r="N16" s="4"/>
      <c r="O16" s="4"/>
      <c r="P16" s="1" t="s">
        <v>125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4" t="s">
        <v>126</v>
      </c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</row>
    <row r="17" spans="2:51" ht="57.75" customHeight="1">
      <c r="B17" s="56" t="s">
        <v>127</v>
      </c>
      <c r="C17" s="56" t="s">
        <v>128</v>
      </c>
      <c r="D17" s="56" t="s">
        <v>129</v>
      </c>
      <c r="E17" s="56" t="s">
        <v>130</v>
      </c>
      <c r="F17" s="56" t="s">
        <v>57</v>
      </c>
      <c r="G17" s="23" t="s">
        <v>103</v>
      </c>
      <c r="H17" s="23" t="s">
        <v>131</v>
      </c>
      <c r="I17" s="23" t="s">
        <v>132</v>
      </c>
      <c r="J17" s="23" t="s">
        <v>133</v>
      </c>
      <c r="K17" s="57" t="s">
        <v>134</v>
      </c>
      <c r="L17" s="57" t="s">
        <v>135</v>
      </c>
      <c r="M17" s="24" t="s">
        <v>136</v>
      </c>
      <c r="N17" s="24" t="s">
        <v>137</v>
      </c>
      <c r="O17" s="24" t="s">
        <v>138</v>
      </c>
      <c r="P17" s="57" t="s">
        <v>139</v>
      </c>
      <c r="Q17" s="57" t="s">
        <v>140</v>
      </c>
      <c r="R17" s="57" t="s">
        <v>141</v>
      </c>
      <c r="S17" s="57" t="s">
        <v>142</v>
      </c>
      <c r="T17" s="57" t="s">
        <v>143</v>
      </c>
      <c r="U17" s="57" t="s">
        <v>144</v>
      </c>
      <c r="V17" s="57" t="s">
        <v>145</v>
      </c>
      <c r="W17" s="57" t="s">
        <v>146</v>
      </c>
      <c r="X17" s="57" t="s">
        <v>147</v>
      </c>
      <c r="Y17" s="57" t="s">
        <v>148</v>
      </c>
      <c r="Z17" s="57" t="s">
        <v>149</v>
      </c>
      <c r="AA17" s="57" t="s">
        <v>150</v>
      </c>
      <c r="AB17" s="24" t="s">
        <v>151</v>
      </c>
      <c r="AC17" s="24" t="s">
        <v>152</v>
      </c>
      <c r="AD17" s="24" t="s">
        <v>153</v>
      </c>
      <c r="AE17" s="24" t="s">
        <v>154</v>
      </c>
      <c r="AF17" s="24" t="s">
        <v>155</v>
      </c>
      <c r="AG17" s="24" t="s">
        <v>156</v>
      </c>
      <c r="AH17" s="24" t="s">
        <v>157</v>
      </c>
      <c r="AI17" s="24" t="s">
        <v>158</v>
      </c>
      <c r="AJ17" s="24" t="s">
        <v>159</v>
      </c>
      <c r="AK17" s="24" t="s">
        <v>160</v>
      </c>
      <c r="AL17" s="24" t="s">
        <v>161</v>
      </c>
      <c r="AM17" s="24" t="s">
        <v>162</v>
      </c>
      <c r="AN17" s="24" t="s">
        <v>163</v>
      </c>
      <c r="AO17" s="24" t="s">
        <v>164</v>
      </c>
      <c r="AP17" s="24" t="s">
        <v>165</v>
      </c>
      <c r="AQ17" s="24" t="s">
        <v>166</v>
      </c>
      <c r="AR17" s="24" t="s">
        <v>167</v>
      </c>
      <c r="AS17" s="24" t="s">
        <v>168</v>
      </c>
      <c r="AT17" s="24" t="s">
        <v>169</v>
      </c>
      <c r="AU17" s="24" t="s">
        <v>170</v>
      </c>
      <c r="AV17" s="24" t="s">
        <v>171</v>
      </c>
      <c r="AW17" s="24" t="s">
        <v>172</v>
      </c>
      <c r="AX17" s="24" t="s">
        <v>173</v>
      </c>
      <c r="AY17" s="24" t="s">
        <v>174</v>
      </c>
    </row>
    <row r="18" spans="2:51" outlineLevel="1">
      <c r="B18" s="58" t="s">
        <v>175</v>
      </c>
      <c r="C18" s="59" t="s">
        <v>176</v>
      </c>
      <c r="D18" s="60" t="s">
        <v>177</v>
      </c>
      <c r="E18" s="61" t="s">
        <v>178</v>
      </c>
      <c r="F18" s="62" t="s">
        <v>109</v>
      </c>
      <c r="G18" s="59" t="s">
        <v>62</v>
      </c>
      <c r="H18" s="63">
        <f>IFERROR(INDEX('Benchmark Data'!$AC$7:$AC$130,MATCH($B18,'Benchmark Data'!$A$7:$A$130,0)),0)</f>
        <v>20</v>
      </c>
      <c r="I18" s="64">
        <f>IFERROR(INDEX('Benchmark Data'!$AD$7:$AD$130,MATCH($B18,'Benchmark Data'!$A$7:$A$130,0)),0)</f>
        <v>183.33333333333331</v>
      </c>
      <c r="J18" s="65">
        <f t="shared" ref="J18:J49" si="1">H18*I18</f>
        <v>3666.6666666666661</v>
      </c>
      <c r="K18" s="66">
        <f>$F$10</f>
        <v>0</v>
      </c>
      <c r="L18" s="29">
        <f>IFERROR(INDEX('Benchmark Data'!$AE$7:$AE$130,MATCH($B18,'Benchmark Data'!$A$7:$A$130,0)),0)</f>
        <v>1</v>
      </c>
      <c r="M18" s="67">
        <f t="shared" ref="M18:M49" si="2">K18*L18</f>
        <v>0</v>
      </c>
      <c r="N18" s="68">
        <f>M18*H18</f>
        <v>0</v>
      </c>
      <c r="O18" s="69">
        <f t="shared" ref="O18:O49" si="3">M18*J18</f>
        <v>0</v>
      </c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</row>
    <row r="19" spans="2:51" outlineLevel="1">
      <c r="B19" s="71" t="s">
        <v>175</v>
      </c>
      <c r="C19" s="72" t="s">
        <v>176</v>
      </c>
      <c r="D19" s="73" t="s">
        <v>177</v>
      </c>
      <c r="E19" s="71" t="s">
        <v>178</v>
      </c>
      <c r="F19" s="74" t="s">
        <v>109</v>
      </c>
      <c r="G19" s="17" t="s">
        <v>63</v>
      </c>
      <c r="H19" s="75">
        <f>H18</f>
        <v>20</v>
      </c>
      <c r="I19" s="76">
        <f>I18*(1+Settings!$C$8)</f>
        <v>229.16666666666663</v>
      </c>
      <c r="J19" s="76">
        <f t="shared" si="1"/>
        <v>4583.3333333333321</v>
      </c>
      <c r="K19" s="77">
        <f>K18</f>
        <v>0</v>
      </c>
      <c r="L19" s="51">
        <f>L18</f>
        <v>1</v>
      </c>
      <c r="M19" s="52">
        <f t="shared" si="2"/>
        <v>0</v>
      </c>
      <c r="N19" s="51">
        <f t="shared" ref="N18:N49" si="4">M19*H19</f>
        <v>0</v>
      </c>
      <c r="O19" s="78">
        <f t="shared" si="3"/>
        <v>0</v>
      </c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</row>
    <row r="20" spans="2:51" outlineLevel="1">
      <c r="B20" s="71" t="s">
        <v>175</v>
      </c>
      <c r="C20" s="72" t="s">
        <v>176</v>
      </c>
      <c r="D20" s="73" t="s">
        <v>177</v>
      </c>
      <c r="E20" s="71" t="s">
        <v>178</v>
      </c>
      <c r="F20" s="74" t="s">
        <v>109</v>
      </c>
      <c r="G20" s="17" t="s">
        <v>64</v>
      </c>
      <c r="H20" s="75">
        <f>H18</f>
        <v>20</v>
      </c>
      <c r="I20" s="76">
        <f>I18*(1+Settings!$C$9)</f>
        <v>275</v>
      </c>
      <c r="J20" s="76">
        <f t="shared" si="1"/>
        <v>5500</v>
      </c>
      <c r="K20" s="77">
        <f>K18</f>
        <v>0</v>
      </c>
      <c r="L20" s="51">
        <f>L18</f>
        <v>1</v>
      </c>
      <c r="M20" s="52">
        <f t="shared" si="2"/>
        <v>0</v>
      </c>
      <c r="N20" s="51">
        <f t="shared" si="4"/>
        <v>0</v>
      </c>
      <c r="O20" s="78">
        <f t="shared" si="3"/>
        <v>0</v>
      </c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  <c r="AY20" s="79"/>
    </row>
    <row r="21" spans="2:51" outlineLevel="1">
      <c r="B21" s="71" t="s">
        <v>175</v>
      </c>
      <c r="C21" s="72" t="s">
        <v>176</v>
      </c>
      <c r="D21" s="73" t="s">
        <v>177</v>
      </c>
      <c r="E21" s="71" t="s">
        <v>178</v>
      </c>
      <c r="F21" s="74" t="s">
        <v>109</v>
      </c>
      <c r="G21" s="17" t="s">
        <v>65</v>
      </c>
      <c r="H21" s="80">
        <f>H18</f>
        <v>20</v>
      </c>
      <c r="I21" s="81">
        <f>I18</f>
        <v>183.33333333333331</v>
      </c>
      <c r="J21" s="76">
        <f t="shared" si="1"/>
        <v>3666.6666666666661</v>
      </c>
      <c r="K21" s="77">
        <f>K18</f>
        <v>0</v>
      </c>
      <c r="L21" s="82">
        <f>L18</f>
        <v>1</v>
      </c>
      <c r="M21" s="52">
        <f t="shared" si="2"/>
        <v>0</v>
      </c>
      <c r="N21" s="51">
        <f t="shared" si="4"/>
        <v>0</v>
      </c>
      <c r="O21" s="78">
        <f t="shared" si="3"/>
        <v>0</v>
      </c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</row>
    <row r="22" spans="2:51">
      <c r="B22" s="83" t="s">
        <v>175</v>
      </c>
      <c r="C22" s="16" t="s">
        <v>176</v>
      </c>
      <c r="D22" s="84" t="s">
        <v>177</v>
      </c>
      <c r="E22" s="85" t="s">
        <v>178</v>
      </c>
      <c r="F22" s="86" t="s">
        <v>109</v>
      </c>
      <c r="G22" s="16" t="s">
        <v>179</v>
      </c>
      <c r="H22" s="87">
        <f>CHOOSE(IF(OR($D$4="Expert input",$J$18=0),4,IF($D$4="+25%",2,IF($D$4="+50%",3,1))),H18,H19,H20,H21)</f>
        <v>20</v>
      </c>
      <c r="I22" s="88">
        <f>CHOOSE(IF(OR($D$4="Expert input",$J$18=0),4,IF($D$4="+25%",2,IF($D$4="+50%",3,1))),I18,I19,I20,I21)</f>
        <v>183.33333333333331</v>
      </c>
      <c r="J22" s="88">
        <f t="shared" si="1"/>
        <v>3666.6666666666661</v>
      </c>
      <c r="K22" s="54">
        <f>K18</f>
        <v>0</v>
      </c>
      <c r="L22" s="53">
        <f>CHOOSE(IF(OR($D$4="Expert input",$J$18=0),4,IF($D$4="+25%",2,IF($D$4="+50%",3,1))),L18,L19,L20,L21)</f>
        <v>1</v>
      </c>
      <c r="M22" s="54">
        <f t="shared" si="2"/>
        <v>0</v>
      </c>
      <c r="N22" s="53">
        <f t="shared" si="4"/>
        <v>0</v>
      </c>
      <c r="O22" s="54">
        <f t="shared" si="3"/>
        <v>0</v>
      </c>
      <c r="P22" s="43"/>
      <c r="Q22" s="43">
        <v>1</v>
      </c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89">
        <f>P22*$N22</f>
        <v>0</v>
      </c>
      <c r="AC22" s="90">
        <f>P22*$O22</f>
        <v>0</v>
      </c>
      <c r="AD22" s="89">
        <f>Q22*$N22</f>
        <v>0</v>
      </c>
      <c r="AE22" s="90">
        <f>Q22*$O22</f>
        <v>0</v>
      </c>
      <c r="AF22" s="89">
        <f>R22*$N22</f>
        <v>0</v>
      </c>
      <c r="AG22" s="90">
        <f>R22*$O22</f>
        <v>0</v>
      </c>
      <c r="AH22" s="89">
        <f>S22*$N22</f>
        <v>0</v>
      </c>
      <c r="AI22" s="90">
        <f>S22*$O22</f>
        <v>0</v>
      </c>
      <c r="AJ22" s="89">
        <f>T22*$N22</f>
        <v>0</v>
      </c>
      <c r="AK22" s="90">
        <f>T22*$O22</f>
        <v>0</v>
      </c>
      <c r="AL22" s="89">
        <f>U22*$N22</f>
        <v>0</v>
      </c>
      <c r="AM22" s="90">
        <f>U22*$O22</f>
        <v>0</v>
      </c>
      <c r="AN22" s="89">
        <f>V22*$N22</f>
        <v>0</v>
      </c>
      <c r="AO22" s="90">
        <f>V22*$O22</f>
        <v>0</v>
      </c>
      <c r="AP22" s="89">
        <f>W22*$N22</f>
        <v>0</v>
      </c>
      <c r="AQ22" s="90">
        <f>W22*$O22</f>
        <v>0</v>
      </c>
      <c r="AR22" s="89">
        <f>X22*$N22</f>
        <v>0</v>
      </c>
      <c r="AS22" s="90">
        <f>X22*$O22</f>
        <v>0</v>
      </c>
      <c r="AT22" s="89">
        <f>Y22*$N22</f>
        <v>0</v>
      </c>
      <c r="AU22" s="90">
        <f>Y22*$O22</f>
        <v>0</v>
      </c>
      <c r="AV22" s="89">
        <f>Z22*$N22</f>
        <v>0</v>
      </c>
      <c r="AW22" s="90">
        <f>Z22*$O22</f>
        <v>0</v>
      </c>
      <c r="AX22" s="89">
        <f>AA22*$N22</f>
        <v>0</v>
      </c>
      <c r="AY22" s="90">
        <f>AA22*$O22</f>
        <v>0</v>
      </c>
    </row>
    <row r="23" spans="2:51" outlineLevel="1">
      <c r="B23" s="58" t="s">
        <v>180</v>
      </c>
      <c r="C23" s="59" t="s">
        <v>181</v>
      </c>
      <c r="D23" s="60" t="s">
        <v>182</v>
      </c>
      <c r="E23" s="61" t="s">
        <v>178</v>
      </c>
      <c r="F23" s="62" t="s">
        <v>109</v>
      </c>
      <c r="G23" s="59" t="s">
        <v>62</v>
      </c>
      <c r="H23" s="63">
        <f>IFERROR(INDEX('Benchmark Data'!$AC$7:$AC$130,MATCH($B23,'Benchmark Data'!$A$7:$A$130,0)),0)</f>
        <v>24</v>
      </c>
      <c r="I23" s="64">
        <f>IFERROR(INDEX('Benchmark Data'!$AD$7:$AD$130,MATCH($B23,'Benchmark Data'!$A$7:$A$130,0)),0)</f>
        <v>125</v>
      </c>
      <c r="J23" s="65">
        <f t="shared" si="1"/>
        <v>3000</v>
      </c>
      <c r="K23" s="66">
        <f>$F$10</f>
        <v>0</v>
      </c>
      <c r="L23" s="29">
        <f>IFERROR(INDEX('Benchmark Data'!$AE$7:$AE$130,MATCH($B23,'Benchmark Data'!$A$7:$A$130,0)),0)</f>
        <v>1</v>
      </c>
      <c r="M23" s="67">
        <f t="shared" si="2"/>
        <v>0</v>
      </c>
      <c r="N23" s="68">
        <f t="shared" si="4"/>
        <v>0</v>
      </c>
      <c r="O23" s="69">
        <f t="shared" si="3"/>
        <v>0</v>
      </c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</row>
    <row r="24" spans="2:51" outlineLevel="1">
      <c r="B24" s="71" t="s">
        <v>180</v>
      </c>
      <c r="C24" s="72" t="s">
        <v>181</v>
      </c>
      <c r="D24" s="73" t="s">
        <v>183</v>
      </c>
      <c r="E24" s="71" t="s">
        <v>178</v>
      </c>
      <c r="F24" s="74" t="s">
        <v>109</v>
      </c>
      <c r="G24" s="17" t="s">
        <v>63</v>
      </c>
      <c r="H24" s="75">
        <f>H23</f>
        <v>24</v>
      </c>
      <c r="I24" s="76">
        <f>I23*(1+Settings!$C$8)</f>
        <v>156.25</v>
      </c>
      <c r="J24" s="76">
        <f t="shared" si="1"/>
        <v>3750</v>
      </c>
      <c r="K24" s="77">
        <f>K23</f>
        <v>0</v>
      </c>
      <c r="L24" s="51">
        <f>L23</f>
        <v>1</v>
      </c>
      <c r="M24" s="52">
        <f t="shared" si="2"/>
        <v>0</v>
      </c>
      <c r="N24" s="51">
        <f t="shared" si="4"/>
        <v>0</v>
      </c>
      <c r="O24" s="78">
        <f t="shared" si="3"/>
        <v>0</v>
      </c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</row>
    <row r="25" spans="2:51" outlineLevel="1">
      <c r="B25" s="71" t="s">
        <v>180</v>
      </c>
      <c r="C25" s="72" t="s">
        <v>181</v>
      </c>
      <c r="D25" s="73" t="s">
        <v>183</v>
      </c>
      <c r="E25" s="71" t="s">
        <v>178</v>
      </c>
      <c r="F25" s="74" t="s">
        <v>109</v>
      </c>
      <c r="G25" s="17" t="s">
        <v>64</v>
      </c>
      <c r="H25" s="75">
        <f>H23</f>
        <v>24</v>
      </c>
      <c r="I25" s="76">
        <f>I23*(1+Settings!$C$9)</f>
        <v>187.5</v>
      </c>
      <c r="J25" s="76">
        <f t="shared" si="1"/>
        <v>4500</v>
      </c>
      <c r="K25" s="77">
        <f>K23</f>
        <v>0</v>
      </c>
      <c r="L25" s="51">
        <f>L23</f>
        <v>1</v>
      </c>
      <c r="M25" s="52">
        <f t="shared" si="2"/>
        <v>0</v>
      </c>
      <c r="N25" s="51">
        <f t="shared" si="4"/>
        <v>0</v>
      </c>
      <c r="O25" s="78">
        <f t="shared" si="3"/>
        <v>0</v>
      </c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</row>
    <row r="26" spans="2:51" outlineLevel="1">
      <c r="B26" s="71" t="s">
        <v>180</v>
      </c>
      <c r="C26" s="72" t="s">
        <v>181</v>
      </c>
      <c r="D26" s="73" t="s">
        <v>183</v>
      </c>
      <c r="E26" s="71" t="s">
        <v>178</v>
      </c>
      <c r="F26" s="74" t="s">
        <v>109</v>
      </c>
      <c r="G26" s="17" t="s">
        <v>65</v>
      </c>
      <c r="H26" s="80">
        <f>H23</f>
        <v>24</v>
      </c>
      <c r="I26" s="81">
        <f>I23</f>
        <v>125</v>
      </c>
      <c r="J26" s="76">
        <f t="shared" si="1"/>
        <v>3000</v>
      </c>
      <c r="K26" s="77">
        <f>K23</f>
        <v>0</v>
      </c>
      <c r="L26" s="82">
        <f>L23</f>
        <v>1</v>
      </c>
      <c r="M26" s="52">
        <f t="shared" si="2"/>
        <v>0</v>
      </c>
      <c r="N26" s="51">
        <f t="shared" si="4"/>
        <v>0</v>
      </c>
      <c r="O26" s="78">
        <f t="shared" si="3"/>
        <v>0</v>
      </c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</row>
    <row r="27" spans="2:51">
      <c r="B27" s="83" t="s">
        <v>180</v>
      </c>
      <c r="C27" s="16" t="s">
        <v>181</v>
      </c>
      <c r="D27" s="84" t="s">
        <v>184</v>
      </c>
      <c r="E27" s="85" t="s">
        <v>178</v>
      </c>
      <c r="F27" s="86" t="s">
        <v>109</v>
      </c>
      <c r="G27" s="16" t="s">
        <v>179</v>
      </c>
      <c r="H27" s="87">
        <f>CHOOSE(IF(OR($D$4="Expert input",$J$23=0),4,IF($D$4="+25%",2,IF($D$4="+50%",3,1))),H23,H24,H25,H26)</f>
        <v>24</v>
      </c>
      <c r="I27" s="88">
        <f>CHOOSE(IF(OR($D$4="Expert input",$J$23=0),4,IF($D$4="+25%",2,IF($D$4="+50%",3,1))),I23,I24,I25,I26)</f>
        <v>125</v>
      </c>
      <c r="J27" s="88">
        <f t="shared" si="1"/>
        <v>3000</v>
      </c>
      <c r="K27" s="54">
        <f>K23</f>
        <v>0</v>
      </c>
      <c r="L27" s="53">
        <f>CHOOSE(IF(OR($D$4="Expert input",$J$23=0),4,IF($D$4="+25%",2,IF($D$4="+50%",3,1))),L23,L24,L25,L26)</f>
        <v>1</v>
      </c>
      <c r="M27" s="54">
        <f t="shared" si="2"/>
        <v>0</v>
      </c>
      <c r="N27" s="53">
        <f t="shared" si="4"/>
        <v>0</v>
      </c>
      <c r="O27" s="54">
        <f t="shared" si="3"/>
        <v>0</v>
      </c>
      <c r="P27" s="43"/>
      <c r="Q27" s="43">
        <v>1</v>
      </c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89">
        <f>P27*$N27</f>
        <v>0</v>
      </c>
      <c r="AC27" s="90">
        <f>P27*$O27</f>
        <v>0</v>
      </c>
      <c r="AD27" s="89">
        <f>Q27*$N27</f>
        <v>0</v>
      </c>
      <c r="AE27" s="90">
        <f>Q27*$O27</f>
        <v>0</v>
      </c>
      <c r="AF27" s="89">
        <f>R27*$N27</f>
        <v>0</v>
      </c>
      <c r="AG27" s="90">
        <f>R27*$O27</f>
        <v>0</v>
      </c>
      <c r="AH27" s="89">
        <f>S27*$N27</f>
        <v>0</v>
      </c>
      <c r="AI27" s="90">
        <f>S27*$O27</f>
        <v>0</v>
      </c>
      <c r="AJ27" s="89">
        <f>T27*$N27</f>
        <v>0</v>
      </c>
      <c r="AK27" s="90">
        <f>T27*$O27</f>
        <v>0</v>
      </c>
      <c r="AL27" s="89">
        <f>U27*$N27</f>
        <v>0</v>
      </c>
      <c r="AM27" s="90">
        <f>U27*$O27</f>
        <v>0</v>
      </c>
      <c r="AN27" s="89">
        <f>V27*$N27</f>
        <v>0</v>
      </c>
      <c r="AO27" s="90">
        <f>V27*$O27</f>
        <v>0</v>
      </c>
      <c r="AP27" s="89">
        <f>W27*$N27</f>
        <v>0</v>
      </c>
      <c r="AQ27" s="90">
        <f>W27*$O27</f>
        <v>0</v>
      </c>
      <c r="AR27" s="89">
        <f>X27*$N27</f>
        <v>0</v>
      </c>
      <c r="AS27" s="90">
        <f>X27*$O27</f>
        <v>0</v>
      </c>
      <c r="AT27" s="89">
        <f>Y27*$N27</f>
        <v>0</v>
      </c>
      <c r="AU27" s="90">
        <f>Y27*$O27</f>
        <v>0</v>
      </c>
      <c r="AV27" s="89">
        <f>Z27*$N27</f>
        <v>0</v>
      </c>
      <c r="AW27" s="90">
        <f>Z27*$O27</f>
        <v>0</v>
      </c>
      <c r="AX27" s="89">
        <f>AA27*$N27</f>
        <v>0</v>
      </c>
      <c r="AY27" s="90">
        <f>AA27*$O27</f>
        <v>0</v>
      </c>
    </row>
    <row r="28" spans="2:51" outlineLevel="1">
      <c r="B28" s="58" t="s">
        <v>185</v>
      </c>
      <c r="C28" s="59" t="s">
        <v>186</v>
      </c>
      <c r="D28" s="60" t="s">
        <v>187</v>
      </c>
      <c r="E28" s="61" t="s">
        <v>178</v>
      </c>
      <c r="F28" s="62" t="s">
        <v>109</v>
      </c>
      <c r="G28" s="59" t="s">
        <v>62</v>
      </c>
      <c r="H28" s="63">
        <f>IFERROR(INDEX('Benchmark Data'!$AC$7:$AC$130,MATCH($B28,'Benchmark Data'!$A$7:$A$130,0)),0)</f>
        <v>33.111111111111136</v>
      </c>
      <c r="I28" s="64">
        <f>IFERROR(INDEX('Benchmark Data'!$AD$7:$AD$130,MATCH($B28,'Benchmark Data'!$A$7:$A$130,0)),0)</f>
        <v>158.05369127516767</v>
      </c>
      <c r="J28" s="65">
        <f t="shared" si="1"/>
        <v>5233.333333333333</v>
      </c>
      <c r="K28" s="66">
        <f>$F$10</f>
        <v>0</v>
      </c>
      <c r="L28" s="29">
        <f>IFERROR(INDEX('Benchmark Data'!$AE$7:$AE$130,MATCH($B28,'Benchmark Data'!$A$7:$A$130,0)),0)</f>
        <v>1</v>
      </c>
      <c r="M28" s="67">
        <f t="shared" si="2"/>
        <v>0</v>
      </c>
      <c r="N28" s="68">
        <f t="shared" si="4"/>
        <v>0</v>
      </c>
      <c r="O28" s="69">
        <f t="shared" si="3"/>
        <v>0</v>
      </c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</row>
    <row r="29" spans="2:51" outlineLevel="1">
      <c r="B29" s="71" t="s">
        <v>185</v>
      </c>
      <c r="C29" s="72" t="s">
        <v>186</v>
      </c>
      <c r="D29" s="73" t="s">
        <v>187</v>
      </c>
      <c r="E29" s="71" t="s">
        <v>178</v>
      </c>
      <c r="F29" s="74" t="s">
        <v>109</v>
      </c>
      <c r="G29" s="17" t="s">
        <v>63</v>
      </c>
      <c r="H29" s="75">
        <f>H28</f>
        <v>33.111111111111136</v>
      </c>
      <c r="I29" s="76">
        <f>I28*(1+Settings!$C$8)</f>
        <v>197.56711409395959</v>
      </c>
      <c r="J29" s="76">
        <f t="shared" si="1"/>
        <v>6541.666666666667</v>
      </c>
      <c r="K29" s="77">
        <f>K28</f>
        <v>0</v>
      </c>
      <c r="L29" s="51">
        <f>L28</f>
        <v>1</v>
      </c>
      <c r="M29" s="52">
        <f t="shared" si="2"/>
        <v>0</v>
      </c>
      <c r="N29" s="51">
        <f t="shared" si="4"/>
        <v>0</v>
      </c>
      <c r="O29" s="78">
        <f t="shared" si="3"/>
        <v>0</v>
      </c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</row>
    <row r="30" spans="2:51" outlineLevel="1">
      <c r="B30" s="71" t="s">
        <v>185</v>
      </c>
      <c r="C30" s="72" t="s">
        <v>186</v>
      </c>
      <c r="D30" s="73" t="s">
        <v>187</v>
      </c>
      <c r="E30" s="71" t="s">
        <v>178</v>
      </c>
      <c r="F30" s="74" t="s">
        <v>109</v>
      </c>
      <c r="G30" s="17" t="s">
        <v>64</v>
      </c>
      <c r="H30" s="75">
        <f>H28</f>
        <v>33.111111111111136</v>
      </c>
      <c r="I30" s="76">
        <f>I28*(1+Settings!$C$9)</f>
        <v>237.08053691275148</v>
      </c>
      <c r="J30" s="76">
        <f t="shared" si="1"/>
        <v>7849.9999999999991</v>
      </c>
      <c r="K30" s="77">
        <f>K28</f>
        <v>0</v>
      </c>
      <c r="L30" s="51">
        <f>L28</f>
        <v>1</v>
      </c>
      <c r="M30" s="52">
        <f t="shared" si="2"/>
        <v>0</v>
      </c>
      <c r="N30" s="51">
        <f t="shared" si="4"/>
        <v>0</v>
      </c>
      <c r="O30" s="78">
        <f t="shared" si="3"/>
        <v>0</v>
      </c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  <c r="AY30" s="79"/>
    </row>
    <row r="31" spans="2:51" outlineLevel="1">
      <c r="B31" s="71" t="s">
        <v>185</v>
      </c>
      <c r="C31" s="72" t="s">
        <v>186</v>
      </c>
      <c r="D31" s="73" t="s">
        <v>187</v>
      </c>
      <c r="E31" s="71" t="s">
        <v>178</v>
      </c>
      <c r="F31" s="74" t="s">
        <v>109</v>
      </c>
      <c r="G31" s="17" t="s">
        <v>65</v>
      </c>
      <c r="H31" s="80">
        <f>H28</f>
        <v>33.111111111111136</v>
      </c>
      <c r="I31" s="81">
        <f>I28</f>
        <v>158.05369127516767</v>
      </c>
      <c r="J31" s="76">
        <f t="shared" si="1"/>
        <v>5233.333333333333</v>
      </c>
      <c r="K31" s="77">
        <f>K28</f>
        <v>0</v>
      </c>
      <c r="L31" s="82">
        <f>L28</f>
        <v>1</v>
      </c>
      <c r="M31" s="52">
        <f t="shared" si="2"/>
        <v>0</v>
      </c>
      <c r="N31" s="51">
        <f t="shared" si="4"/>
        <v>0</v>
      </c>
      <c r="O31" s="78">
        <f t="shared" si="3"/>
        <v>0</v>
      </c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</row>
    <row r="32" spans="2:51">
      <c r="B32" s="83" t="s">
        <v>185</v>
      </c>
      <c r="C32" s="16" t="s">
        <v>186</v>
      </c>
      <c r="D32" s="84" t="s">
        <v>187</v>
      </c>
      <c r="E32" s="85" t="s">
        <v>178</v>
      </c>
      <c r="F32" s="86" t="s">
        <v>109</v>
      </c>
      <c r="G32" s="16" t="s">
        <v>179</v>
      </c>
      <c r="H32" s="87">
        <f>CHOOSE(IF(OR($D$4="Expert input",$J$28=0),4,IF($D$4="+25%",2,IF($D$4="+50%",3,1))),H28,H29,H30,H31)</f>
        <v>33.111111111111136</v>
      </c>
      <c r="I32" s="88">
        <f>CHOOSE(IF(OR($D$4="Expert input",$J$28=0),4,IF($D$4="+25%",2,IF($D$4="+50%",3,1))),I28,I29,I30,I31)</f>
        <v>158.05369127516767</v>
      </c>
      <c r="J32" s="88">
        <f t="shared" si="1"/>
        <v>5233.333333333333</v>
      </c>
      <c r="K32" s="54">
        <f>K28</f>
        <v>0</v>
      </c>
      <c r="L32" s="53">
        <f>CHOOSE(IF(OR($D$4="Expert input",$J$28=0),4,IF($D$4="+25%",2,IF($D$4="+50%",3,1))),L28,L29,L30,L31)</f>
        <v>1</v>
      </c>
      <c r="M32" s="54">
        <f t="shared" si="2"/>
        <v>0</v>
      </c>
      <c r="N32" s="53">
        <f t="shared" si="4"/>
        <v>0</v>
      </c>
      <c r="O32" s="54">
        <f t="shared" si="3"/>
        <v>0</v>
      </c>
      <c r="P32" s="43"/>
      <c r="Q32" s="43">
        <v>1</v>
      </c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89">
        <f>P32*$N32</f>
        <v>0</v>
      </c>
      <c r="AC32" s="90">
        <f>P32*$O32</f>
        <v>0</v>
      </c>
      <c r="AD32" s="89">
        <f>Q32*$N32</f>
        <v>0</v>
      </c>
      <c r="AE32" s="90">
        <f>Q32*$O32</f>
        <v>0</v>
      </c>
      <c r="AF32" s="89">
        <f>R32*$N32</f>
        <v>0</v>
      </c>
      <c r="AG32" s="90">
        <f>R32*$O32</f>
        <v>0</v>
      </c>
      <c r="AH32" s="89">
        <f>S32*$N32</f>
        <v>0</v>
      </c>
      <c r="AI32" s="90">
        <f>S32*$O32</f>
        <v>0</v>
      </c>
      <c r="AJ32" s="89">
        <f>T32*$N32</f>
        <v>0</v>
      </c>
      <c r="AK32" s="90">
        <f>T32*$O32</f>
        <v>0</v>
      </c>
      <c r="AL32" s="89">
        <f>U32*$N32</f>
        <v>0</v>
      </c>
      <c r="AM32" s="90">
        <f>U32*$O32</f>
        <v>0</v>
      </c>
      <c r="AN32" s="89">
        <f>V32*$N32</f>
        <v>0</v>
      </c>
      <c r="AO32" s="90">
        <f>V32*$O32</f>
        <v>0</v>
      </c>
      <c r="AP32" s="89">
        <f>W32*$N32</f>
        <v>0</v>
      </c>
      <c r="AQ32" s="90">
        <f>W32*$O32</f>
        <v>0</v>
      </c>
      <c r="AR32" s="89">
        <f>X32*$N32</f>
        <v>0</v>
      </c>
      <c r="AS32" s="90">
        <f>X32*$O32</f>
        <v>0</v>
      </c>
      <c r="AT32" s="89">
        <f>Y32*$N32</f>
        <v>0</v>
      </c>
      <c r="AU32" s="90">
        <f>Y32*$O32</f>
        <v>0</v>
      </c>
      <c r="AV32" s="89">
        <f>Z32*$N32</f>
        <v>0</v>
      </c>
      <c r="AW32" s="90">
        <f>Z32*$O32</f>
        <v>0</v>
      </c>
      <c r="AX32" s="89">
        <f>AA32*$N32</f>
        <v>0</v>
      </c>
      <c r="AY32" s="90">
        <f>AA32*$O32</f>
        <v>0</v>
      </c>
    </row>
    <row r="33" spans="2:51" outlineLevel="1">
      <c r="B33" s="58" t="s">
        <v>188</v>
      </c>
      <c r="C33" s="59" t="s">
        <v>189</v>
      </c>
      <c r="D33" s="60" t="s">
        <v>190</v>
      </c>
      <c r="E33" s="61" t="s">
        <v>178</v>
      </c>
      <c r="F33" s="62" t="s">
        <v>109</v>
      </c>
      <c r="G33" s="59" t="s">
        <v>62</v>
      </c>
      <c r="H33" s="63">
        <f>IFERROR(INDEX('Benchmark Data'!$AC$7:$AC$130,MATCH($B33,'Benchmark Data'!$A$7:$A$130,0)),0)</f>
        <v>15</v>
      </c>
      <c r="I33" s="64">
        <f>IFERROR(INDEX('Benchmark Data'!$AD$7:$AD$130,MATCH($B33,'Benchmark Data'!$A$7:$A$130,0)),0)</f>
        <v>160</v>
      </c>
      <c r="J33" s="65">
        <f t="shared" si="1"/>
        <v>2400</v>
      </c>
      <c r="K33" s="66">
        <f>$F$10</f>
        <v>0</v>
      </c>
      <c r="L33" s="29">
        <f>IFERROR(INDEX('Benchmark Data'!$AE$7:$AE$130,MATCH($B33,'Benchmark Data'!$A$7:$A$130,0)),0)</f>
        <v>1</v>
      </c>
      <c r="M33" s="67">
        <f t="shared" si="2"/>
        <v>0</v>
      </c>
      <c r="N33" s="68">
        <f t="shared" si="4"/>
        <v>0</v>
      </c>
      <c r="O33" s="69">
        <f t="shared" si="3"/>
        <v>0</v>
      </c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</row>
    <row r="34" spans="2:51" outlineLevel="1">
      <c r="B34" s="71" t="s">
        <v>188</v>
      </c>
      <c r="C34" s="72" t="s">
        <v>189</v>
      </c>
      <c r="D34" s="73" t="s">
        <v>190</v>
      </c>
      <c r="E34" s="71" t="s">
        <v>178</v>
      </c>
      <c r="F34" s="74" t="s">
        <v>109</v>
      </c>
      <c r="G34" s="17" t="s">
        <v>63</v>
      </c>
      <c r="H34" s="75">
        <f>H33</f>
        <v>15</v>
      </c>
      <c r="I34" s="76">
        <f>I33*(1+Settings!$C$8)</f>
        <v>200</v>
      </c>
      <c r="J34" s="76">
        <f t="shared" si="1"/>
        <v>3000</v>
      </c>
      <c r="K34" s="77">
        <f>K33</f>
        <v>0</v>
      </c>
      <c r="L34" s="51">
        <f>L33</f>
        <v>1</v>
      </c>
      <c r="M34" s="52">
        <f t="shared" si="2"/>
        <v>0</v>
      </c>
      <c r="N34" s="51">
        <f t="shared" si="4"/>
        <v>0</v>
      </c>
      <c r="O34" s="78">
        <f t="shared" si="3"/>
        <v>0</v>
      </c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</row>
    <row r="35" spans="2:51" outlineLevel="1">
      <c r="B35" s="71" t="s">
        <v>188</v>
      </c>
      <c r="C35" s="72" t="s">
        <v>189</v>
      </c>
      <c r="D35" s="73" t="s">
        <v>190</v>
      </c>
      <c r="E35" s="71" t="s">
        <v>178</v>
      </c>
      <c r="F35" s="74" t="s">
        <v>109</v>
      </c>
      <c r="G35" s="17" t="s">
        <v>64</v>
      </c>
      <c r="H35" s="75">
        <f>H33</f>
        <v>15</v>
      </c>
      <c r="I35" s="76">
        <f>I33*(1+Settings!$C$9)</f>
        <v>240</v>
      </c>
      <c r="J35" s="76">
        <f t="shared" si="1"/>
        <v>3600</v>
      </c>
      <c r="K35" s="77">
        <f>K33</f>
        <v>0</v>
      </c>
      <c r="L35" s="51">
        <f>L33</f>
        <v>1</v>
      </c>
      <c r="M35" s="52">
        <f t="shared" si="2"/>
        <v>0</v>
      </c>
      <c r="N35" s="51">
        <f t="shared" si="4"/>
        <v>0</v>
      </c>
      <c r="O35" s="78">
        <f t="shared" si="3"/>
        <v>0</v>
      </c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</row>
    <row r="36" spans="2:51" outlineLevel="1">
      <c r="B36" s="71" t="s">
        <v>188</v>
      </c>
      <c r="C36" s="72" t="s">
        <v>189</v>
      </c>
      <c r="D36" s="73" t="s">
        <v>190</v>
      </c>
      <c r="E36" s="71" t="s">
        <v>178</v>
      </c>
      <c r="F36" s="74" t="s">
        <v>109</v>
      </c>
      <c r="G36" s="17" t="s">
        <v>65</v>
      </c>
      <c r="H36" s="80">
        <f>H33</f>
        <v>15</v>
      </c>
      <c r="I36" s="81">
        <f>I33</f>
        <v>160</v>
      </c>
      <c r="J36" s="76">
        <f t="shared" si="1"/>
        <v>2400</v>
      </c>
      <c r="K36" s="77">
        <f>K33</f>
        <v>0</v>
      </c>
      <c r="L36" s="82">
        <f>L33</f>
        <v>1</v>
      </c>
      <c r="M36" s="52">
        <f t="shared" si="2"/>
        <v>0</v>
      </c>
      <c r="N36" s="51">
        <f t="shared" si="4"/>
        <v>0</v>
      </c>
      <c r="O36" s="78">
        <f t="shared" si="3"/>
        <v>0</v>
      </c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79"/>
      <c r="AV36" s="79"/>
      <c r="AW36" s="79"/>
      <c r="AX36" s="79"/>
      <c r="AY36" s="79"/>
    </row>
    <row r="37" spans="2:51">
      <c r="B37" s="83" t="s">
        <v>188</v>
      </c>
      <c r="C37" s="16" t="s">
        <v>189</v>
      </c>
      <c r="D37" s="84" t="s">
        <v>190</v>
      </c>
      <c r="E37" s="85" t="s">
        <v>178</v>
      </c>
      <c r="F37" s="86" t="s">
        <v>109</v>
      </c>
      <c r="G37" s="16" t="s">
        <v>179</v>
      </c>
      <c r="H37" s="87">
        <f>CHOOSE(IF(OR($D$4="Expert input",$J$33=0),4,IF($D$4="+25%",2,IF($D$4="+50%",3,1))),H33,H34,H35,H36)</f>
        <v>15</v>
      </c>
      <c r="I37" s="88">
        <f>CHOOSE(IF(OR($D$4="Expert input",$J$33=0),4,IF($D$4="+25%",2,IF($D$4="+50%",3,1))),I33,I34,I35,I36)</f>
        <v>160</v>
      </c>
      <c r="J37" s="88">
        <f t="shared" si="1"/>
        <v>2400</v>
      </c>
      <c r="K37" s="54">
        <f>K33</f>
        <v>0</v>
      </c>
      <c r="L37" s="53">
        <f>CHOOSE(IF(OR($D$4="Expert input",$J$33=0),4,IF($D$4="+25%",2,IF($D$4="+50%",3,1))),L33,L34,L35,L36)</f>
        <v>1</v>
      </c>
      <c r="M37" s="54">
        <f t="shared" si="2"/>
        <v>0</v>
      </c>
      <c r="N37" s="53">
        <f t="shared" si="4"/>
        <v>0</v>
      </c>
      <c r="O37" s="54">
        <f t="shared" si="3"/>
        <v>0</v>
      </c>
      <c r="P37" s="43"/>
      <c r="Q37" s="43">
        <v>1</v>
      </c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89">
        <f>P37*$N37</f>
        <v>0</v>
      </c>
      <c r="AC37" s="90">
        <f>P37*$O37</f>
        <v>0</v>
      </c>
      <c r="AD37" s="89">
        <f>Q37*$N37</f>
        <v>0</v>
      </c>
      <c r="AE37" s="90">
        <f>Q37*$O37</f>
        <v>0</v>
      </c>
      <c r="AF37" s="89">
        <f>R37*$N37</f>
        <v>0</v>
      </c>
      <c r="AG37" s="90">
        <f>R37*$O37</f>
        <v>0</v>
      </c>
      <c r="AH37" s="89">
        <f>S37*$N37</f>
        <v>0</v>
      </c>
      <c r="AI37" s="90">
        <f>S37*$O37</f>
        <v>0</v>
      </c>
      <c r="AJ37" s="89">
        <f>T37*$N37</f>
        <v>0</v>
      </c>
      <c r="AK37" s="90">
        <f>T37*$O37</f>
        <v>0</v>
      </c>
      <c r="AL37" s="89">
        <f>U37*$N37</f>
        <v>0</v>
      </c>
      <c r="AM37" s="90">
        <f>U37*$O37</f>
        <v>0</v>
      </c>
      <c r="AN37" s="89">
        <f>V37*$N37</f>
        <v>0</v>
      </c>
      <c r="AO37" s="90">
        <f>V37*$O37</f>
        <v>0</v>
      </c>
      <c r="AP37" s="89">
        <f>W37*$N37</f>
        <v>0</v>
      </c>
      <c r="AQ37" s="90">
        <f>W37*$O37</f>
        <v>0</v>
      </c>
      <c r="AR37" s="89">
        <f>X37*$N37</f>
        <v>0</v>
      </c>
      <c r="AS37" s="90">
        <f>X37*$O37</f>
        <v>0</v>
      </c>
      <c r="AT37" s="89">
        <f>Y37*$N37</f>
        <v>0</v>
      </c>
      <c r="AU37" s="90">
        <f>Y37*$O37</f>
        <v>0</v>
      </c>
      <c r="AV37" s="89">
        <f>Z37*$N37</f>
        <v>0</v>
      </c>
      <c r="AW37" s="90">
        <f>Z37*$O37</f>
        <v>0</v>
      </c>
      <c r="AX37" s="89">
        <f>AA37*$N37</f>
        <v>0</v>
      </c>
      <c r="AY37" s="90">
        <f>AA37*$O37</f>
        <v>0</v>
      </c>
    </row>
    <row r="38" spans="2:51" outlineLevel="1">
      <c r="B38" s="58" t="s">
        <v>191</v>
      </c>
      <c r="C38" s="59" t="s">
        <v>192</v>
      </c>
      <c r="D38" s="60" t="s">
        <v>193</v>
      </c>
      <c r="E38" s="61" t="s">
        <v>194</v>
      </c>
      <c r="F38" s="62" t="s">
        <v>195</v>
      </c>
      <c r="G38" s="59" t="s">
        <v>62</v>
      </c>
      <c r="H38" s="63">
        <f>IFERROR(INDEX('Benchmark Data'!$AC$7:$AC$130,MATCH($B38,'Benchmark Data'!$A$7:$A$130,0)),0)</f>
        <v>0.56666666666666665</v>
      </c>
      <c r="I38" s="64">
        <f>IFERROR(INDEX('Benchmark Data'!$AD$7:$AD$130,MATCH($B38,'Benchmark Data'!$A$7:$A$130,0)),0)</f>
        <v>100</v>
      </c>
      <c r="J38" s="65">
        <f t="shared" si="1"/>
        <v>56.666666666666664</v>
      </c>
      <c r="K38" s="91"/>
      <c r="L38" s="29">
        <f>IFERROR(INDEX('Benchmark Data'!$AE$7:$AE$130,MATCH($B38,'Benchmark Data'!$A$7:$A$130,0)),0)</f>
        <v>1</v>
      </c>
      <c r="M38" s="67">
        <f t="shared" si="2"/>
        <v>0</v>
      </c>
      <c r="N38" s="68">
        <f t="shared" si="4"/>
        <v>0</v>
      </c>
      <c r="O38" s="69">
        <f t="shared" si="3"/>
        <v>0</v>
      </c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</row>
    <row r="39" spans="2:51" outlineLevel="1">
      <c r="B39" s="71" t="s">
        <v>191</v>
      </c>
      <c r="C39" s="72" t="s">
        <v>192</v>
      </c>
      <c r="D39" s="73" t="s">
        <v>193</v>
      </c>
      <c r="E39" s="71" t="s">
        <v>194</v>
      </c>
      <c r="F39" s="74" t="s">
        <v>195</v>
      </c>
      <c r="G39" s="17" t="s">
        <v>63</v>
      </c>
      <c r="H39" s="75">
        <f>H38</f>
        <v>0.56666666666666665</v>
      </c>
      <c r="I39" s="76">
        <f>I38*(1+Settings!$C$8)</f>
        <v>125</v>
      </c>
      <c r="J39" s="76">
        <f t="shared" si="1"/>
        <v>70.833333333333329</v>
      </c>
      <c r="K39" s="77">
        <f>K38</f>
        <v>0</v>
      </c>
      <c r="L39" s="51">
        <f>L38</f>
        <v>1</v>
      </c>
      <c r="M39" s="52">
        <f t="shared" si="2"/>
        <v>0</v>
      </c>
      <c r="N39" s="51">
        <f t="shared" si="4"/>
        <v>0</v>
      </c>
      <c r="O39" s="78">
        <f t="shared" si="3"/>
        <v>0</v>
      </c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  <c r="AY39" s="79"/>
    </row>
    <row r="40" spans="2:51" outlineLevel="1">
      <c r="B40" s="71" t="s">
        <v>191</v>
      </c>
      <c r="C40" s="72" t="s">
        <v>192</v>
      </c>
      <c r="D40" s="73" t="s">
        <v>193</v>
      </c>
      <c r="E40" s="71" t="s">
        <v>194</v>
      </c>
      <c r="F40" s="74" t="s">
        <v>195</v>
      </c>
      <c r="G40" s="17" t="s">
        <v>64</v>
      </c>
      <c r="H40" s="75">
        <f>H38</f>
        <v>0.56666666666666665</v>
      </c>
      <c r="I40" s="76">
        <f>I38*(1+Settings!$C$9)</f>
        <v>150</v>
      </c>
      <c r="J40" s="76">
        <f t="shared" si="1"/>
        <v>85</v>
      </c>
      <c r="K40" s="77">
        <f>K38</f>
        <v>0</v>
      </c>
      <c r="L40" s="51">
        <f>L38</f>
        <v>1</v>
      </c>
      <c r="M40" s="52">
        <f t="shared" si="2"/>
        <v>0</v>
      </c>
      <c r="N40" s="51">
        <f t="shared" si="4"/>
        <v>0</v>
      </c>
      <c r="O40" s="78">
        <f t="shared" si="3"/>
        <v>0</v>
      </c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</row>
    <row r="41" spans="2:51" outlineLevel="1">
      <c r="B41" s="71" t="s">
        <v>191</v>
      </c>
      <c r="C41" s="72" t="s">
        <v>192</v>
      </c>
      <c r="D41" s="73" t="s">
        <v>193</v>
      </c>
      <c r="E41" s="71" t="s">
        <v>194</v>
      </c>
      <c r="F41" s="74" t="s">
        <v>195</v>
      </c>
      <c r="G41" s="17" t="s">
        <v>65</v>
      </c>
      <c r="H41" s="80">
        <f>H38</f>
        <v>0.56666666666666665</v>
      </c>
      <c r="I41" s="81">
        <f>I38</f>
        <v>100</v>
      </c>
      <c r="J41" s="76">
        <f t="shared" si="1"/>
        <v>56.666666666666664</v>
      </c>
      <c r="K41" s="77">
        <f>K38</f>
        <v>0</v>
      </c>
      <c r="L41" s="82">
        <f>L38</f>
        <v>1</v>
      </c>
      <c r="M41" s="52">
        <f t="shared" si="2"/>
        <v>0</v>
      </c>
      <c r="N41" s="51">
        <f t="shared" si="4"/>
        <v>0</v>
      </c>
      <c r="O41" s="78">
        <f t="shared" si="3"/>
        <v>0</v>
      </c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79"/>
    </row>
    <row r="42" spans="2:51">
      <c r="B42" s="83" t="s">
        <v>191</v>
      </c>
      <c r="C42" s="16" t="s">
        <v>192</v>
      </c>
      <c r="D42" s="84" t="s">
        <v>193</v>
      </c>
      <c r="E42" s="85" t="s">
        <v>194</v>
      </c>
      <c r="F42" s="86" t="s">
        <v>195</v>
      </c>
      <c r="G42" s="16" t="s">
        <v>179</v>
      </c>
      <c r="H42" s="87">
        <f>CHOOSE(IF(OR($D$4="Expert input",$J$38=0),4,IF($D$4="+25%",2,IF($D$4="+50%",3,1))),H38,H39,H40,H41)</f>
        <v>0.56666666666666665</v>
      </c>
      <c r="I42" s="88">
        <f>CHOOSE(IF(OR($D$4="Expert input",$J$38=0),4,IF($D$4="+25%",2,IF($D$4="+50%",3,1))),I38,I39,I40,I41)</f>
        <v>100</v>
      </c>
      <c r="J42" s="88">
        <f t="shared" si="1"/>
        <v>56.666666666666664</v>
      </c>
      <c r="K42" s="54">
        <f>K38</f>
        <v>0</v>
      </c>
      <c r="L42" s="53">
        <f>CHOOSE(IF(OR($D$4="Expert input",$J$38=0),4,IF($D$4="+25%",2,IF($D$4="+50%",3,1))),L38,L39,L40,L41)</f>
        <v>1</v>
      </c>
      <c r="M42" s="54">
        <f t="shared" si="2"/>
        <v>0</v>
      </c>
      <c r="N42" s="53">
        <f t="shared" si="4"/>
        <v>0</v>
      </c>
      <c r="O42" s="54">
        <f t="shared" si="3"/>
        <v>0</v>
      </c>
      <c r="P42" s="43"/>
      <c r="Q42" s="43">
        <v>0.67</v>
      </c>
      <c r="R42" s="43">
        <v>0.33</v>
      </c>
      <c r="S42" s="43"/>
      <c r="T42" s="43"/>
      <c r="U42" s="43"/>
      <c r="V42" s="43"/>
      <c r="W42" s="43"/>
      <c r="X42" s="43"/>
      <c r="Y42" s="43"/>
      <c r="Z42" s="43"/>
      <c r="AA42" s="43"/>
      <c r="AB42" s="89">
        <f>P42*$N42</f>
        <v>0</v>
      </c>
      <c r="AC42" s="90">
        <f>P42*$O42</f>
        <v>0</v>
      </c>
      <c r="AD42" s="89">
        <f>Q42*$N42</f>
        <v>0</v>
      </c>
      <c r="AE42" s="90">
        <f>Q42*$O42</f>
        <v>0</v>
      </c>
      <c r="AF42" s="89">
        <f>R42*$N42</f>
        <v>0</v>
      </c>
      <c r="AG42" s="90">
        <f>R42*$O42</f>
        <v>0</v>
      </c>
      <c r="AH42" s="89">
        <f>S42*$N42</f>
        <v>0</v>
      </c>
      <c r="AI42" s="90">
        <f>S42*$O42</f>
        <v>0</v>
      </c>
      <c r="AJ42" s="89">
        <f>T42*$N42</f>
        <v>0</v>
      </c>
      <c r="AK42" s="90">
        <f>T42*$O42</f>
        <v>0</v>
      </c>
      <c r="AL42" s="89">
        <f>U42*$N42</f>
        <v>0</v>
      </c>
      <c r="AM42" s="90">
        <f>U42*$O42</f>
        <v>0</v>
      </c>
      <c r="AN42" s="89">
        <f>V42*$N42</f>
        <v>0</v>
      </c>
      <c r="AO42" s="90">
        <f>V42*$O42</f>
        <v>0</v>
      </c>
      <c r="AP42" s="89">
        <f>W42*$N42</f>
        <v>0</v>
      </c>
      <c r="AQ42" s="90">
        <f>W42*$O42</f>
        <v>0</v>
      </c>
      <c r="AR42" s="89">
        <f>X42*$N42</f>
        <v>0</v>
      </c>
      <c r="AS42" s="90">
        <f>X42*$O42</f>
        <v>0</v>
      </c>
      <c r="AT42" s="89">
        <f>Y42*$N42</f>
        <v>0</v>
      </c>
      <c r="AU42" s="90">
        <f>Y42*$O42</f>
        <v>0</v>
      </c>
      <c r="AV42" s="89">
        <f>Z42*$N42</f>
        <v>0</v>
      </c>
      <c r="AW42" s="90">
        <f>Z42*$O42</f>
        <v>0</v>
      </c>
      <c r="AX42" s="89">
        <f>AA42*$N42</f>
        <v>0</v>
      </c>
      <c r="AY42" s="90">
        <f>AA42*$O42</f>
        <v>0</v>
      </c>
    </row>
    <row r="43" spans="2:51" outlineLevel="1">
      <c r="B43" s="58" t="s">
        <v>196</v>
      </c>
      <c r="C43" s="59" t="s">
        <v>197</v>
      </c>
      <c r="D43" s="60" t="s">
        <v>198</v>
      </c>
      <c r="E43" s="61" t="s">
        <v>194</v>
      </c>
      <c r="F43" s="62" t="s">
        <v>195</v>
      </c>
      <c r="G43" s="59" t="s">
        <v>62</v>
      </c>
      <c r="H43" s="63">
        <f>IFERROR(INDEX('Benchmark Data'!$AC$7:$AC$130,MATCH($B43,'Benchmark Data'!$A$7:$A$130,0)),0)</f>
        <v>0.5</v>
      </c>
      <c r="I43" s="64">
        <f>IFERROR(INDEX('Benchmark Data'!$AD$7:$AD$130,MATCH($B43,'Benchmark Data'!$A$7:$A$130,0)),0)</f>
        <v>100</v>
      </c>
      <c r="J43" s="65">
        <f t="shared" si="1"/>
        <v>50</v>
      </c>
      <c r="K43" s="91"/>
      <c r="L43" s="29">
        <f>IFERROR(INDEX('Benchmark Data'!$AE$7:$AE$130,MATCH($B43,'Benchmark Data'!$A$7:$A$130,0)),0)</f>
        <v>1</v>
      </c>
      <c r="M43" s="67">
        <f t="shared" si="2"/>
        <v>0</v>
      </c>
      <c r="N43" s="68">
        <f t="shared" si="4"/>
        <v>0</v>
      </c>
      <c r="O43" s="69">
        <f t="shared" si="3"/>
        <v>0</v>
      </c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</row>
    <row r="44" spans="2:51" outlineLevel="1">
      <c r="B44" s="71" t="s">
        <v>196</v>
      </c>
      <c r="C44" s="72" t="s">
        <v>197</v>
      </c>
      <c r="D44" s="73" t="s">
        <v>198</v>
      </c>
      <c r="E44" s="71" t="s">
        <v>194</v>
      </c>
      <c r="F44" s="74" t="s">
        <v>195</v>
      </c>
      <c r="G44" s="17" t="s">
        <v>63</v>
      </c>
      <c r="H44" s="75">
        <f>H43</f>
        <v>0.5</v>
      </c>
      <c r="I44" s="76">
        <f>I43*(1+Settings!$C$8)</f>
        <v>125</v>
      </c>
      <c r="J44" s="76">
        <f t="shared" si="1"/>
        <v>62.5</v>
      </c>
      <c r="K44" s="77">
        <f>K43</f>
        <v>0</v>
      </c>
      <c r="L44" s="51">
        <f>L43</f>
        <v>1</v>
      </c>
      <c r="M44" s="52">
        <f t="shared" si="2"/>
        <v>0</v>
      </c>
      <c r="N44" s="51">
        <f t="shared" si="4"/>
        <v>0</v>
      </c>
      <c r="O44" s="78">
        <f t="shared" si="3"/>
        <v>0</v>
      </c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</row>
    <row r="45" spans="2:51" outlineLevel="1">
      <c r="B45" s="71" t="s">
        <v>196</v>
      </c>
      <c r="C45" s="72" t="s">
        <v>197</v>
      </c>
      <c r="D45" s="73" t="s">
        <v>198</v>
      </c>
      <c r="E45" s="71" t="s">
        <v>194</v>
      </c>
      <c r="F45" s="74" t="s">
        <v>195</v>
      </c>
      <c r="G45" s="17" t="s">
        <v>64</v>
      </c>
      <c r="H45" s="75">
        <f>H43</f>
        <v>0.5</v>
      </c>
      <c r="I45" s="76">
        <f>I43*(1+Settings!$C$9)</f>
        <v>150</v>
      </c>
      <c r="J45" s="76">
        <f t="shared" si="1"/>
        <v>75</v>
      </c>
      <c r="K45" s="77">
        <f>K43</f>
        <v>0</v>
      </c>
      <c r="L45" s="51">
        <f>L43</f>
        <v>1</v>
      </c>
      <c r="M45" s="52">
        <f t="shared" si="2"/>
        <v>0</v>
      </c>
      <c r="N45" s="51">
        <f t="shared" si="4"/>
        <v>0</v>
      </c>
      <c r="O45" s="78">
        <f t="shared" si="3"/>
        <v>0</v>
      </c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  <c r="AY45" s="79"/>
    </row>
    <row r="46" spans="2:51" outlineLevel="1">
      <c r="B46" s="71" t="s">
        <v>196</v>
      </c>
      <c r="C46" s="72" t="s">
        <v>197</v>
      </c>
      <c r="D46" s="73" t="s">
        <v>198</v>
      </c>
      <c r="E46" s="71" t="s">
        <v>194</v>
      </c>
      <c r="F46" s="74" t="s">
        <v>195</v>
      </c>
      <c r="G46" s="17" t="s">
        <v>65</v>
      </c>
      <c r="H46" s="80">
        <f>H43</f>
        <v>0.5</v>
      </c>
      <c r="I46" s="81">
        <f>I43</f>
        <v>100</v>
      </c>
      <c r="J46" s="76">
        <f t="shared" si="1"/>
        <v>50</v>
      </c>
      <c r="K46" s="77">
        <f>K43</f>
        <v>0</v>
      </c>
      <c r="L46" s="82">
        <f>L43</f>
        <v>1</v>
      </c>
      <c r="M46" s="52">
        <f t="shared" si="2"/>
        <v>0</v>
      </c>
      <c r="N46" s="51">
        <f t="shared" si="4"/>
        <v>0</v>
      </c>
      <c r="O46" s="78">
        <f t="shared" si="3"/>
        <v>0</v>
      </c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</row>
    <row r="47" spans="2:51">
      <c r="B47" s="83" t="s">
        <v>196</v>
      </c>
      <c r="C47" s="16" t="s">
        <v>197</v>
      </c>
      <c r="D47" s="84" t="s">
        <v>198</v>
      </c>
      <c r="E47" s="85" t="s">
        <v>194</v>
      </c>
      <c r="F47" s="86" t="s">
        <v>195</v>
      </c>
      <c r="G47" s="16" t="s">
        <v>179</v>
      </c>
      <c r="H47" s="87">
        <f>CHOOSE(IF(OR($D$4="Expert input",$J$43=0),4,IF($D$4="+25%",2,IF($D$4="+50%",3,1))),H43,H44,H45,H46)</f>
        <v>0.5</v>
      </c>
      <c r="I47" s="88">
        <f>CHOOSE(IF(OR($D$4="Expert input",$J$43=0),4,IF($D$4="+25%",2,IF($D$4="+50%",3,1))),I43,I44,I45,I46)</f>
        <v>100</v>
      </c>
      <c r="J47" s="88">
        <f t="shared" si="1"/>
        <v>50</v>
      </c>
      <c r="K47" s="54">
        <f>K43</f>
        <v>0</v>
      </c>
      <c r="L47" s="53">
        <f>CHOOSE(IF(OR($D$4="Expert input",$J$43=0),4,IF($D$4="+25%",2,IF($D$4="+50%",3,1))),L43,L44,L45,L46)</f>
        <v>1</v>
      </c>
      <c r="M47" s="54">
        <f t="shared" si="2"/>
        <v>0</v>
      </c>
      <c r="N47" s="53">
        <f t="shared" si="4"/>
        <v>0</v>
      </c>
      <c r="O47" s="54">
        <f t="shared" si="3"/>
        <v>0</v>
      </c>
      <c r="P47" s="43"/>
      <c r="Q47" s="43">
        <v>1</v>
      </c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89">
        <f>P47*$N47</f>
        <v>0</v>
      </c>
      <c r="AC47" s="90">
        <f>P47*$O47</f>
        <v>0</v>
      </c>
      <c r="AD47" s="89">
        <f>Q47*$N47</f>
        <v>0</v>
      </c>
      <c r="AE47" s="90">
        <f>Q47*$O47</f>
        <v>0</v>
      </c>
      <c r="AF47" s="89">
        <f>R47*$N47</f>
        <v>0</v>
      </c>
      <c r="AG47" s="90">
        <f>R47*$O47</f>
        <v>0</v>
      </c>
      <c r="AH47" s="89">
        <f>S47*$N47</f>
        <v>0</v>
      </c>
      <c r="AI47" s="90">
        <f>S47*$O47</f>
        <v>0</v>
      </c>
      <c r="AJ47" s="89">
        <f>T47*$N47</f>
        <v>0</v>
      </c>
      <c r="AK47" s="90">
        <f>T47*$O47</f>
        <v>0</v>
      </c>
      <c r="AL47" s="89">
        <f>U47*$N47</f>
        <v>0</v>
      </c>
      <c r="AM47" s="90">
        <f>U47*$O47</f>
        <v>0</v>
      </c>
      <c r="AN47" s="89">
        <f>V47*$N47</f>
        <v>0</v>
      </c>
      <c r="AO47" s="90">
        <f>V47*$O47</f>
        <v>0</v>
      </c>
      <c r="AP47" s="89">
        <f>W47*$N47</f>
        <v>0</v>
      </c>
      <c r="AQ47" s="90">
        <f>W47*$O47</f>
        <v>0</v>
      </c>
      <c r="AR47" s="89">
        <f>X47*$N47</f>
        <v>0</v>
      </c>
      <c r="AS47" s="90">
        <f>X47*$O47</f>
        <v>0</v>
      </c>
      <c r="AT47" s="89">
        <f>Y47*$N47</f>
        <v>0</v>
      </c>
      <c r="AU47" s="90">
        <f>Y47*$O47</f>
        <v>0</v>
      </c>
      <c r="AV47" s="89">
        <f>Z47*$N47</f>
        <v>0</v>
      </c>
      <c r="AW47" s="90">
        <f>Z47*$O47</f>
        <v>0</v>
      </c>
      <c r="AX47" s="89">
        <f>AA47*$N47</f>
        <v>0</v>
      </c>
      <c r="AY47" s="90">
        <f>AA47*$O47</f>
        <v>0</v>
      </c>
    </row>
    <row r="48" spans="2:51" outlineLevel="1">
      <c r="B48" s="58" t="s">
        <v>199</v>
      </c>
      <c r="C48" s="59" t="s">
        <v>200</v>
      </c>
      <c r="D48" s="60" t="s">
        <v>201</v>
      </c>
      <c r="E48" s="61" t="s">
        <v>194</v>
      </c>
      <c r="F48" s="62" t="s">
        <v>202</v>
      </c>
      <c r="G48" s="59" t="s">
        <v>62</v>
      </c>
      <c r="H48" s="63">
        <f>IFERROR(INDEX('Benchmark Data'!$AC$7:$AC$130,MATCH($B48,'Benchmark Data'!$A$7:$A$130,0)),0)</f>
        <v>0.10833333333333334</v>
      </c>
      <c r="I48" s="64">
        <f>IFERROR(INDEX('Benchmark Data'!$AD$7:$AD$130,MATCH($B48,'Benchmark Data'!$A$7:$A$130,0)),0)</f>
        <v>138.46153846153845</v>
      </c>
      <c r="J48" s="65">
        <f t="shared" si="1"/>
        <v>15</v>
      </c>
      <c r="K48" s="91"/>
      <c r="L48" s="29">
        <f>IFERROR(INDEX('Benchmark Data'!$AE$7:$AE$130,MATCH($B48,'Benchmark Data'!$A$7:$A$130,0)),0)</f>
        <v>1</v>
      </c>
      <c r="M48" s="67">
        <f t="shared" si="2"/>
        <v>0</v>
      </c>
      <c r="N48" s="68">
        <f t="shared" si="4"/>
        <v>0</v>
      </c>
      <c r="O48" s="69">
        <f t="shared" si="3"/>
        <v>0</v>
      </c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</row>
    <row r="49" spans="2:51" outlineLevel="1">
      <c r="B49" s="71" t="s">
        <v>199</v>
      </c>
      <c r="C49" s="72" t="s">
        <v>200</v>
      </c>
      <c r="D49" s="73" t="s">
        <v>201</v>
      </c>
      <c r="E49" s="71" t="s">
        <v>194</v>
      </c>
      <c r="F49" s="74" t="s">
        <v>202</v>
      </c>
      <c r="G49" s="17" t="s">
        <v>63</v>
      </c>
      <c r="H49" s="75">
        <f>H48</f>
        <v>0.10833333333333334</v>
      </c>
      <c r="I49" s="76">
        <f>I48*(1+Settings!$C$8)</f>
        <v>173.07692307692307</v>
      </c>
      <c r="J49" s="76">
        <f t="shared" si="1"/>
        <v>18.75</v>
      </c>
      <c r="K49" s="77">
        <f>K48</f>
        <v>0</v>
      </c>
      <c r="L49" s="51">
        <f>L48</f>
        <v>1</v>
      </c>
      <c r="M49" s="52">
        <f t="shared" si="2"/>
        <v>0</v>
      </c>
      <c r="N49" s="51">
        <f t="shared" si="4"/>
        <v>0</v>
      </c>
      <c r="O49" s="78">
        <f t="shared" si="3"/>
        <v>0</v>
      </c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</row>
    <row r="50" spans="2:51" outlineLevel="1">
      <c r="B50" s="71" t="s">
        <v>199</v>
      </c>
      <c r="C50" s="72" t="s">
        <v>200</v>
      </c>
      <c r="D50" s="73" t="s">
        <v>201</v>
      </c>
      <c r="E50" s="71" t="s">
        <v>194</v>
      </c>
      <c r="F50" s="74" t="s">
        <v>202</v>
      </c>
      <c r="G50" s="17" t="s">
        <v>64</v>
      </c>
      <c r="H50" s="75">
        <f>H48</f>
        <v>0.10833333333333334</v>
      </c>
      <c r="I50" s="76">
        <f>I48*(1+Settings!$C$9)</f>
        <v>207.69230769230768</v>
      </c>
      <c r="J50" s="76">
        <f t="shared" ref="J50:J81" si="5">H50*I50</f>
        <v>22.5</v>
      </c>
      <c r="K50" s="77">
        <f>K48</f>
        <v>0</v>
      </c>
      <c r="L50" s="51">
        <f>L48</f>
        <v>1</v>
      </c>
      <c r="M50" s="52">
        <f t="shared" ref="M50:M81" si="6">K50*L50</f>
        <v>0</v>
      </c>
      <c r="N50" s="51">
        <f t="shared" ref="N50:N81" si="7">M50*H50</f>
        <v>0</v>
      </c>
      <c r="O50" s="78">
        <f t="shared" ref="O50:O81" si="8">M50*J50</f>
        <v>0</v>
      </c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</row>
    <row r="51" spans="2:51" outlineLevel="1">
      <c r="B51" s="71" t="s">
        <v>199</v>
      </c>
      <c r="C51" s="72" t="s">
        <v>200</v>
      </c>
      <c r="D51" s="73" t="s">
        <v>201</v>
      </c>
      <c r="E51" s="71" t="s">
        <v>194</v>
      </c>
      <c r="F51" s="74" t="s">
        <v>202</v>
      </c>
      <c r="G51" s="17" t="s">
        <v>65</v>
      </c>
      <c r="H51" s="80">
        <f>H48</f>
        <v>0.10833333333333334</v>
      </c>
      <c r="I51" s="81">
        <f>I48</f>
        <v>138.46153846153845</v>
      </c>
      <c r="J51" s="76">
        <f t="shared" si="5"/>
        <v>15</v>
      </c>
      <c r="K51" s="77">
        <f>K48</f>
        <v>0</v>
      </c>
      <c r="L51" s="82">
        <f>L48</f>
        <v>1</v>
      </c>
      <c r="M51" s="52">
        <f t="shared" si="6"/>
        <v>0</v>
      </c>
      <c r="N51" s="51">
        <f t="shared" si="7"/>
        <v>0</v>
      </c>
      <c r="O51" s="78">
        <f t="shared" si="8"/>
        <v>0</v>
      </c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  <c r="AG51" s="79"/>
      <c r="AH51" s="79"/>
      <c r="AI51" s="79"/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</row>
    <row r="52" spans="2:51">
      <c r="B52" s="83" t="s">
        <v>199</v>
      </c>
      <c r="C52" s="16" t="s">
        <v>200</v>
      </c>
      <c r="D52" s="84" t="s">
        <v>201</v>
      </c>
      <c r="E52" s="85" t="s">
        <v>194</v>
      </c>
      <c r="F52" s="86" t="s">
        <v>202</v>
      </c>
      <c r="G52" s="16" t="s">
        <v>179</v>
      </c>
      <c r="H52" s="87">
        <f>CHOOSE(IF(OR($D$4="Expert input",$J$48=0),4,IF($D$4="+25%",2,IF($D$4="+50%",3,1))),H48,H49,H50,H51)</f>
        <v>0.10833333333333334</v>
      </c>
      <c r="I52" s="88">
        <f>CHOOSE(IF(OR($D$4="Expert input",$J$48=0),4,IF($D$4="+25%",2,IF($D$4="+50%",3,1))),I48,I49,I50,I51)</f>
        <v>138.46153846153845</v>
      </c>
      <c r="J52" s="88">
        <f t="shared" si="5"/>
        <v>15</v>
      </c>
      <c r="K52" s="54">
        <f>K48</f>
        <v>0</v>
      </c>
      <c r="L52" s="53">
        <f>CHOOSE(IF(OR($D$4="Expert input",$J$48=0),4,IF($D$4="+25%",2,IF($D$4="+50%",3,1))),L48,L49,L50,L51)</f>
        <v>1</v>
      </c>
      <c r="M52" s="54">
        <f t="shared" si="6"/>
        <v>0</v>
      </c>
      <c r="N52" s="53">
        <f t="shared" si="7"/>
        <v>0</v>
      </c>
      <c r="O52" s="54">
        <f t="shared" si="8"/>
        <v>0</v>
      </c>
      <c r="P52" s="43"/>
      <c r="Q52" s="43"/>
      <c r="R52" s="43">
        <v>0.67</v>
      </c>
      <c r="S52" s="43">
        <v>0.33</v>
      </c>
      <c r="T52" s="43"/>
      <c r="U52" s="43"/>
      <c r="V52" s="43"/>
      <c r="W52" s="43"/>
      <c r="X52" s="43"/>
      <c r="Y52" s="43"/>
      <c r="Z52" s="43"/>
      <c r="AA52" s="43"/>
      <c r="AB52" s="89">
        <f>P52*$N52</f>
        <v>0</v>
      </c>
      <c r="AC52" s="90">
        <f>P52*$O52</f>
        <v>0</v>
      </c>
      <c r="AD52" s="89">
        <f>Q52*$N52</f>
        <v>0</v>
      </c>
      <c r="AE52" s="90">
        <f>Q52*$O52</f>
        <v>0</v>
      </c>
      <c r="AF52" s="89">
        <f>R52*$N52</f>
        <v>0</v>
      </c>
      <c r="AG52" s="90">
        <f>R52*$O52</f>
        <v>0</v>
      </c>
      <c r="AH52" s="89">
        <f>S52*$N52</f>
        <v>0</v>
      </c>
      <c r="AI52" s="90">
        <f>S52*$O52</f>
        <v>0</v>
      </c>
      <c r="AJ52" s="89">
        <f>T52*$N52</f>
        <v>0</v>
      </c>
      <c r="AK52" s="90">
        <f>T52*$O52</f>
        <v>0</v>
      </c>
      <c r="AL52" s="89">
        <f>U52*$N52</f>
        <v>0</v>
      </c>
      <c r="AM52" s="90">
        <f>U52*$O52</f>
        <v>0</v>
      </c>
      <c r="AN52" s="89">
        <f>V52*$N52</f>
        <v>0</v>
      </c>
      <c r="AO52" s="90">
        <f>V52*$O52</f>
        <v>0</v>
      </c>
      <c r="AP52" s="89">
        <f>W52*$N52</f>
        <v>0</v>
      </c>
      <c r="AQ52" s="90">
        <f>W52*$O52</f>
        <v>0</v>
      </c>
      <c r="AR52" s="89">
        <f>X52*$N52</f>
        <v>0</v>
      </c>
      <c r="AS52" s="90">
        <f>X52*$O52</f>
        <v>0</v>
      </c>
      <c r="AT52" s="89">
        <f>Y52*$N52</f>
        <v>0</v>
      </c>
      <c r="AU52" s="90">
        <f>Y52*$O52</f>
        <v>0</v>
      </c>
      <c r="AV52" s="89">
        <f>Z52*$N52</f>
        <v>0</v>
      </c>
      <c r="AW52" s="90">
        <f>Z52*$O52</f>
        <v>0</v>
      </c>
      <c r="AX52" s="89">
        <f>AA52*$N52</f>
        <v>0</v>
      </c>
      <c r="AY52" s="90">
        <f>AA52*$O52</f>
        <v>0</v>
      </c>
    </row>
    <row r="53" spans="2:51" outlineLevel="1">
      <c r="B53" s="58" t="s">
        <v>203</v>
      </c>
      <c r="C53" s="59" t="s">
        <v>204</v>
      </c>
      <c r="D53" s="60" t="s">
        <v>205</v>
      </c>
      <c r="E53" s="61" t="s">
        <v>194</v>
      </c>
      <c r="F53" s="62" t="s">
        <v>206</v>
      </c>
      <c r="G53" s="59" t="s">
        <v>62</v>
      </c>
      <c r="H53" s="63">
        <f>IFERROR(INDEX('Benchmark Data'!$AC$7:$AC$130,MATCH($B53,'Benchmark Data'!$A$7:$A$130,0)),0)</f>
        <v>5.0000000000000001E-3</v>
      </c>
      <c r="I53" s="64">
        <f>IFERROR(INDEX('Benchmark Data'!$AD$7:$AD$130,MATCH($B53,'Benchmark Data'!$A$7:$A$130,0)),0)</f>
        <v>186.66666666666666</v>
      </c>
      <c r="J53" s="65">
        <f t="shared" si="5"/>
        <v>0.93333333333333335</v>
      </c>
      <c r="K53" s="66">
        <f>$F$9</f>
        <v>0</v>
      </c>
      <c r="L53" s="29">
        <f>IFERROR(INDEX('Benchmark Data'!$AE$7:$AE$130,MATCH($B53,'Benchmark Data'!$A$7:$A$130,0)),0)</f>
        <v>1</v>
      </c>
      <c r="M53" s="67">
        <f t="shared" si="6"/>
        <v>0</v>
      </c>
      <c r="N53" s="68">
        <f t="shared" si="7"/>
        <v>0</v>
      </c>
      <c r="O53" s="69">
        <f t="shared" si="8"/>
        <v>0</v>
      </c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</row>
    <row r="54" spans="2:51" outlineLevel="1">
      <c r="B54" s="71" t="s">
        <v>203</v>
      </c>
      <c r="C54" s="72" t="s">
        <v>204</v>
      </c>
      <c r="D54" s="73" t="s">
        <v>205</v>
      </c>
      <c r="E54" s="71" t="s">
        <v>194</v>
      </c>
      <c r="F54" s="74" t="s">
        <v>206</v>
      </c>
      <c r="G54" s="17" t="s">
        <v>63</v>
      </c>
      <c r="H54" s="75">
        <f>H53</f>
        <v>5.0000000000000001E-3</v>
      </c>
      <c r="I54" s="76">
        <f>I53*(1+Settings!$C$8)</f>
        <v>233.33333333333331</v>
      </c>
      <c r="J54" s="76">
        <f t="shared" si="5"/>
        <v>1.1666666666666665</v>
      </c>
      <c r="K54" s="77">
        <f>K53</f>
        <v>0</v>
      </c>
      <c r="L54" s="51">
        <f>L53</f>
        <v>1</v>
      </c>
      <c r="M54" s="52">
        <f t="shared" si="6"/>
        <v>0</v>
      </c>
      <c r="N54" s="51">
        <f t="shared" si="7"/>
        <v>0</v>
      </c>
      <c r="O54" s="78">
        <f t="shared" si="8"/>
        <v>0</v>
      </c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</row>
    <row r="55" spans="2:51" outlineLevel="1">
      <c r="B55" s="71" t="s">
        <v>203</v>
      </c>
      <c r="C55" s="72" t="s">
        <v>204</v>
      </c>
      <c r="D55" s="73" t="s">
        <v>205</v>
      </c>
      <c r="E55" s="71" t="s">
        <v>194</v>
      </c>
      <c r="F55" s="74" t="s">
        <v>206</v>
      </c>
      <c r="G55" s="17" t="s">
        <v>64</v>
      </c>
      <c r="H55" s="75">
        <f>H53</f>
        <v>5.0000000000000001E-3</v>
      </c>
      <c r="I55" s="76">
        <f>I53*(1+Settings!$C$9)</f>
        <v>280</v>
      </c>
      <c r="J55" s="76">
        <f t="shared" si="5"/>
        <v>1.4000000000000001</v>
      </c>
      <c r="K55" s="77">
        <f>K53</f>
        <v>0</v>
      </c>
      <c r="L55" s="51">
        <f>L53</f>
        <v>1</v>
      </c>
      <c r="M55" s="52">
        <f t="shared" si="6"/>
        <v>0</v>
      </c>
      <c r="N55" s="51">
        <f t="shared" si="7"/>
        <v>0</v>
      </c>
      <c r="O55" s="78">
        <f t="shared" si="8"/>
        <v>0</v>
      </c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</row>
    <row r="56" spans="2:51" outlineLevel="1">
      <c r="B56" s="71" t="s">
        <v>203</v>
      </c>
      <c r="C56" s="72" t="s">
        <v>204</v>
      </c>
      <c r="D56" s="73" t="s">
        <v>205</v>
      </c>
      <c r="E56" s="71" t="s">
        <v>194</v>
      </c>
      <c r="F56" s="74" t="s">
        <v>206</v>
      </c>
      <c r="G56" s="17" t="s">
        <v>65</v>
      </c>
      <c r="H56" s="80">
        <f>H53</f>
        <v>5.0000000000000001E-3</v>
      </c>
      <c r="I56" s="81">
        <f>I53</f>
        <v>186.66666666666666</v>
      </c>
      <c r="J56" s="76">
        <f t="shared" si="5"/>
        <v>0.93333333333333335</v>
      </c>
      <c r="K56" s="77">
        <f>K53</f>
        <v>0</v>
      </c>
      <c r="L56" s="82">
        <f>L53</f>
        <v>1</v>
      </c>
      <c r="M56" s="52">
        <f t="shared" si="6"/>
        <v>0</v>
      </c>
      <c r="N56" s="51">
        <f t="shared" si="7"/>
        <v>0</v>
      </c>
      <c r="O56" s="78">
        <f t="shared" si="8"/>
        <v>0</v>
      </c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</row>
    <row r="57" spans="2:51">
      <c r="B57" s="83" t="s">
        <v>203</v>
      </c>
      <c r="C57" s="16" t="s">
        <v>204</v>
      </c>
      <c r="D57" s="84" t="s">
        <v>205</v>
      </c>
      <c r="E57" s="85" t="s">
        <v>194</v>
      </c>
      <c r="F57" s="86" t="s">
        <v>206</v>
      </c>
      <c r="G57" s="16" t="s">
        <v>179</v>
      </c>
      <c r="H57" s="87">
        <f>CHOOSE(IF(OR($D$4="Expert input",$J$53=0),4,IF($D$4="+25%",2,IF($D$4="+50%",3,1))),H53,H54,H55,H56)</f>
        <v>5.0000000000000001E-3</v>
      </c>
      <c r="I57" s="88">
        <f>CHOOSE(IF(OR($D$4="Expert input",$J$53=0),4,IF($D$4="+25%",2,IF($D$4="+50%",3,1))),I53,I54,I55,I56)</f>
        <v>186.66666666666666</v>
      </c>
      <c r="J57" s="88">
        <f t="shared" si="5"/>
        <v>0.93333333333333335</v>
      </c>
      <c r="K57" s="54">
        <f>K53</f>
        <v>0</v>
      </c>
      <c r="L57" s="53">
        <f>CHOOSE(IF(OR($D$4="Expert input",$J$53=0),4,IF($D$4="+25%",2,IF($D$4="+50%",3,1))),L53,L54,L55,L56)</f>
        <v>1</v>
      </c>
      <c r="M57" s="54">
        <f t="shared" si="6"/>
        <v>0</v>
      </c>
      <c r="N57" s="53">
        <f t="shared" si="7"/>
        <v>0</v>
      </c>
      <c r="O57" s="54">
        <f t="shared" si="8"/>
        <v>0</v>
      </c>
      <c r="P57" s="43"/>
      <c r="Q57" s="43"/>
      <c r="R57" s="43">
        <v>0.66</v>
      </c>
      <c r="S57" s="43">
        <v>0.17</v>
      </c>
      <c r="T57" s="43">
        <v>0.17</v>
      </c>
      <c r="U57" s="43"/>
      <c r="V57" s="43"/>
      <c r="W57" s="43"/>
      <c r="X57" s="43"/>
      <c r="Y57" s="43"/>
      <c r="Z57" s="43"/>
      <c r="AA57" s="43"/>
      <c r="AB57" s="89">
        <f>P57*$N57</f>
        <v>0</v>
      </c>
      <c r="AC57" s="90">
        <f>P57*$O57</f>
        <v>0</v>
      </c>
      <c r="AD57" s="89">
        <f>Q57*$N57</f>
        <v>0</v>
      </c>
      <c r="AE57" s="90">
        <f>Q57*$O57</f>
        <v>0</v>
      </c>
      <c r="AF57" s="89">
        <f>R57*$N57</f>
        <v>0</v>
      </c>
      <c r="AG57" s="90">
        <f>R57*$O57</f>
        <v>0</v>
      </c>
      <c r="AH57" s="89">
        <f>S57*$N57</f>
        <v>0</v>
      </c>
      <c r="AI57" s="90">
        <f>S57*$O57</f>
        <v>0</v>
      </c>
      <c r="AJ57" s="89">
        <f>T57*$N57</f>
        <v>0</v>
      </c>
      <c r="AK57" s="90">
        <f>T57*$O57</f>
        <v>0</v>
      </c>
      <c r="AL57" s="89">
        <f>U57*$N57</f>
        <v>0</v>
      </c>
      <c r="AM57" s="90">
        <f>U57*$O57</f>
        <v>0</v>
      </c>
      <c r="AN57" s="89">
        <f>V57*$N57</f>
        <v>0</v>
      </c>
      <c r="AO57" s="90">
        <f>V57*$O57</f>
        <v>0</v>
      </c>
      <c r="AP57" s="89">
        <f>W57*$N57</f>
        <v>0</v>
      </c>
      <c r="AQ57" s="90">
        <f>W57*$O57</f>
        <v>0</v>
      </c>
      <c r="AR57" s="89">
        <f>X57*$N57</f>
        <v>0</v>
      </c>
      <c r="AS57" s="90">
        <f>X57*$O57</f>
        <v>0</v>
      </c>
      <c r="AT57" s="89">
        <f>Y57*$N57</f>
        <v>0</v>
      </c>
      <c r="AU57" s="90">
        <f>Y57*$O57</f>
        <v>0</v>
      </c>
      <c r="AV57" s="89">
        <f>Z57*$N57</f>
        <v>0</v>
      </c>
      <c r="AW57" s="90">
        <f>Z57*$O57</f>
        <v>0</v>
      </c>
      <c r="AX57" s="89">
        <f>AA57*$N57</f>
        <v>0</v>
      </c>
      <c r="AY57" s="90">
        <f>AA57*$O57</f>
        <v>0</v>
      </c>
    </row>
    <row r="58" spans="2:51" outlineLevel="1">
      <c r="B58" s="58" t="s">
        <v>207</v>
      </c>
      <c r="C58" s="59" t="s">
        <v>208</v>
      </c>
      <c r="D58" s="60" t="s">
        <v>209</v>
      </c>
      <c r="E58" s="61" t="s">
        <v>194</v>
      </c>
      <c r="F58" s="62" t="s">
        <v>206</v>
      </c>
      <c r="G58" s="59" t="s">
        <v>62</v>
      </c>
      <c r="H58" s="63">
        <f>IFERROR(INDEX('Benchmark Data'!$AC$7:$AC$130,MATCH($B58,'Benchmark Data'!$A$7:$A$130,0)),0)</f>
        <v>5.5555555555555532E-3</v>
      </c>
      <c r="I58" s="64">
        <f>IFERROR(INDEX('Benchmark Data'!$AD$7:$AD$130,MATCH($B58,'Benchmark Data'!$A$7:$A$130,0)),0)</f>
        <v>180.00000000000009</v>
      </c>
      <c r="J58" s="65">
        <f t="shared" si="5"/>
        <v>1</v>
      </c>
      <c r="K58" s="66">
        <f>$F$9</f>
        <v>0</v>
      </c>
      <c r="L58" s="29">
        <f>IFERROR(INDEX('Benchmark Data'!$AE$7:$AE$130,MATCH($B58,'Benchmark Data'!$A$7:$A$130,0)),0)</f>
        <v>1</v>
      </c>
      <c r="M58" s="67">
        <f t="shared" si="6"/>
        <v>0</v>
      </c>
      <c r="N58" s="68">
        <f t="shared" si="7"/>
        <v>0</v>
      </c>
      <c r="O58" s="69">
        <f t="shared" si="8"/>
        <v>0</v>
      </c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</row>
    <row r="59" spans="2:51" outlineLevel="1">
      <c r="B59" s="71" t="s">
        <v>207</v>
      </c>
      <c r="C59" s="72" t="s">
        <v>208</v>
      </c>
      <c r="D59" s="73" t="s">
        <v>209</v>
      </c>
      <c r="E59" s="71" t="s">
        <v>194</v>
      </c>
      <c r="F59" s="74" t="s">
        <v>206</v>
      </c>
      <c r="G59" s="17" t="s">
        <v>63</v>
      </c>
      <c r="H59" s="75">
        <f>H58</f>
        <v>5.5555555555555532E-3</v>
      </c>
      <c r="I59" s="76">
        <f>I58*(1+Settings!$C$8)</f>
        <v>225.00000000000011</v>
      </c>
      <c r="J59" s="76">
        <f t="shared" si="5"/>
        <v>1.25</v>
      </c>
      <c r="K59" s="77">
        <f>K58</f>
        <v>0</v>
      </c>
      <c r="L59" s="51">
        <f>L58</f>
        <v>1</v>
      </c>
      <c r="M59" s="52">
        <f t="shared" si="6"/>
        <v>0</v>
      </c>
      <c r="N59" s="51">
        <f t="shared" si="7"/>
        <v>0</v>
      </c>
      <c r="O59" s="78">
        <f t="shared" si="8"/>
        <v>0</v>
      </c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  <c r="AY59" s="79"/>
    </row>
    <row r="60" spans="2:51" outlineLevel="1">
      <c r="B60" s="71" t="s">
        <v>207</v>
      </c>
      <c r="C60" s="72" t="s">
        <v>208</v>
      </c>
      <c r="D60" s="73" t="s">
        <v>209</v>
      </c>
      <c r="E60" s="71" t="s">
        <v>194</v>
      </c>
      <c r="F60" s="74" t="s">
        <v>206</v>
      </c>
      <c r="G60" s="17" t="s">
        <v>64</v>
      </c>
      <c r="H60" s="75">
        <f>H58</f>
        <v>5.5555555555555532E-3</v>
      </c>
      <c r="I60" s="76">
        <f>I58*(1+Settings!$C$9)</f>
        <v>270.00000000000011</v>
      </c>
      <c r="J60" s="76">
        <f t="shared" si="5"/>
        <v>1.5</v>
      </c>
      <c r="K60" s="77">
        <f>K58</f>
        <v>0</v>
      </c>
      <c r="L60" s="51">
        <f>L58</f>
        <v>1</v>
      </c>
      <c r="M60" s="52">
        <f t="shared" si="6"/>
        <v>0</v>
      </c>
      <c r="N60" s="51">
        <f t="shared" si="7"/>
        <v>0</v>
      </c>
      <c r="O60" s="78">
        <f t="shared" si="8"/>
        <v>0</v>
      </c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</row>
    <row r="61" spans="2:51" outlineLevel="1">
      <c r="B61" s="71" t="s">
        <v>207</v>
      </c>
      <c r="C61" s="72" t="s">
        <v>208</v>
      </c>
      <c r="D61" s="73" t="s">
        <v>209</v>
      </c>
      <c r="E61" s="71" t="s">
        <v>194</v>
      </c>
      <c r="F61" s="74" t="s">
        <v>206</v>
      </c>
      <c r="G61" s="17" t="s">
        <v>65</v>
      </c>
      <c r="H61" s="80">
        <f>H58</f>
        <v>5.5555555555555532E-3</v>
      </c>
      <c r="I61" s="81">
        <f>I58</f>
        <v>180.00000000000009</v>
      </c>
      <c r="J61" s="76">
        <f t="shared" si="5"/>
        <v>1</v>
      </c>
      <c r="K61" s="77">
        <f>K58</f>
        <v>0</v>
      </c>
      <c r="L61" s="82">
        <f>L58</f>
        <v>1</v>
      </c>
      <c r="M61" s="52">
        <f t="shared" si="6"/>
        <v>0</v>
      </c>
      <c r="N61" s="51">
        <f t="shared" si="7"/>
        <v>0</v>
      </c>
      <c r="O61" s="78">
        <f t="shared" si="8"/>
        <v>0</v>
      </c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</row>
    <row r="62" spans="2:51">
      <c r="B62" s="83" t="s">
        <v>207</v>
      </c>
      <c r="C62" s="16" t="s">
        <v>208</v>
      </c>
      <c r="D62" s="84" t="s">
        <v>209</v>
      </c>
      <c r="E62" s="85" t="s">
        <v>194</v>
      </c>
      <c r="F62" s="86" t="s">
        <v>206</v>
      </c>
      <c r="G62" s="16" t="s">
        <v>179</v>
      </c>
      <c r="H62" s="87">
        <f>CHOOSE(IF(OR($D$4="Expert input",$J$58=0),4,IF($D$4="+25%",2,IF($D$4="+50%",3,1))),H58,H59,H60,H61)</f>
        <v>5.5555555555555532E-3</v>
      </c>
      <c r="I62" s="88">
        <f>CHOOSE(IF(OR($D$4="Expert input",$J$58=0),4,IF($D$4="+25%",2,IF($D$4="+50%",3,1))),I58,I59,I60,I61)</f>
        <v>180.00000000000009</v>
      </c>
      <c r="J62" s="88">
        <f t="shared" si="5"/>
        <v>1</v>
      </c>
      <c r="K62" s="54">
        <f>K58</f>
        <v>0</v>
      </c>
      <c r="L62" s="53">
        <f>CHOOSE(IF(OR($D$4="Expert input",$J$58=0),4,IF($D$4="+25%",2,IF($D$4="+50%",3,1))),L58,L59,L60,L61)</f>
        <v>1</v>
      </c>
      <c r="M62" s="54">
        <f t="shared" si="6"/>
        <v>0</v>
      </c>
      <c r="N62" s="53">
        <f t="shared" si="7"/>
        <v>0</v>
      </c>
      <c r="O62" s="54">
        <f t="shared" si="8"/>
        <v>0</v>
      </c>
      <c r="P62" s="43"/>
      <c r="Q62" s="43"/>
      <c r="R62" s="43">
        <v>0.33</v>
      </c>
      <c r="S62" s="43">
        <v>0.5</v>
      </c>
      <c r="T62" s="43">
        <v>0.17</v>
      </c>
      <c r="U62" s="43"/>
      <c r="V62" s="43"/>
      <c r="W62" s="43"/>
      <c r="X62" s="43"/>
      <c r="Y62" s="43"/>
      <c r="Z62" s="43"/>
      <c r="AA62" s="43"/>
      <c r="AB62" s="89">
        <f>P62*$N62</f>
        <v>0</v>
      </c>
      <c r="AC62" s="90">
        <f>P62*$O62</f>
        <v>0</v>
      </c>
      <c r="AD62" s="89">
        <f>Q62*$N62</f>
        <v>0</v>
      </c>
      <c r="AE62" s="90">
        <f>Q62*$O62</f>
        <v>0</v>
      </c>
      <c r="AF62" s="89">
        <f>R62*$N62</f>
        <v>0</v>
      </c>
      <c r="AG62" s="90">
        <f>R62*$O62</f>
        <v>0</v>
      </c>
      <c r="AH62" s="89">
        <f>S62*$N62</f>
        <v>0</v>
      </c>
      <c r="AI62" s="90">
        <f>S62*$O62</f>
        <v>0</v>
      </c>
      <c r="AJ62" s="89">
        <f>T62*$N62</f>
        <v>0</v>
      </c>
      <c r="AK62" s="90">
        <f>T62*$O62</f>
        <v>0</v>
      </c>
      <c r="AL62" s="89">
        <f>U62*$N62</f>
        <v>0</v>
      </c>
      <c r="AM62" s="90">
        <f>U62*$O62</f>
        <v>0</v>
      </c>
      <c r="AN62" s="89">
        <f>V62*$N62</f>
        <v>0</v>
      </c>
      <c r="AO62" s="90">
        <f>V62*$O62</f>
        <v>0</v>
      </c>
      <c r="AP62" s="89">
        <f>W62*$N62</f>
        <v>0</v>
      </c>
      <c r="AQ62" s="90">
        <f>W62*$O62</f>
        <v>0</v>
      </c>
      <c r="AR62" s="89">
        <f>X62*$N62</f>
        <v>0</v>
      </c>
      <c r="AS62" s="90">
        <f>X62*$O62</f>
        <v>0</v>
      </c>
      <c r="AT62" s="89">
        <f>Y62*$N62</f>
        <v>0</v>
      </c>
      <c r="AU62" s="90">
        <f>Y62*$O62</f>
        <v>0</v>
      </c>
      <c r="AV62" s="89">
        <f>Z62*$N62</f>
        <v>0</v>
      </c>
      <c r="AW62" s="90">
        <f>Z62*$O62</f>
        <v>0</v>
      </c>
      <c r="AX62" s="89">
        <f>AA62*$N62</f>
        <v>0</v>
      </c>
      <c r="AY62" s="90">
        <f>AA62*$O62</f>
        <v>0</v>
      </c>
    </row>
    <row r="63" spans="2:51" outlineLevel="1">
      <c r="B63" s="58" t="s">
        <v>210</v>
      </c>
      <c r="C63" s="59" t="s">
        <v>211</v>
      </c>
      <c r="D63" s="60" t="s">
        <v>212</v>
      </c>
      <c r="E63" s="61" t="s">
        <v>194</v>
      </c>
      <c r="F63" s="62" t="s">
        <v>117</v>
      </c>
      <c r="G63" s="59" t="s">
        <v>62</v>
      </c>
      <c r="H63" s="63">
        <f>IFERROR(INDEX('Benchmark Data'!$AC$7:$AC$130,MATCH($B63,'Benchmark Data'!$A$7:$A$130,0)),0)</f>
        <v>1</v>
      </c>
      <c r="I63" s="64">
        <f>IFERROR(INDEX('Benchmark Data'!$AD$7:$AD$130,MATCH($B63,'Benchmark Data'!$A$7:$A$130,0)),0)</f>
        <v>200</v>
      </c>
      <c r="J63" s="65">
        <f t="shared" si="5"/>
        <v>200</v>
      </c>
      <c r="K63" s="66">
        <f>$F$12</f>
        <v>0</v>
      </c>
      <c r="L63" s="29">
        <f>IFERROR(INDEX('Benchmark Data'!$AE$7:$AE$130,MATCH($B63,'Benchmark Data'!$A$7:$A$130,0)),0)</f>
        <v>1</v>
      </c>
      <c r="M63" s="67">
        <f t="shared" si="6"/>
        <v>0</v>
      </c>
      <c r="N63" s="68">
        <f t="shared" si="7"/>
        <v>0</v>
      </c>
      <c r="O63" s="69">
        <f t="shared" si="8"/>
        <v>0</v>
      </c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</row>
    <row r="64" spans="2:51" outlineLevel="1">
      <c r="B64" s="71" t="s">
        <v>210</v>
      </c>
      <c r="C64" s="72" t="s">
        <v>211</v>
      </c>
      <c r="D64" s="73" t="s">
        <v>212</v>
      </c>
      <c r="E64" s="71" t="s">
        <v>194</v>
      </c>
      <c r="F64" s="74" t="s">
        <v>117</v>
      </c>
      <c r="G64" s="17" t="s">
        <v>63</v>
      </c>
      <c r="H64" s="75">
        <f>H63</f>
        <v>1</v>
      </c>
      <c r="I64" s="76">
        <f>I63*(1+Settings!$C$8)</f>
        <v>250</v>
      </c>
      <c r="J64" s="76">
        <f t="shared" si="5"/>
        <v>250</v>
      </c>
      <c r="K64" s="77">
        <f>K63</f>
        <v>0</v>
      </c>
      <c r="L64" s="51">
        <f>L63</f>
        <v>1</v>
      </c>
      <c r="M64" s="52">
        <f t="shared" si="6"/>
        <v>0</v>
      </c>
      <c r="N64" s="51">
        <f t="shared" si="7"/>
        <v>0</v>
      </c>
      <c r="O64" s="78">
        <f t="shared" si="8"/>
        <v>0</v>
      </c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</row>
    <row r="65" spans="2:51" outlineLevel="1">
      <c r="B65" s="71" t="s">
        <v>210</v>
      </c>
      <c r="C65" s="72" t="s">
        <v>211</v>
      </c>
      <c r="D65" s="73" t="s">
        <v>212</v>
      </c>
      <c r="E65" s="71" t="s">
        <v>194</v>
      </c>
      <c r="F65" s="74" t="s">
        <v>117</v>
      </c>
      <c r="G65" s="17" t="s">
        <v>64</v>
      </c>
      <c r="H65" s="75">
        <f>H63</f>
        <v>1</v>
      </c>
      <c r="I65" s="76">
        <f>I63*(1+Settings!$C$9)</f>
        <v>300</v>
      </c>
      <c r="J65" s="76">
        <f t="shared" si="5"/>
        <v>300</v>
      </c>
      <c r="K65" s="77">
        <f>K63</f>
        <v>0</v>
      </c>
      <c r="L65" s="51">
        <f>L63</f>
        <v>1</v>
      </c>
      <c r="M65" s="52">
        <f t="shared" si="6"/>
        <v>0</v>
      </c>
      <c r="N65" s="51">
        <f t="shared" si="7"/>
        <v>0</v>
      </c>
      <c r="O65" s="78">
        <f t="shared" si="8"/>
        <v>0</v>
      </c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</row>
    <row r="66" spans="2:51" outlineLevel="1">
      <c r="B66" s="71" t="s">
        <v>210</v>
      </c>
      <c r="C66" s="72" t="s">
        <v>211</v>
      </c>
      <c r="D66" s="73" t="s">
        <v>212</v>
      </c>
      <c r="E66" s="71" t="s">
        <v>194</v>
      </c>
      <c r="F66" s="74" t="s">
        <v>117</v>
      </c>
      <c r="G66" s="17" t="s">
        <v>65</v>
      </c>
      <c r="H66" s="80">
        <f>H63</f>
        <v>1</v>
      </c>
      <c r="I66" s="81">
        <f>I63</f>
        <v>200</v>
      </c>
      <c r="J66" s="76">
        <f t="shared" si="5"/>
        <v>200</v>
      </c>
      <c r="K66" s="77">
        <f>K63</f>
        <v>0</v>
      </c>
      <c r="L66" s="82">
        <f>L63</f>
        <v>1</v>
      </c>
      <c r="M66" s="52">
        <f t="shared" si="6"/>
        <v>0</v>
      </c>
      <c r="N66" s="51">
        <f t="shared" si="7"/>
        <v>0</v>
      </c>
      <c r="O66" s="78">
        <f t="shared" si="8"/>
        <v>0</v>
      </c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79"/>
      <c r="AT66" s="79"/>
      <c r="AU66" s="79"/>
      <c r="AV66" s="79"/>
      <c r="AW66" s="79"/>
      <c r="AX66" s="79"/>
      <c r="AY66" s="79"/>
    </row>
    <row r="67" spans="2:51">
      <c r="B67" s="83" t="s">
        <v>210</v>
      </c>
      <c r="C67" s="16" t="s">
        <v>211</v>
      </c>
      <c r="D67" s="84" t="s">
        <v>212</v>
      </c>
      <c r="E67" s="85" t="s">
        <v>194</v>
      </c>
      <c r="F67" s="86" t="s">
        <v>117</v>
      </c>
      <c r="G67" s="16" t="s">
        <v>179</v>
      </c>
      <c r="H67" s="87">
        <f>CHOOSE(IF(OR($D$4="Expert input",$J$63=0),4,IF($D$4="+25%",2,IF($D$4="+50%",3,1))),H63,H64,H65,H66)</f>
        <v>1</v>
      </c>
      <c r="I67" s="88">
        <f>CHOOSE(IF(OR($D$4="Expert input",$J$63=0),4,IF($D$4="+25%",2,IF($D$4="+50%",3,1))),I63,I64,I65,I66)</f>
        <v>200</v>
      </c>
      <c r="J67" s="88">
        <f t="shared" si="5"/>
        <v>200</v>
      </c>
      <c r="K67" s="54">
        <f>K63</f>
        <v>0</v>
      </c>
      <c r="L67" s="53">
        <f>CHOOSE(IF(OR($D$4="Expert input",$J$63=0),4,IF($D$4="+25%",2,IF($D$4="+50%",3,1))),L63,L64,L65,L66)</f>
        <v>1</v>
      </c>
      <c r="M67" s="54">
        <f t="shared" si="6"/>
        <v>0</v>
      </c>
      <c r="N67" s="53">
        <f t="shared" si="7"/>
        <v>0</v>
      </c>
      <c r="O67" s="54">
        <f t="shared" si="8"/>
        <v>0</v>
      </c>
      <c r="P67" s="43"/>
      <c r="Q67" s="43"/>
      <c r="R67" s="43"/>
      <c r="S67" s="43">
        <v>0.67</v>
      </c>
      <c r="T67" s="43">
        <v>0.33</v>
      </c>
      <c r="U67" s="43"/>
      <c r="V67" s="43"/>
      <c r="W67" s="43"/>
      <c r="X67" s="43"/>
      <c r="Y67" s="43"/>
      <c r="Z67" s="43"/>
      <c r="AA67" s="43"/>
      <c r="AB67" s="89">
        <f>P67*$N67</f>
        <v>0</v>
      </c>
      <c r="AC67" s="90">
        <f>P67*$O67</f>
        <v>0</v>
      </c>
      <c r="AD67" s="89">
        <f>Q67*$N67</f>
        <v>0</v>
      </c>
      <c r="AE67" s="90">
        <f>Q67*$O67</f>
        <v>0</v>
      </c>
      <c r="AF67" s="89">
        <f>R67*$N67</f>
        <v>0</v>
      </c>
      <c r="AG67" s="90">
        <f>R67*$O67</f>
        <v>0</v>
      </c>
      <c r="AH67" s="89">
        <f>S67*$N67</f>
        <v>0</v>
      </c>
      <c r="AI67" s="90">
        <f>S67*$O67</f>
        <v>0</v>
      </c>
      <c r="AJ67" s="89">
        <f>T67*$N67</f>
        <v>0</v>
      </c>
      <c r="AK67" s="90">
        <f>T67*$O67</f>
        <v>0</v>
      </c>
      <c r="AL67" s="89">
        <f>U67*$N67</f>
        <v>0</v>
      </c>
      <c r="AM67" s="90">
        <f>U67*$O67</f>
        <v>0</v>
      </c>
      <c r="AN67" s="89">
        <f>V67*$N67</f>
        <v>0</v>
      </c>
      <c r="AO67" s="90">
        <f>V67*$O67</f>
        <v>0</v>
      </c>
      <c r="AP67" s="89">
        <f>W67*$N67</f>
        <v>0</v>
      </c>
      <c r="AQ67" s="90">
        <f>W67*$O67</f>
        <v>0</v>
      </c>
      <c r="AR67" s="89">
        <f>X67*$N67</f>
        <v>0</v>
      </c>
      <c r="AS67" s="90">
        <f>X67*$O67</f>
        <v>0</v>
      </c>
      <c r="AT67" s="89">
        <f>Y67*$N67</f>
        <v>0</v>
      </c>
      <c r="AU67" s="90">
        <f>Y67*$O67</f>
        <v>0</v>
      </c>
      <c r="AV67" s="89">
        <f>Z67*$N67</f>
        <v>0</v>
      </c>
      <c r="AW67" s="90">
        <f>Z67*$O67</f>
        <v>0</v>
      </c>
      <c r="AX67" s="89">
        <f>AA67*$N67</f>
        <v>0</v>
      </c>
      <c r="AY67" s="90">
        <f>AA67*$O67</f>
        <v>0</v>
      </c>
    </row>
    <row r="68" spans="2:51" outlineLevel="1">
      <c r="B68" s="58" t="s">
        <v>213</v>
      </c>
      <c r="C68" s="59" t="s">
        <v>214</v>
      </c>
      <c r="D68" s="60" t="s">
        <v>215</v>
      </c>
      <c r="E68" s="61" t="s">
        <v>216</v>
      </c>
      <c r="F68" s="62" t="s">
        <v>117</v>
      </c>
      <c r="G68" s="59" t="s">
        <v>62</v>
      </c>
      <c r="H68" s="63">
        <f>IFERROR(INDEX('Benchmark Data'!$AC$7:$AC$130,MATCH($B68,'Benchmark Data'!$A$7:$A$130,0)),0)</f>
        <v>1.1666666666666667</v>
      </c>
      <c r="I68" s="64">
        <f>IFERROR(INDEX('Benchmark Data'!$AD$7:$AD$130,MATCH($B68,'Benchmark Data'!$A$7:$A$130,0)),0)</f>
        <v>200</v>
      </c>
      <c r="J68" s="65">
        <f t="shared" si="5"/>
        <v>233.33333333333334</v>
      </c>
      <c r="K68" s="66">
        <f>$F$11</f>
        <v>0</v>
      </c>
      <c r="L68" s="29">
        <f>IFERROR(INDEX('Benchmark Data'!$AE$7:$AE$130,MATCH($B68,'Benchmark Data'!$A$7:$A$130,0)),0)</f>
        <v>1</v>
      </c>
      <c r="M68" s="67">
        <f t="shared" si="6"/>
        <v>0</v>
      </c>
      <c r="N68" s="68">
        <f t="shared" si="7"/>
        <v>0</v>
      </c>
      <c r="O68" s="69">
        <f t="shared" si="8"/>
        <v>0</v>
      </c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</row>
    <row r="69" spans="2:51" outlineLevel="1">
      <c r="B69" s="71" t="s">
        <v>213</v>
      </c>
      <c r="C69" s="72" t="s">
        <v>214</v>
      </c>
      <c r="D69" s="73" t="s">
        <v>215</v>
      </c>
      <c r="E69" s="71" t="s">
        <v>216</v>
      </c>
      <c r="F69" s="74" t="s">
        <v>117</v>
      </c>
      <c r="G69" s="17" t="s">
        <v>63</v>
      </c>
      <c r="H69" s="75">
        <f>H68</f>
        <v>1.1666666666666667</v>
      </c>
      <c r="I69" s="76">
        <f>I68*(1+Settings!$C$8)</f>
        <v>250</v>
      </c>
      <c r="J69" s="76">
        <f t="shared" si="5"/>
        <v>291.66666666666669</v>
      </c>
      <c r="K69" s="77">
        <f>K68</f>
        <v>0</v>
      </c>
      <c r="L69" s="51">
        <f>L68</f>
        <v>1</v>
      </c>
      <c r="M69" s="52">
        <f t="shared" si="6"/>
        <v>0</v>
      </c>
      <c r="N69" s="51">
        <f t="shared" si="7"/>
        <v>0</v>
      </c>
      <c r="O69" s="78">
        <f t="shared" si="8"/>
        <v>0</v>
      </c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  <c r="AY69" s="79"/>
    </row>
    <row r="70" spans="2:51" outlineLevel="1">
      <c r="B70" s="71" t="s">
        <v>213</v>
      </c>
      <c r="C70" s="72" t="s">
        <v>214</v>
      </c>
      <c r="D70" s="73" t="s">
        <v>215</v>
      </c>
      <c r="E70" s="71" t="s">
        <v>216</v>
      </c>
      <c r="F70" s="74" t="s">
        <v>117</v>
      </c>
      <c r="G70" s="17" t="s">
        <v>64</v>
      </c>
      <c r="H70" s="75">
        <f>H68</f>
        <v>1.1666666666666667</v>
      </c>
      <c r="I70" s="76">
        <f>I68*(1+Settings!$C$9)</f>
        <v>300</v>
      </c>
      <c r="J70" s="76">
        <f t="shared" si="5"/>
        <v>350</v>
      </c>
      <c r="K70" s="77">
        <f>K68</f>
        <v>0</v>
      </c>
      <c r="L70" s="51">
        <f>L68</f>
        <v>1</v>
      </c>
      <c r="M70" s="52">
        <f t="shared" si="6"/>
        <v>0</v>
      </c>
      <c r="N70" s="51">
        <f t="shared" si="7"/>
        <v>0</v>
      </c>
      <c r="O70" s="78">
        <f t="shared" si="8"/>
        <v>0</v>
      </c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  <c r="AY70" s="79"/>
    </row>
    <row r="71" spans="2:51" outlineLevel="1">
      <c r="B71" s="71" t="s">
        <v>213</v>
      </c>
      <c r="C71" s="72" t="s">
        <v>214</v>
      </c>
      <c r="D71" s="73" t="s">
        <v>215</v>
      </c>
      <c r="E71" s="71" t="s">
        <v>216</v>
      </c>
      <c r="F71" s="74" t="s">
        <v>117</v>
      </c>
      <c r="G71" s="17" t="s">
        <v>65</v>
      </c>
      <c r="H71" s="80">
        <f>H68</f>
        <v>1.1666666666666667</v>
      </c>
      <c r="I71" s="81">
        <f>I68</f>
        <v>200</v>
      </c>
      <c r="J71" s="76">
        <f t="shared" si="5"/>
        <v>233.33333333333334</v>
      </c>
      <c r="K71" s="77">
        <f>K68</f>
        <v>0</v>
      </c>
      <c r="L71" s="82">
        <f>L68</f>
        <v>1</v>
      </c>
      <c r="M71" s="52">
        <f t="shared" si="6"/>
        <v>0</v>
      </c>
      <c r="N71" s="51">
        <f t="shared" si="7"/>
        <v>0</v>
      </c>
      <c r="O71" s="78">
        <f t="shared" si="8"/>
        <v>0</v>
      </c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Q71" s="79"/>
      <c r="AR71" s="79"/>
      <c r="AS71" s="79"/>
      <c r="AT71" s="79"/>
      <c r="AU71" s="79"/>
      <c r="AV71" s="79"/>
      <c r="AW71" s="79"/>
      <c r="AX71" s="79"/>
      <c r="AY71" s="79"/>
    </row>
    <row r="72" spans="2:51">
      <c r="B72" s="83" t="s">
        <v>213</v>
      </c>
      <c r="C72" s="16" t="s">
        <v>214</v>
      </c>
      <c r="D72" s="84" t="s">
        <v>215</v>
      </c>
      <c r="E72" s="85" t="s">
        <v>216</v>
      </c>
      <c r="F72" s="86" t="s">
        <v>117</v>
      </c>
      <c r="G72" s="16" t="s">
        <v>179</v>
      </c>
      <c r="H72" s="87">
        <f>CHOOSE(IF(OR($D$4="Expert input",$J$68=0),4,IF($D$4="+25%",2,IF($D$4="+50%",3,1))),H68,H69,H70,H71)</f>
        <v>1.1666666666666667</v>
      </c>
      <c r="I72" s="88">
        <f>CHOOSE(IF(OR($D$4="Expert input",$J$68=0),4,IF($D$4="+25%",2,IF($D$4="+50%",3,1))),I68,I69,I70,I71)</f>
        <v>200</v>
      </c>
      <c r="J72" s="88">
        <f t="shared" si="5"/>
        <v>233.33333333333334</v>
      </c>
      <c r="K72" s="54">
        <f>K68</f>
        <v>0</v>
      </c>
      <c r="L72" s="53">
        <f>CHOOSE(IF(OR($D$4="Expert input",$J$68=0),4,IF($D$4="+25%",2,IF($D$4="+50%",3,1))),L68,L69,L70,L71)</f>
        <v>1</v>
      </c>
      <c r="M72" s="54">
        <f t="shared" si="6"/>
        <v>0</v>
      </c>
      <c r="N72" s="53">
        <f t="shared" si="7"/>
        <v>0</v>
      </c>
      <c r="O72" s="54">
        <f t="shared" si="8"/>
        <v>0</v>
      </c>
      <c r="P72" s="43"/>
      <c r="Q72" s="43">
        <v>0.33</v>
      </c>
      <c r="R72" s="43">
        <v>0.67</v>
      </c>
      <c r="S72" s="43"/>
      <c r="T72" s="43"/>
      <c r="U72" s="43"/>
      <c r="V72" s="43"/>
      <c r="W72" s="43"/>
      <c r="X72" s="43"/>
      <c r="Y72" s="43"/>
      <c r="Z72" s="43"/>
      <c r="AA72" s="43"/>
      <c r="AB72" s="89">
        <f>P72*$N72</f>
        <v>0</v>
      </c>
      <c r="AC72" s="90">
        <f>P72*$O72</f>
        <v>0</v>
      </c>
      <c r="AD72" s="89">
        <f>Q72*$N72</f>
        <v>0</v>
      </c>
      <c r="AE72" s="90">
        <f>Q72*$O72</f>
        <v>0</v>
      </c>
      <c r="AF72" s="89">
        <f>R72*$N72</f>
        <v>0</v>
      </c>
      <c r="AG72" s="90">
        <f>R72*$O72</f>
        <v>0</v>
      </c>
      <c r="AH72" s="89">
        <f>S72*$N72</f>
        <v>0</v>
      </c>
      <c r="AI72" s="90">
        <f>S72*$O72</f>
        <v>0</v>
      </c>
      <c r="AJ72" s="89">
        <f>T72*$N72</f>
        <v>0</v>
      </c>
      <c r="AK72" s="90">
        <f>T72*$O72</f>
        <v>0</v>
      </c>
      <c r="AL72" s="89">
        <f>U72*$N72</f>
        <v>0</v>
      </c>
      <c r="AM72" s="90">
        <f>U72*$O72</f>
        <v>0</v>
      </c>
      <c r="AN72" s="89">
        <f>V72*$N72</f>
        <v>0</v>
      </c>
      <c r="AO72" s="90">
        <f>V72*$O72</f>
        <v>0</v>
      </c>
      <c r="AP72" s="89">
        <f>W72*$N72</f>
        <v>0</v>
      </c>
      <c r="AQ72" s="90">
        <f>W72*$O72</f>
        <v>0</v>
      </c>
      <c r="AR72" s="89">
        <f>X72*$N72</f>
        <v>0</v>
      </c>
      <c r="AS72" s="90">
        <f>X72*$O72</f>
        <v>0</v>
      </c>
      <c r="AT72" s="89">
        <f>Y72*$N72</f>
        <v>0</v>
      </c>
      <c r="AU72" s="90">
        <f>Y72*$O72</f>
        <v>0</v>
      </c>
      <c r="AV72" s="89">
        <f>Z72*$N72</f>
        <v>0</v>
      </c>
      <c r="AW72" s="90">
        <f>Z72*$O72</f>
        <v>0</v>
      </c>
      <c r="AX72" s="89">
        <f>AA72*$N72</f>
        <v>0</v>
      </c>
      <c r="AY72" s="90">
        <f>AA72*$O72</f>
        <v>0</v>
      </c>
    </row>
    <row r="73" spans="2:51" outlineLevel="1">
      <c r="B73" s="58" t="s">
        <v>217</v>
      </c>
      <c r="C73" s="59" t="s">
        <v>218</v>
      </c>
      <c r="D73" s="60" t="s">
        <v>219</v>
      </c>
      <c r="E73" s="61" t="s">
        <v>216</v>
      </c>
      <c r="F73" s="62" t="s">
        <v>117</v>
      </c>
      <c r="G73" s="59" t="s">
        <v>62</v>
      </c>
      <c r="H73" s="63">
        <f>IFERROR(INDEX('Benchmark Data'!$AC$7:$AC$130,MATCH($B73,'Benchmark Data'!$A$7:$A$130,0)),0)</f>
        <v>0.91666666666666663</v>
      </c>
      <c r="I73" s="64">
        <f>IFERROR(INDEX('Benchmark Data'!$AD$7:$AD$130,MATCH($B73,'Benchmark Data'!$A$7:$A$130,0)),0)</f>
        <v>47.27272727272728</v>
      </c>
      <c r="J73" s="65">
        <f t="shared" si="5"/>
        <v>43.333333333333336</v>
      </c>
      <c r="K73" s="66">
        <f>$F$11</f>
        <v>0</v>
      </c>
      <c r="L73" s="29">
        <f>IFERROR(INDEX('Benchmark Data'!$AE$7:$AE$130,MATCH($B73,'Benchmark Data'!$A$7:$A$130,0)),0)</f>
        <v>2</v>
      </c>
      <c r="M73" s="67">
        <f t="shared" si="6"/>
        <v>0</v>
      </c>
      <c r="N73" s="68">
        <f t="shared" si="7"/>
        <v>0</v>
      </c>
      <c r="O73" s="69">
        <f t="shared" si="8"/>
        <v>0</v>
      </c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</row>
    <row r="74" spans="2:51" outlineLevel="1">
      <c r="B74" s="71" t="s">
        <v>217</v>
      </c>
      <c r="C74" s="72" t="s">
        <v>218</v>
      </c>
      <c r="D74" s="73" t="s">
        <v>219</v>
      </c>
      <c r="E74" s="71" t="s">
        <v>216</v>
      </c>
      <c r="F74" s="74" t="s">
        <v>117</v>
      </c>
      <c r="G74" s="17" t="s">
        <v>63</v>
      </c>
      <c r="H74" s="75">
        <f>H73</f>
        <v>0.91666666666666663</v>
      </c>
      <c r="I74" s="76">
        <f>I73*(1+Settings!$C$8)</f>
        <v>59.090909090909101</v>
      </c>
      <c r="J74" s="76">
        <f t="shared" si="5"/>
        <v>54.166666666666671</v>
      </c>
      <c r="K74" s="77">
        <f>K73</f>
        <v>0</v>
      </c>
      <c r="L74" s="51">
        <f>L73</f>
        <v>2</v>
      </c>
      <c r="M74" s="52">
        <f t="shared" si="6"/>
        <v>0</v>
      </c>
      <c r="N74" s="51">
        <f t="shared" si="7"/>
        <v>0</v>
      </c>
      <c r="O74" s="78">
        <f t="shared" si="8"/>
        <v>0</v>
      </c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</row>
    <row r="75" spans="2:51" outlineLevel="1">
      <c r="B75" s="71" t="s">
        <v>217</v>
      </c>
      <c r="C75" s="72" t="s">
        <v>218</v>
      </c>
      <c r="D75" s="73" t="s">
        <v>219</v>
      </c>
      <c r="E75" s="71" t="s">
        <v>216</v>
      </c>
      <c r="F75" s="74" t="s">
        <v>117</v>
      </c>
      <c r="G75" s="17" t="s">
        <v>64</v>
      </c>
      <c r="H75" s="75">
        <f>H73</f>
        <v>0.91666666666666663</v>
      </c>
      <c r="I75" s="76">
        <f>I73*(1+Settings!$C$9)</f>
        <v>70.909090909090921</v>
      </c>
      <c r="J75" s="76">
        <f t="shared" si="5"/>
        <v>65.000000000000014</v>
      </c>
      <c r="K75" s="77">
        <f>K73</f>
        <v>0</v>
      </c>
      <c r="L75" s="51">
        <f>L73</f>
        <v>2</v>
      </c>
      <c r="M75" s="52">
        <f t="shared" si="6"/>
        <v>0</v>
      </c>
      <c r="N75" s="51">
        <f t="shared" si="7"/>
        <v>0</v>
      </c>
      <c r="O75" s="78">
        <f t="shared" si="8"/>
        <v>0</v>
      </c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</row>
    <row r="76" spans="2:51" outlineLevel="1">
      <c r="B76" s="71" t="s">
        <v>217</v>
      </c>
      <c r="C76" s="72" t="s">
        <v>218</v>
      </c>
      <c r="D76" s="73" t="s">
        <v>219</v>
      </c>
      <c r="E76" s="71" t="s">
        <v>216</v>
      </c>
      <c r="F76" s="74" t="s">
        <v>117</v>
      </c>
      <c r="G76" s="17" t="s">
        <v>65</v>
      </c>
      <c r="H76" s="80">
        <f>H73</f>
        <v>0.91666666666666663</v>
      </c>
      <c r="I76" s="81">
        <f>I73</f>
        <v>47.27272727272728</v>
      </c>
      <c r="J76" s="76">
        <f t="shared" si="5"/>
        <v>43.333333333333336</v>
      </c>
      <c r="K76" s="77">
        <f>K73</f>
        <v>0</v>
      </c>
      <c r="L76" s="82">
        <f>L73</f>
        <v>2</v>
      </c>
      <c r="M76" s="52">
        <f t="shared" si="6"/>
        <v>0</v>
      </c>
      <c r="N76" s="51">
        <f t="shared" si="7"/>
        <v>0</v>
      </c>
      <c r="O76" s="78">
        <f t="shared" si="8"/>
        <v>0</v>
      </c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  <c r="AG76" s="79"/>
      <c r="AH76" s="79"/>
      <c r="AI76" s="79"/>
      <c r="AJ76" s="79"/>
      <c r="AK76" s="79"/>
      <c r="AL76" s="79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</row>
    <row r="77" spans="2:51">
      <c r="B77" s="83" t="s">
        <v>217</v>
      </c>
      <c r="C77" s="16" t="s">
        <v>218</v>
      </c>
      <c r="D77" s="84" t="s">
        <v>219</v>
      </c>
      <c r="E77" s="85" t="s">
        <v>216</v>
      </c>
      <c r="F77" s="86" t="s">
        <v>117</v>
      </c>
      <c r="G77" s="16" t="s">
        <v>179</v>
      </c>
      <c r="H77" s="87">
        <f>CHOOSE(IF(OR($D$4="Expert input",$J$73=0),4,IF($D$4="+25%",2,IF($D$4="+50%",3,1))),H73,H74,H75,H76)</f>
        <v>0.91666666666666663</v>
      </c>
      <c r="I77" s="88">
        <f>CHOOSE(IF(OR($D$4="Expert input",$J$73=0),4,IF($D$4="+25%",2,IF($D$4="+50%",3,1))),I73,I74,I75,I76)</f>
        <v>47.27272727272728</v>
      </c>
      <c r="J77" s="88">
        <f t="shared" si="5"/>
        <v>43.333333333333336</v>
      </c>
      <c r="K77" s="54">
        <f>K73</f>
        <v>0</v>
      </c>
      <c r="L77" s="53">
        <f>CHOOSE(IF(OR($D$4="Expert input",$J$73=0),4,IF($D$4="+25%",2,IF($D$4="+50%",3,1))),L73,L74,L75,L76)</f>
        <v>2</v>
      </c>
      <c r="M77" s="54">
        <f t="shared" si="6"/>
        <v>0</v>
      </c>
      <c r="N77" s="53">
        <f t="shared" si="7"/>
        <v>0</v>
      </c>
      <c r="O77" s="54">
        <f t="shared" si="8"/>
        <v>0</v>
      </c>
      <c r="P77" s="43"/>
      <c r="Q77" s="43">
        <v>0.17</v>
      </c>
      <c r="R77" s="43">
        <v>0.83</v>
      </c>
      <c r="S77" s="43"/>
      <c r="T77" s="43"/>
      <c r="U77" s="43"/>
      <c r="V77" s="43"/>
      <c r="W77" s="43"/>
      <c r="X77" s="43"/>
      <c r="Y77" s="43"/>
      <c r="Z77" s="43"/>
      <c r="AA77" s="43"/>
      <c r="AB77" s="89">
        <f>P77*$N77</f>
        <v>0</v>
      </c>
      <c r="AC77" s="90">
        <f>P77*$O77</f>
        <v>0</v>
      </c>
      <c r="AD77" s="89">
        <f>Q77*$N77</f>
        <v>0</v>
      </c>
      <c r="AE77" s="90">
        <f>Q77*$O77</f>
        <v>0</v>
      </c>
      <c r="AF77" s="89">
        <f>R77*$N77</f>
        <v>0</v>
      </c>
      <c r="AG77" s="90">
        <f>R77*$O77</f>
        <v>0</v>
      </c>
      <c r="AH77" s="89">
        <f>S77*$N77</f>
        <v>0</v>
      </c>
      <c r="AI77" s="90">
        <f>S77*$O77</f>
        <v>0</v>
      </c>
      <c r="AJ77" s="89">
        <f>T77*$N77</f>
        <v>0</v>
      </c>
      <c r="AK77" s="90">
        <f>T77*$O77</f>
        <v>0</v>
      </c>
      <c r="AL77" s="89">
        <f>U77*$N77</f>
        <v>0</v>
      </c>
      <c r="AM77" s="90">
        <f>U77*$O77</f>
        <v>0</v>
      </c>
      <c r="AN77" s="89">
        <f>V77*$N77</f>
        <v>0</v>
      </c>
      <c r="AO77" s="90">
        <f>V77*$O77</f>
        <v>0</v>
      </c>
      <c r="AP77" s="89">
        <f>W77*$N77</f>
        <v>0</v>
      </c>
      <c r="AQ77" s="90">
        <f>W77*$O77</f>
        <v>0</v>
      </c>
      <c r="AR77" s="89">
        <f>X77*$N77</f>
        <v>0</v>
      </c>
      <c r="AS77" s="90">
        <f>X77*$O77</f>
        <v>0</v>
      </c>
      <c r="AT77" s="89">
        <f>Y77*$N77</f>
        <v>0</v>
      </c>
      <c r="AU77" s="90">
        <f>Y77*$O77</f>
        <v>0</v>
      </c>
      <c r="AV77" s="89">
        <f>Z77*$N77</f>
        <v>0</v>
      </c>
      <c r="AW77" s="90">
        <f>Z77*$O77</f>
        <v>0</v>
      </c>
      <c r="AX77" s="89">
        <f>AA77*$N77</f>
        <v>0</v>
      </c>
      <c r="AY77" s="90">
        <f>AA77*$O77</f>
        <v>0</v>
      </c>
    </row>
    <row r="78" spans="2:51" outlineLevel="1">
      <c r="B78" s="58" t="s">
        <v>220</v>
      </c>
      <c r="C78" s="59" t="s">
        <v>221</v>
      </c>
      <c r="D78" s="60" t="s">
        <v>222</v>
      </c>
      <c r="E78" s="61" t="s">
        <v>216</v>
      </c>
      <c r="F78" s="62" t="s">
        <v>117</v>
      </c>
      <c r="G78" s="59" t="s">
        <v>62</v>
      </c>
      <c r="H78" s="63">
        <f>IFERROR(INDEX('Benchmark Data'!$AC$7:$AC$130,MATCH($B78,'Benchmark Data'!$A$7:$A$130,0)),0)</f>
        <v>2.3333333333333335</v>
      </c>
      <c r="I78" s="64">
        <f>IFERROR(INDEX('Benchmark Data'!$AD$7:$AD$130,MATCH($B78,'Benchmark Data'!$A$7:$A$130,0)),0)</f>
        <v>100</v>
      </c>
      <c r="J78" s="65">
        <f t="shared" si="5"/>
        <v>233.33333333333334</v>
      </c>
      <c r="K78" s="66">
        <f>$F$11</f>
        <v>0</v>
      </c>
      <c r="L78" s="29">
        <f>IFERROR(INDEX('Benchmark Data'!$AE$7:$AE$130,MATCH($B78,'Benchmark Data'!$A$7:$A$130,0)),0)</f>
        <v>1</v>
      </c>
      <c r="M78" s="67">
        <f t="shared" si="6"/>
        <v>0</v>
      </c>
      <c r="N78" s="68">
        <f t="shared" si="7"/>
        <v>0</v>
      </c>
      <c r="O78" s="69">
        <f t="shared" si="8"/>
        <v>0</v>
      </c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70"/>
      <c r="AX78" s="70"/>
      <c r="AY78" s="70"/>
    </row>
    <row r="79" spans="2:51" outlineLevel="1">
      <c r="B79" s="71" t="s">
        <v>220</v>
      </c>
      <c r="C79" s="72" t="s">
        <v>221</v>
      </c>
      <c r="D79" s="73" t="s">
        <v>222</v>
      </c>
      <c r="E79" s="71" t="s">
        <v>216</v>
      </c>
      <c r="F79" s="74" t="s">
        <v>117</v>
      </c>
      <c r="G79" s="17" t="s">
        <v>63</v>
      </c>
      <c r="H79" s="75">
        <f>H78</f>
        <v>2.3333333333333335</v>
      </c>
      <c r="I79" s="76">
        <f>I78*(1+Settings!$C$8)</f>
        <v>125</v>
      </c>
      <c r="J79" s="76">
        <f t="shared" si="5"/>
        <v>291.66666666666669</v>
      </c>
      <c r="K79" s="77">
        <f>K78</f>
        <v>0</v>
      </c>
      <c r="L79" s="51">
        <f>L78</f>
        <v>1</v>
      </c>
      <c r="M79" s="52">
        <f t="shared" si="6"/>
        <v>0</v>
      </c>
      <c r="N79" s="51">
        <f t="shared" si="7"/>
        <v>0</v>
      </c>
      <c r="O79" s="78">
        <f t="shared" si="8"/>
        <v>0</v>
      </c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</row>
    <row r="80" spans="2:51" outlineLevel="1">
      <c r="B80" s="71" t="s">
        <v>220</v>
      </c>
      <c r="C80" s="72" t="s">
        <v>221</v>
      </c>
      <c r="D80" s="73" t="s">
        <v>222</v>
      </c>
      <c r="E80" s="71" t="s">
        <v>216</v>
      </c>
      <c r="F80" s="74" t="s">
        <v>117</v>
      </c>
      <c r="G80" s="17" t="s">
        <v>64</v>
      </c>
      <c r="H80" s="75">
        <f>H78</f>
        <v>2.3333333333333335</v>
      </c>
      <c r="I80" s="76">
        <f>I78*(1+Settings!$C$9)</f>
        <v>150</v>
      </c>
      <c r="J80" s="76">
        <f t="shared" si="5"/>
        <v>350</v>
      </c>
      <c r="K80" s="77">
        <f>K78</f>
        <v>0</v>
      </c>
      <c r="L80" s="51">
        <f>L78</f>
        <v>1</v>
      </c>
      <c r="M80" s="52">
        <f t="shared" si="6"/>
        <v>0</v>
      </c>
      <c r="N80" s="51">
        <f t="shared" si="7"/>
        <v>0</v>
      </c>
      <c r="O80" s="78">
        <f t="shared" si="8"/>
        <v>0</v>
      </c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  <c r="AY80" s="79"/>
    </row>
    <row r="81" spans="2:51" outlineLevel="1">
      <c r="B81" s="71" t="s">
        <v>220</v>
      </c>
      <c r="C81" s="72" t="s">
        <v>221</v>
      </c>
      <c r="D81" s="73" t="s">
        <v>222</v>
      </c>
      <c r="E81" s="71" t="s">
        <v>216</v>
      </c>
      <c r="F81" s="74" t="s">
        <v>117</v>
      </c>
      <c r="G81" s="17" t="s">
        <v>65</v>
      </c>
      <c r="H81" s="80">
        <f>H78</f>
        <v>2.3333333333333335</v>
      </c>
      <c r="I81" s="81">
        <f>I78</f>
        <v>100</v>
      </c>
      <c r="J81" s="76">
        <f t="shared" si="5"/>
        <v>233.33333333333334</v>
      </c>
      <c r="K81" s="77">
        <f>K78</f>
        <v>0</v>
      </c>
      <c r="L81" s="82">
        <f>L78</f>
        <v>1</v>
      </c>
      <c r="M81" s="52">
        <f t="shared" si="6"/>
        <v>0</v>
      </c>
      <c r="N81" s="51">
        <f t="shared" si="7"/>
        <v>0</v>
      </c>
      <c r="O81" s="78">
        <f t="shared" si="8"/>
        <v>0</v>
      </c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  <c r="AG81" s="79"/>
      <c r="AH81" s="79"/>
      <c r="AI81" s="79"/>
      <c r="AJ81" s="79"/>
      <c r="AK81" s="79"/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79"/>
      <c r="AY81" s="79"/>
    </row>
    <row r="82" spans="2:51">
      <c r="B82" s="83" t="s">
        <v>220</v>
      </c>
      <c r="C82" s="16" t="s">
        <v>221</v>
      </c>
      <c r="D82" s="84" t="s">
        <v>222</v>
      </c>
      <c r="E82" s="85" t="s">
        <v>216</v>
      </c>
      <c r="F82" s="86" t="s">
        <v>117</v>
      </c>
      <c r="G82" s="16" t="s">
        <v>179</v>
      </c>
      <c r="H82" s="87">
        <f>CHOOSE(IF(OR($D$4="Expert input",$J$78=0),4,IF($D$4="+25%",2,IF($D$4="+50%",3,1))),H78,H79,H80,H81)</f>
        <v>2.3333333333333335</v>
      </c>
      <c r="I82" s="88">
        <f>CHOOSE(IF(OR($D$4="Expert input",$J$78=0),4,IF($D$4="+25%",2,IF($D$4="+50%",3,1))),I78,I79,I80,I81)</f>
        <v>100</v>
      </c>
      <c r="J82" s="88">
        <f t="shared" ref="J82:J113" si="9">H82*I82</f>
        <v>233.33333333333334</v>
      </c>
      <c r="K82" s="54">
        <f>K78</f>
        <v>0</v>
      </c>
      <c r="L82" s="53">
        <f>CHOOSE(IF(OR($D$4="Expert input",$J$78=0),4,IF($D$4="+25%",2,IF($D$4="+50%",3,1))),L78,L79,L80,L81)</f>
        <v>1</v>
      </c>
      <c r="M82" s="54">
        <f t="shared" ref="M82:M113" si="10">K82*L82</f>
        <v>0</v>
      </c>
      <c r="N82" s="53">
        <f t="shared" ref="N82:N113" si="11">M82*H82</f>
        <v>0</v>
      </c>
      <c r="O82" s="54">
        <f t="shared" ref="O82:O113" si="12">M82*J82</f>
        <v>0</v>
      </c>
      <c r="P82" s="43"/>
      <c r="Q82" s="43"/>
      <c r="R82" s="43">
        <v>1</v>
      </c>
      <c r="S82" s="43"/>
      <c r="T82" s="43"/>
      <c r="U82" s="43"/>
      <c r="V82" s="43"/>
      <c r="W82" s="43"/>
      <c r="X82" s="43"/>
      <c r="Y82" s="43"/>
      <c r="Z82" s="43"/>
      <c r="AA82" s="43"/>
      <c r="AB82" s="89">
        <f>P82*$N82</f>
        <v>0</v>
      </c>
      <c r="AC82" s="90">
        <f>P82*$O82</f>
        <v>0</v>
      </c>
      <c r="AD82" s="89">
        <f>Q82*$N82</f>
        <v>0</v>
      </c>
      <c r="AE82" s="90">
        <f>Q82*$O82</f>
        <v>0</v>
      </c>
      <c r="AF82" s="89">
        <f>R82*$N82</f>
        <v>0</v>
      </c>
      <c r="AG82" s="90">
        <f>R82*$O82</f>
        <v>0</v>
      </c>
      <c r="AH82" s="89">
        <f>S82*$N82</f>
        <v>0</v>
      </c>
      <c r="AI82" s="90">
        <f>S82*$O82</f>
        <v>0</v>
      </c>
      <c r="AJ82" s="89">
        <f>T82*$N82</f>
        <v>0</v>
      </c>
      <c r="AK82" s="90">
        <f>T82*$O82</f>
        <v>0</v>
      </c>
      <c r="AL82" s="89">
        <f>U82*$N82</f>
        <v>0</v>
      </c>
      <c r="AM82" s="90">
        <f>U82*$O82</f>
        <v>0</v>
      </c>
      <c r="AN82" s="89">
        <f>V82*$N82</f>
        <v>0</v>
      </c>
      <c r="AO82" s="90">
        <f>V82*$O82</f>
        <v>0</v>
      </c>
      <c r="AP82" s="89">
        <f>W82*$N82</f>
        <v>0</v>
      </c>
      <c r="AQ82" s="90">
        <f>W82*$O82</f>
        <v>0</v>
      </c>
      <c r="AR82" s="89">
        <f>X82*$N82</f>
        <v>0</v>
      </c>
      <c r="AS82" s="90">
        <f>X82*$O82</f>
        <v>0</v>
      </c>
      <c r="AT82" s="89">
        <f>Y82*$N82</f>
        <v>0</v>
      </c>
      <c r="AU82" s="90">
        <f>Y82*$O82</f>
        <v>0</v>
      </c>
      <c r="AV82" s="89">
        <f>Z82*$N82</f>
        <v>0</v>
      </c>
      <c r="AW82" s="90">
        <f>Z82*$O82</f>
        <v>0</v>
      </c>
      <c r="AX82" s="89">
        <f>AA82*$N82</f>
        <v>0</v>
      </c>
      <c r="AY82" s="90">
        <f>AA82*$O82</f>
        <v>0</v>
      </c>
    </row>
    <row r="83" spans="2:51" outlineLevel="1">
      <c r="B83" s="58" t="s">
        <v>223</v>
      </c>
      <c r="C83" s="59" t="s">
        <v>224</v>
      </c>
      <c r="D83" s="60" t="s">
        <v>225</v>
      </c>
      <c r="E83" s="61" t="s">
        <v>216</v>
      </c>
      <c r="F83" s="62" t="s">
        <v>226</v>
      </c>
      <c r="G83" s="59" t="s">
        <v>62</v>
      </c>
      <c r="H83" s="63">
        <f>IFERROR(INDEX('Benchmark Data'!$AC$7:$AC$130,MATCH($B83,'Benchmark Data'!$A$7:$A$130,0)),0)</f>
        <v>0.79999999999999993</v>
      </c>
      <c r="I83" s="64">
        <f>IFERROR(INDEX('Benchmark Data'!$AD$7:$AD$130,MATCH($B83,'Benchmark Data'!$A$7:$A$130,0)),0)</f>
        <v>100.00000000000001</v>
      </c>
      <c r="J83" s="65">
        <f t="shared" si="9"/>
        <v>80</v>
      </c>
      <c r="K83" s="91"/>
      <c r="L83" s="29">
        <f>IFERROR(INDEX('Benchmark Data'!$AE$7:$AE$130,MATCH($B83,'Benchmark Data'!$A$7:$A$130,0)),0)</f>
        <v>2</v>
      </c>
      <c r="M83" s="67">
        <f t="shared" si="10"/>
        <v>0</v>
      </c>
      <c r="N83" s="68">
        <f t="shared" si="11"/>
        <v>0</v>
      </c>
      <c r="O83" s="69">
        <f t="shared" si="12"/>
        <v>0</v>
      </c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70"/>
      <c r="AX83" s="70"/>
      <c r="AY83" s="70"/>
    </row>
    <row r="84" spans="2:51" outlineLevel="1">
      <c r="B84" s="71" t="s">
        <v>223</v>
      </c>
      <c r="C84" s="72" t="s">
        <v>224</v>
      </c>
      <c r="D84" s="73" t="s">
        <v>225</v>
      </c>
      <c r="E84" s="71" t="s">
        <v>216</v>
      </c>
      <c r="F84" s="74" t="s">
        <v>226</v>
      </c>
      <c r="G84" s="17" t="s">
        <v>63</v>
      </c>
      <c r="H84" s="75">
        <f>H83</f>
        <v>0.79999999999999993</v>
      </c>
      <c r="I84" s="76">
        <f>I83*(1+Settings!$C$8)</f>
        <v>125.00000000000001</v>
      </c>
      <c r="J84" s="76">
        <f t="shared" si="9"/>
        <v>100</v>
      </c>
      <c r="K84" s="77">
        <f>K83</f>
        <v>0</v>
      </c>
      <c r="L84" s="51">
        <f>L83</f>
        <v>2</v>
      </c>
      <c r="M84" s="52">
        <f t="shared" si="10"/>
        <v>0</v>
      </c>
      <c r="N84" s="51">
        <f t="shared" si="11"/>
        <v>0</v>
      </c>
      <c r="O84" s="78">
        <f t="shared" si="12"/>
        <v>0</v>
      </c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  <c r="AY84" s="79"/>
    </row>
    <row r="85" spans="2:51" outlineLevel="1">
      <c r="B85" s="71" t="s">
        <v>223</v>
      </c>
      <c r="C85" s="72" t="s">
        <v>224</v>
      </c>
      <c r="D85" s="73" t="s">
        <v>225</v>
      </c>
      <c r="E85" s="71" t="s">
        <v>216</v>
      </c>
      <c r="F85" s="74" t="s">
        <v>226</v>
      </c>
      <c r="G85" s="17" t="s">
        <v>64</v>
      </c>
      <c r="H85" s="75">
        <f>H83</f>
        <v>0.79999999999999993</v>
      </c>
      <c r="I85" s="76">
        <f>I83*(1+Settings!$C$9)</f>
        <v>150.00000000000003</v>
      </c>
      <c r="J85" s="76">
        <f t="shared" si="9"/>
        <v>120.00000000000001</v>
      </c>
      <c r="K85" s="77">
        <f>K83</f>
        <v>0</v>
      </c>
      <c r="L85" s="51">
        <f>L83</f>
        <v>2</v>
      </c>
      <c r="M85" s="52">
        <f t="shared" si="10"/>
        <v>0</v>
      </c>
      <c r="N85" s="51">
        <f t="shared" si="11"/>
        <v>0</v>
      </c>
      <c r="O85" s="78">
        <f t="shared" si="12"/>
        <v>0</v>
      </c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  <c r="AY85" s="79"/>
    </row>
    <row r="86" spans="2:51" outlineLevel="1">
      <c r="B86" s="71" t="s">
        <v>223</v>
      </c>
      <c r="C86" s="72" t="s">
        <v>224</v>
      </c>
      <c r="D86" s="73" t="s">
        <v>225</v>
      </c>
      <c r="E86" s="71" t="s">
        <v>216</v>
      </c>
      <c r="F86" s="74" t="s">
        <v>226</v>
      </c>
      <c r="G86" s="17" t="s">
        <v>65</v>
      </c>
      <c r="H86" s="80">
        <f>H83</f>
        <v>0.79999999999999993</v>
      </c>
      <c r="I86" s="81">
        <f>I83</f>
        <v>100.00000000000001</v>
      </c>
      <c r="J86" s="76">
        <f t="shared" si="9"/>
        <v>80</v>
      </c>
      <c r="K86" s="77">
        <f>K83</f>
        <v>0</v>
      </c>
      <c r="L86" s="82">
        <f>L83</f>
        <v>2</v>
      </c>
      <c r="M86" s="52">
        <f t="shared" si="10"/>
        <v>0</v>
      </c>
      <c r="N86" s="51">
        <f t="shared" si="11"/>
        <v>0</v>
      </c>
      <c r="O86" s="78">
        <f t="shared" si="12"/>
        <v>0</v>
      </c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  <c r="AG86" s="79"/>
      <c r="AH86" s="79"/>
      <c r="AI86" s="79"/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79"/>
      <c r="AV86" s="79"/>
      <c r="AW86" s="79"/>
      <c r="AX86" s="79"/>
      <c r="AY86" s="79"/>
    </row>
    <row r="87" spans="2:51">
      <c r="B87" s="83" t="s">
        <v>223</v>
      </c>
      <c r="C87" s="16" t="s">
        <v>224</v>
      </c>
      <c r="D87" s="84" t="s">
        <v>225</v>
      </c>
      <c r="E87" s="85" t="s">
        <v>216</v>
      </c>
      <c r="F87" s="86" t="s">
        <v>226</v>
      </c>
      <c r="G87" s="16" t="s">
        <v>179</v>
      </c>
      <c r="H87" s="87">
        <f>CHOOSE(IF(OR($D$4="Expert input",$J$83=0),4,IF($D$4="+25%",2,IF($D$4="+50%",3,1))),H83,H84,H85,H86)</f>
        <v>0.79999999999999993</v>
      </c>
      <c r="I87" s="88">
        <f>CHOOSE(IF(OR($D$4="Expert input",$J$83=0),4,IF($D$4="+25%",2,IF($D$4="+50%",3,1))),I83,I84,I85,I86)</f>
        <v>100.00000000000001</v>
      </c>
      <c r="J87" s="88">
        <f t="shared" si="9"/>
        <v>80</v>
      </c>
      <c r="K87" s="54">
        <f>K83</f>
        <v>0</v>
      </c>
      <c r="L87" s="53">
        <f>CHOOSE(IF(OR($D$4="Expert input",$J$83=0),4,IF($D$4="+25%",2,IF($D$4="+50%",3,1))),L83,L84,L85,L86)</f>
        <v>2</v>
      </c>
      <c r="M87" s="54">
        <f t="shared" si="10"/>
        <v>0</v>
      </c>
      <c r="N87" s="53">
        <f t="shared" si="11"/>
        <v>0</v>
      </c>
      <c r="O87" s="54">
        <f t="shared" si="12"/>
        <v>0</v>
      </c>
      <c r="P87" s="43"/>
      <c r="Q87" s="43">
        <v>0.33</v>
      </c>
      <c r="R87" s="43">
        <v>0.67</v>
      </c>
      <c r="S87" s="43"/>
      <c r="T87" s="43"/>
      <c r="U87" s="43"/>
      <c r="V87" s="43"/>
      <c r="W87" s="43"/>
      <c r="X87" s="43"/>
      <c r="Y87" s="43"/>
      <c r="Z87" s="43"/>
      <c r="AA87" s="43"/>
      <c r="AB87" s="89">
        <f>P87*$N87</f>
        <v>0</v>
      </c>
      <c r="AC87" s="90">
        <f>P87*$O87</f>
        <v>0</v>
      </c>
      <c r="AD87" s="89">
        <f>Q87*$N87</f>
        <v>0</v>
      </c>
      <c r="AE87" s="90">
        <f>Q87*$O87</f>
        <v>0</v>
      </c>
      <c r="AF87" s="89">
        <f>R87*$N87</f>
        <v>0</v>
      </c>
      <c r="AG87" s="90">
        <f>R87*$O87</f>
        <v>0</v>
      </c>
      <c r="AH87" s="89">
        <f>S87*$N87</f>
        <v>0</v>
      </c>
      <c r="AI87" s="90">
        <f>S87*$O87</f>
        <v>0</v>
      </c>
      <c r="AJ87" s="89">
        <f>T87*$N87</f>
        <v>0</v>
      </c>
      <c r="AK87" s="90">
        <f>T87*$O87</f>
        <v>0</v>
      </c>
      <c r="AL87" s="89">
        <f>U87*$N87</f>
        <v>0</v>
      </c>
      <c r="AM87" s="90">
        <f>U87*$O87</f>
        <v>0</v>
      </c>
      <c r="AN87" s="89">
        <f>V87*$N87</f>
        <v>0</v>
      </c>
      <c r="AO87" s="90">
        <f>V87*$O87</f>
        <v>0</v>
      </c>
      <c r="AP87" s="89">
        <f>W87*$N87</f>
        <v>0</v>
      </c>
      <c r="AQ87" s="90">
        <f>W87*$O87</f>
        <v>0</v>
      </c>
      <c r="AR87" s="89">
        <f>X87*$N87</f>
        <v>0</v>
      </c>
      <c r="AS87" s="90">
        <f>X87*$O87</f>
        <v>0</v>
      </c>
      <c r="AT87" s="89">
        <f>Y87*$N87</f>
        <v>0</v>
      </c>
      <c r="AU87" s="90">
        <f>Y87*$O87</f>
        <v>0</v>
      </c>
      <c r="AV87" s="89">
        <f>Z87*$N87</f>
        <v>0</v>
      </c>
      <c r="AW87" s="90">
        <f>Z87*$O87</f>
        <v>0</v>
      </c>
      <c r="AX87" s="89">
        <f>AA87*$N87</f>
        <v>0</v>
      </c>
      <c r="AY87" s="90">
        <f>AA87*$O87</f>
        <v>0</v>
      </c>
    </row>
    <row r="88" spans="2:51" outlineLevel="1">
      <c r="B88" s="58" t="s">
        <v>227</v>
      </c>
      <c r="C88" s="59" t="s">
        <v>228</v>
      </c>
      <c r="D88" s="60" t="s">
        <v>229</v>
      </c>
      <c r="E88" s="61" t="s">
        <v>216</v>
      </c>
      <c r="F88" s="62" t="s">
        <v>117</v>
      </c>
      <c r="G88" s="59" t="s">
        <v>62</v>
      </c>
      <c r="H88" s="63">
        <f>IFERROR(INDEX('Benchmark Data'!$AC$7:$AC$130,MATCH($B88,'Benchmark Data'!$A$7:$A$130,0)),0)</f>
        <v>0.56666666666666665</v>
      </c>
      <c r="I88" s="64">
        <f>IFERROR(INDEX('Benchmark Data'!$AD$7:$AD$130,MATCH($B88,'Benchmark Data'!$A$7:$A$130,0)),0)</f>
        <v>52.941176470588239</v>
      </c>
      <c r="J88" s="65">
        <f t="shared" si="9"/>
        <v>30</v>
      </c>
      <c r="K88" s="66">
        <f>$F$11</f>
        <v>0</v>
      </c>
      <c r="L88" s="29">
        <f>IFERROR(INDEX('Benchmark Data'!$AE$7:$AE$130,MATCH($B88,'Benchmark Data'!$A$7:$A$130,0)),0)</f>
        <v>1</v>
      </c>
      <c r="M88" s="67">
        <f t="shared" si="10"/>
        <v>0</v>
      </c>
      <c r="N88" s="68">
        <f t="shared" si="11"/>
        <v>0</v>
      </c>
      <c r="O88" s="69">
        <f t="shared" si="12"/>
        <v>0</v>
      </c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70"/>
      <c r="AX88" s="70"/>
      <c r="AY88" s="70"/>
    </row>
    <row r="89" spans="2:51" outlineLevel="1">
      <c r="B89" s="71" t="s">
        <v>227</v>
      </c>
      <c r="C89" s="72" t="s">
        <v>228</v>
      </c>
      <c r="D89" s="73" t="s">
        <v>229</v>
      </c>
      <c r="E89" s="71" t="s">
        <v>216</v>
      </c>
      <c r="F89" s="74" t="s">
        <v>117</v>
      </c>
      <c r="G89" s="17" t="s">
        <v>63</v>
      </c>
      <c r="H89" s="75">
        <f>H88</f>
        <v>0.56666666666666665</v>
      </c>
      <c r="I89" s="76">
        <f>I88*(1+Settings!$C$8)</f>
        <v>66.176470588235304</v>
      </c>
      <c r="J89" s="76">
        <f t="shared" si="9"/>
        <v>37.500000000000007</v>
      </c>
      <c r="K89" s="77">
        <f>K88</f>
        <v>0</v>
      </c>
      <c r="L89" s="51">
        <f>L88</f>
        <v>1</v>
      </c>
      <c r="M89" s="52">
        <f t="shared" si="10"/>
        <v>0</v>
      </c>
      <c r="N89" s="51">
        <f t="shared" si="11"/>
        <v>0</v>
      </c>
      <c r="O89" s="78">
        <f t="shared" si="12"/>
        <v>0</v>
      </c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</row>
    <row r="90" spans="2:51" outlineLevel="1">
      <c r="B90" s="71" t="s">
        <v>227</v>
      </c>
      <c r="C90" s="72" t="s">
        <v>228</v>
      </c>
      <c r="D90" s="73" t="s">
        <v>229</v>
      </c>
      <c r="E90" s="71" t="s">
        <v>216</v>
      </c>
      <c r="F90" s="74" t="s">
        <v>117</v>
      </c>
      <c r="G90" s="17" t="s">
        <v>64</v>
      </c>
      <c r="H90" s="75">
        <f>H88</f>
        <v>0.56666666666666665</v>
      </c>
      <c r="I90" s="76">
        <f>I88*(1+Settings!$C$9)</f>
        <v>79.411764705882362</v>
      </c>
      <c r="J90" s="76">
        <f t="shared" si="9"/>
        <v>45.000000000000007</v>
      </c>
      <c r="K90" s="77">
        <f>K88</f>
        <v>0</v>
      </c>
      <c r="L90" s="51">
        <f>L88</f>
        <v>1</v>
      </c>
      <c r="M90" s="52">
        <f t="shared" si="10"/>
        <v>0</v>
      </c>
      <c r="N90" s="51">
        <f t="shared" si="11"/>
        <v>0</v>
      </c>
      <c r="O90" s="78">
        <f t="shared" si="12"/>
        <v>0</v>
      </c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</row>
    <row r="91" spans="2:51" outlineLevel="1">
      <c r="B91" s="71" t="s">
        <v>227</v>
      </c>
      <c r="C91" s="72" t="s">
        <v>228</v>
      </c>
      <c r="D91" s="73" t="s">
        <v>229</v>
      </c>
      <c r="E91" s="71" t="s">
        <v>216</v>
      </c>
      <c r="F91" s="74" t="s">
        <v>117</v>
      </c>
      <c r="G91" s="17" t="s">
        <v>65</v>
      </c>
      <c r="H91" s="80">
        <f>H88</f>
        <v>0.56666666666666665</v>
      </c>
      <c r="I91" s="81">
        <f>I88</f>
        <v>52.941176470588239</v>
      </c>
      <c r="J91" s="76">
        <f t="shared" si="9"/>
        <v>30</v>
      </c>
      <c r="K91" s="77">
        <f>K88</f>
        <v>0</v>
      </c>
      <c r="L91" s="82">
        <f>L88</f>
        <v>1</v>
      </c>
      <c r="M91" s="52">
        <f t="shared" si="10"/>
        <v>0</v>
      </c>
      <c r="N91" s="51">
        <f t="shared" si="11"/>
        <v>0</v>
      </c>
      <c r="O91" s="78">
        <f t="shared" si="12"/>
        <v>0</v>
      </c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  <c r="AG91" s="79"/>
      <c r="AH91" s="79"/>
      <c r="AI91" s="79"/>
      <c r="AJ91" s="7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</row>
    <row r="92" spans="2:51">
      <c r="B92" s="83" t="s">
        <v>227</v>
      </c>
      <c r="C92" s="16" t="s">
        <v>228</v>
      </c>
      <c r="D92" s="84" t="s">
        <v>229</v>
      </c>
      <c r="E92" s="85" t="s">
        <v>216</v>
      </c>
      <c r="F92" s="86" t="s">
        <v>117</v>
      </c>
      <c r="G92" s="16" t="s">
        <v>179</v>
      </c>
      <c r="H92" s="87">
        <f>CHOOSE(IF(OR($D$4="Expert input",$J$88=0),4,IF($D$4="+25%",2,IF($D$4="+50%",3,1))),H88,H89,H90,H91)</f>
        <v>0.56666666666666665</v>
      </c>
      <c r="I92" s="88">
        <f>CHOOSE(IF(OR($D$4="Expert input",$J$88=0),4,IF($D$4="+25%",2,IF($D$4="+50%",3,1))),I88,I89,I90,I91)</f>
        <v>52.941176470588239</v>
      </c>
      <c r="J92" s="88">
        <f t="shared" si="9"/>
        <v>30</v>
      </c>
      <c r="K92" s="54">
        <f>K88</f>
        <v>0</v>
      </c>
      <c r="L92" s="53">
        <f>CHOOSE(IF(OR($D$4="Expert input",$J$88=0),4,IF($D$4="+25%",2,IF($D$4="+50%",3,1))),L88,L89,L90,L91)</f>
        <v>1</v>
      </c>
      <c r="M92" s="54">
        <f t="shared" si="10"/>
        <v>0</v>
      </c>
      <c r="N92" s="53">
        <f t="shared" si="11"/>
        <v>0</v>
      </c>
      <c r="O92" s="54">
        <f t="shared" si="12"/>
        <v>0</v>
      </c>
      <c r="P92" s="43"/>
      <c r="Q92" s="43"/>
      <c r="R92" s="43">
        <v>1</v>
      </c>
      <c r="S92" s="43"/>
      <c r="T92" s="43"/>
      <c r="U92" s="43"/>
      <c r="V92" s="43"/>
      <c r="W92" s="43"/>
      <c r="X92" s="43"/>
      <c r="Y92" s="43"/>
      <c r="Z92" s="43"/>
      <c r="AA92" s="43"/>
      <c r="AB92" s="89">
        <f>P92*$N92</f>
        <v>0</v>
      </c>
      <c r="AC92" s="90">
        <f>P92*$O92</f>
        <v>0</v>
      </c>
      <c r="AD92" s="89">
        <f>Q92*$N92</f>
        <v>0</v>
      </c>
      <c r="AE92" s="90">
        <f>Q92*$O92</f>
        <v>0</v>
      </c>
      <c r="AF92" s="89">
        <f>R92*$N92</f>
        <v>0</v>
      </c>
      <c r="AG92" s="90">
        <f>R92*$O92</f>
        <v>0</v>
      </c>
      <c r="AH92" s="89">
        <f>S92*$N92</f>
        <v>0</v>
      </c>
      <c r="AI92" s="90">
        <f>S92*$O92</f>
        <v>0</v>
      </c>
      <c r="AJ92" s="89">
        <f>T92*$N92</f>
        <v>0</v>
      </c>
      <c r="AK92" s="90">
        <f>T92*$O92</f>
        <v>0</v>
      </c>
      <c r="AL92" s="89">
        <f>U92*$N92</f>
        <v>0</v>
      </c>
      <c r="AM92" s="90">
        <f>U92*$O92</f>
        <v>0</v>
      </c>
      <c r="AN92" s="89">
        <f>V92*$N92</f>
        <v>0</v>
      </c>
      <c r="AO92" s="90">
        <f>V92*$O92</f>
        <v>0</v>
      </c>
      <c r="AP92" s="89">
        <f>W92*$N92</f>
        <v>0</v>
      </c>
      <c r="AQ92" s="90">
        <f>W92*$O92</f>
        <v>0</v>
      </c>
      <c r="AR92" s="89">
        <f>X92*$N92</f>
        <v>0</v>
      </c>
      <c r="AS92" s="90">
        <f>X92*$O92</f>
        <v>0</v>
      </c>
      <c r="AT92" s="89">
        <f>Y92*$N92</f>
        <v>0</v>
      </c>
      <c r="AU92" s="90">
        <f>Y92*$O92</f>
        <v>0</v>
      </c>
      <c r="AV92" s="89">
        <f>Z92*$N92</f>
        <v>0</v>
      </c>
      <c r="AW92" s="90">
        <f>Z92*$O92</f>
        <v>0</v>
      </c>
      <c r="AX92" s="89">
        <f>AA92*$N92</f>
        <v>0</v>
      </c>
      <c r="AY92" s="90">
        <f>AA92*$O92</f>
        <v>0</v>
      </c>
    </row>
    <row r="93" spans="2:51" outlineLevel="1">
      <c r="B93" s="58" t="s">
        <v>230</v>
      </c>
      <c r="C93" s="59" t="s">
        <v>231</v>
      </c>
      <c r="D93" s="60" t="s">
        <v>232</v>
      </c>
      <c r="E93" s="61" t="s">
        <v>216</v>
      </c>
      <c r="F93" s="62" t="s">
        <v>117</v>
      </c>
      <c r="G93" s="59" t="s">
        <v>62</v>
      </c>
      <c r="H93" s="63">
        <f>IFERROR(INDEX('Benchmark Data'!$AC$7:$AC$130,MATCH($B93,'Benchmark Data'!$A$7:$A$130,0)),0)</f>
        <v>0.56666666666666665</v>
      </c>
      <c r="I93" s="64">
        <f>IFERROR(INDEX('Benchmark Data'!$AD$7:$AD$130,MATCH($B93,'Benchmark Data'!$A$7:$A$130,0)),0)</f>
        <v>52.941176470588239</v>
      </c>
      <c r="J93" s="65">
        <f t="shared" si="9"/>
        <v>30</v>
      </c>
      <c r="K93" s="66">
        <f>$F$11</f>
        <v>0</v>
      </c>
      <c r="L93" s="29">
        <f>IFERROR(INDEX('Benchmark Data'!$AE$7:$AE$130,MATCH($B93,'Benchmark Data'!$A$7:$A$130,0)),0)</f>
        <v>1</v>
      </c>
      <c r="M93" s="67">
        <f t="shared" si="10"/>
        <v>0</v>
      </c>
      <c r="N93" s="68">
        <f t="shared" si="11"/>
        <v>0</v>
      </c>
      <c r="O93" s="69">
        <f t="shared" si="12"/>
        <v>0</v>
      </c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  <c r="AW93" s="70"/>
      <c r="AX93" s="70"/>
      <c r="AY93" s="70"/>
    </row>
    <row r="94" spans="2:51" outlineLevel="1">
      <c r="B94" s="71" t="s">
        <v>230</v>
      </c>
      <c r="C94" s="72" t="s">
        <v>231</v>
      </c>
      <c r="D94" s="73" t="s">
        <v>232</v>
      </c>
      <c r="E94" s="71" t="s">
        <v>216</v>
      </c>
      <c r="F94" s="74" t="s">
        <v>117</v>
      </c>
      <c r="G94" s="17" t="s">
        <v>63</v>
      </c>
      <c r="H94" s="75">
        <f>H93</f>
        <v>0.56666666666666665</v>
      </c>
      <c r="I94" s="76">
        <f>I93*(1+Settings!$C$8)</f>
        <v>66.176470588235304</v>
      </c>
      <c r="J94" s="76">
        <f t="shared" si="9"/>
        <v>37.500000000000007</v>
      </c>
      <c r="K94" s="77">
        <f>K93</f>
        <v>0</v>
      </c>
      <c r="L94" s="51">
        <f>L93</f>
        <v>1</v>
      </c>
      <c r="M94" s="52">
        <f t="shared" si="10"/>
        <v>0</v>
      </c>
      <c r="N94" s="51">
        <f t="shared" si="11"/>
        <v>0</v>
      </c>
      <c r="O94" s="78">
        <f t="shared" si="12"/>
        <v>0</v>
      </c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</row>
    <row r="95" spans="2:51" outlineLevel="1">
      <c r="B95" s="71" t="s">
        <v>230</v>
      </c>
      <c r="C95" s="72" t="s">
        <v>231</v>
      </c>
      <c r="D95" s="73" t="s">
        <v>232</v>
      </c>
      <c r="E95" s="71" t="s">
        <v>216</v>
      </c>
      <c r="F95" s="74" t="s">
        <v>117</v>
      </c>
      <c r="G95" s="17" t="s">
        <v>64</v>
      </c>
      <c r="H95" s="75">
        <f>H93</f>
        <v>0.56666666666666665</v>
      </c>
      <c r="I95" s="76">
        <f>I93*(1+Settings!$C$9)</f>
        <v>79.411764705882362</v>
      </c>
      <c r="J95" s="76">
        <f t="shared" si="9"/>
        <v>45.000000000000007</v>
      </c>
      <c r="K95" s="77">
        <f>K93</f>
        <v>0</v>
      </c>
      <c r="L95" s="51">
        <f>L93</f>
        <v>1</v>
      </c>
      <c r="M95" s="52">
        <f t="shared" si="10"/>
        <v>0</v>
      </c>
      <c r="N95" s="51">
        <f t="shared" si="11"/>
        <v>0</v>
      </c>
      <c r="O95" s="78">
        <f t="shared" si="12"/>
        <v>0</v>
      </c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</row>
    <row r="96" spans="2:51" outlineLevel="1">
      <c r="B96" s="71" t="s">
        <v>230</v>
      </c>
      <c r="C96" s="72" t="s">
        <v>231</v>
      </c>
      <c r="D96" s="73" t="s">
        <v>232</v>
      </c>
      <c r="E96" s="71" t="s">
        <v>216</v>
      </c>
      <c r="F96" s="74" t="s">
        <v>117</v>
      </c>
      <c r="G96" s="17" t="s">
        <v>65</v>
      </c>
      <c r="H96" s="80">
        <f>H93</f>
        <v>0.56666666666666665</v>
      </c>
      <c r="I96" s="81">
        <f>I93</f>
        <v>52.941176470588239</v>
      </c>
      <c r="J96" s="76">
        <f t="shared" si="9"/>
        <v>30</v>
      </c>
      <c r="K96" s="77">
        <f>K93</f>
        <v>0</v>
      </c>
      <c r="L96" s="82">
        <f>L93</f>
        <v>1</v>
      </c>
      <c r="M96" s="52">
        <f t="shared" si="10"/>
        <v>0</v>
      </c>
      <c r="N96" s="51">
        <f t="shared" si="11"/>
        <v>0</v>
      </c>
      <c r="O96" s="78">
        <f t="shared" si="12"/>
        <v>0</v>
      </c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  <c r="AG96" s="79"/>
      <c r="AH96" s="79"/>
      <c r="AI96" s="79"/>
      <c r="AJ96" s="79"/>
      <c r="AK96" s="79"/>
      <c r="AL96" s="79"/>
      <c r="AM96" s="79"/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</row>
    <row r="97" spans="2:51">
      <c r="B97" s="83" t="s">
        <v>230</v>
      </c>
      <c r="C97" s="16" t="s">
        <v>231</v>
      </c>
      <c r="D97" s="84" t="s">
        <v>232</v>
      </c>
      <c r="E97" s="85" t="s">
        <v>216</v>
      </c>
      <c r="F97" s="86" t="s">
        <v>117</v>
      </c>
      <c r="G97" s="16" t="s">
        <v>179</v>
      </c>
      <c r="H97" s="87">
        <f>CHOOSE(IF(OR($D$4="Expert input",$J$93=0),4,IF($D$4="+25%",2,IF($D$4="+50%",3,1))),H93,H94,H95,H96)</f>
        <v>0.56666666666666665</v>
      </c>
      <c r="I97" s="88">
        <f>CHOOSE(IF(OR($D$4="Expert input",$J$93=0),4,IF($D$4="+25%",2,IF($D$4="+50%",3,1))),I93,I94,I95,I96)</f>
        <v>52.941176470588239</v>
      </c>
      <c r="J97" s="88">
        <f t="shared" si="9"/>
        <v>30</v>
      </c>
      <c r="K97" s="54">
        <f>K93</f>
        <v>0</v>
      </c>
      <c r="L97" s="53">
        <f>CHOOSE(IF(OR($D$4="Expert input",$J$93=0),4,IF($D$4="+25%",2,IF($D$4="+50%",3,1))),L93,L94,L95,L96)</f>
        <v>1</v>
      </c>
      <c r="M97" s="54">
        <f t="shared" si="10"/>
        <v>0</v>
      </c>
      <c r="N97" s="53">
        <f t="shared" si="11"/>
        <v>0</v>
      </c>
      <c r="O97" s="54">
        <f t="shared" si="12"/>
        <v>0</v>
      </c>
      <c r="P97" s="43"/>
      <c r="Q97" s="43"/>
      <c r="R97" s="43">
        <v>0.34</v>
      </c>
      <c r="S97" s="43">
        <v>0.33</v>
      </c>
      <c r="T97" s="43"/>
      <c r="U97" s="43">
        <v>0.33</v>
      </c>
      <c r="V97" s="43"/>
      <c r="W97" s="43"/>
      <c r="X97" s="43"/>
      <c r="Y97" s="43"/>
      <c r="Z97" s="43"/>
      <c r="AA97" s="43"/>
      <c r="AB97" s="89">
        <f>P97*$N97</f>
        <v>0</v>
      </c>
      <c r="AC97" s="90">
        <f>P97*$O97</f>
        <v>0</v>
      </c>
      <c r="AD97" s="89">
        <f>Q97*$N97</f>
        <v>0</v>
      </c>
      <c r="AE97" s="90">
        <f>Q97*$O97</f>
        <v>0</v>
      </c>
      <c r="AF97" s="89">
        <f>R97*$N97</f>
        <v>0</v>
      </c>
      <c r="AG97" s="90">
        <f>R97*$O97</f>
        <v>0</v>
      </c>
      <c r="AH97" s="89">
        <f>S97*$N97</f>
        <v>0</v>
      </c>
      <c r="AI97" s="90">
        <f>S97*$O97</f>
        <v>0</v>
      </c>
      <c r="AJ97" s="89">
        <f>T97*$N97</f>
        <v>0</v>
      </c>
      <c r="AK97" s="90">
        <f>T97*$O97</f>
        <v>0</v>
      </c>
      <c r="AL97" s="89">
        <f>U97*$N97</f>
        <v>0</v>
      </c>
      <c r="AM97" s="90">
        <f>U97*$O97</f>
        <v>0</v>
      </c>
      <c r="AN97" s="89">
        <f>V97*$N97</f>
        <v>0</v>
      </c>
      <c r="AO97" s="90">
        <f>V97*$O97</f>
        <v>0</v>
      </c>
      <c r="AP97" s="89">
        <f>W97*$N97</f>
        <v>0</v>
      </c>
      <c r="AQ97" s="90">
        <f>W97*$O97</f>
        <v>0</v>
      </c>
      <c r="AR97" s="89">
        <f>X97*$N97</f>
        <v>0</v>
      </c>
      <c r="AS97" s="90">
        <f>X97*$O97</f>
        <v>0</v>
      </c>
      <c r="AT97" s="89">
        <f>Y97*$N97</f>
        <v>0</v>
      </c>
      <c r="AU97" s="90">
        <f>Y97*$O97</f>
        <v>0</v>
      </c>
      <c r="AV97" s="89">
        <f>Z97*$N97</f>
        <v>0</v>
      </c>
      <c r="AW97" s="90">
        <f>Z97*$O97</f>
        <v>0</v>
      </c>
      <c r="AX97" s="89">
        <f>AA97*$N97</f>
        <v>0</v>
      </c>
      <c r="AY97" s="90">
        <f>AA97*$O97</f>
        <v>0</v>
      </c>
    </row>
    <row r="98" spans="2:51" outlineLevel="1">
      <c r="B98" s="58" t="s">
        <v>233</v>
      </c>
      <c r="C98" s="59" t="s">
        <v>234</v>
      </c>
      <c r="D98" s="60" t="s">
        <v>235</v>
      </c>
      <c r="E98" s="61" t="s">
        <v>216</v>
      </c>
      <c r="F98" s="62" t="s">
        <v>236</v>
      </c>
      <c r="G98" s="59" t="s">
        <v>62</v>
      </c>
      <c r="H98" s="63">
        <f>IFERROR(INDEX('Benchmark Data'!$AC$7:$AC$130,MATCH($B98,'Benchmark Data'!$A$7:$A$130,0)),0)</f>
        <v>2.5000000000000001E-3</v>
      </c>
      <c r="I98" s="64">
        <f>IFERROR(INDEX('Benchmark Data'!$AD$7:$AD$130,MATCH($B98,'Benchmark Data'!$A$7:$A$130,0)),0)</f>
        <v>133.33333333333331</v>
      </c>
      <c r="J98" s="65">
        <f t="shared" si="9"/>
        <v>0.33333333333333331</v>
      </c>
      <c r="K98" s="66">
        <f>$F$9</f>
        <v>0</v>
      </c>
      <c r="L98" s="29">
        <f>IFERROR(INDEX('Benchmark Data'!$AE$7:$AE$130,MATCH($B98,'Benchmark Data'!$A$7:$A$130,0)),0)</f>
        <v>1</v>
      </c>
      <c r="M98" s="67">
        <f t="shared" si="10"/>
        <v>0</v>
      </c>
      <c r="N98" s="68">
        <f t="shared" si="11"/>
        <v>0</v>
      </c>
      <c r="O98" s="69">
        <f t="shared" si="12"/>
        <v>0</v>
      </c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</row>
    <row r="99" spans="2:51" outlineLevel="1">
      <c r="B99" s="71" t="s">
        <v>233</v>
      </c>
      <c r="C99" s="72" t="s">
        <v>234</v>
      </c>
      <c r="D99" s="73" t="s">
        <v>235</v>
      </c>
      <c r="E99" s="71" t="s">
        <v>216</v>
      </c>
      <c r="F99" s="74" t="s">
        <v>236</v>
      </c>
      <c r="G99" s="17" t="s">
        <v>63</v>
      </c>
      <c r="H99" s="75">
        <f>H98</f>
        <v>2.5000000000000001E-3</v>
      </c>
      <c r="I99" s="76">
        <f>I98*(1+Settings!$C$8)</f>
        <v>166.66666666666663</v>
      </c>
      <c r="J99" s="76">
        <f t="shared" si="9"/>
        <v>0.41666666666666657</v>
      </c>
      <c r="K99" s="77">
        <f>K98</f>
        <v>0</v>
      </c>
      <c r="L99" s="51">
        <f>L98</f>
        <v>1</v>
      </c>
      <c r="M99" s="52">
        <f t="shared" si="10"/>
        <v>0</v>
      </c>
      <c r="N99" s="51">
        <f t="shared" si="11"/>
        <v>0</v>
      </c>
      <c r="O99" s="78">
        <f t="shared" si="12"/>
        <v>0</v>
      </c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79"/>
      <c r="AX99" s="79"/>
      <c r="AY99" s="79"/>
    </row>
    <row r="100" spans="2:51" outlineLevel="1">
      <c r="B100" s="71" t="s">
        <v>233</v>
      </c>
      <c r="C100" s="72" t="s">
        <v>234</v>
      </c>
      <c r="D100" s="73" t="s">
        <v>235</v>
      </c>
      <c r="E100" s="71" t="s">
        <v>216</v>
      </c>
      <c r="F100" s="74" t="s">
        <v>236</v>
      </c>
      <c r="G100" s="17" t="s">
        <v>64</v>
      </c>
      <c r="H100" s="75">
        <f>H98</f>
        <v>2.5000000000000001E-3</v>
      </c>
      <c r="I100" s="76">
        <f>I98*(1+Settings!$C$9)</f>
        <v>199.99999999999997</v>
      </c>
      <c r="J100" s="76">
        <f t="shared" si="9"/>
        <v>0.49999999999999994</v>
      </c>
      <c r="K100" s="77">
        <f>K98</f>
        <v>0</v>
      </c>
      <c r="L100" s="51">
        <f>L98</f>
        <v>1</v>
      </c>
      <c r="M100" s="52">
        <f t="shared" si="10"/>
        <v>0</v>
      </c>
      <c r="N100" s="51">
        <f t="shared" si="11"/>
        <v>0</v>
      </c>
      <c r="O100" s="78">
        <f t="shared" si="12"/>
        <v>0</v>
      </c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  <c r="AY100" s="79"/>
    </row>
    <row r="101" spans="2:51" outlineLevel="1">
      <c r="B101" s="71" t="s">
        <v>233</v>
      </c>
      <c r="C101" s="72" t="s">
        <v>234</v>
      </c>
      <c r="D101" s="73" t="s">
        <v>235</v>
      </c>
      <c r="E101" s="71" t="s">
        <v>216</v>
      </c>
      <c r="F101" s="74" t="s">
        <v>236</v>
      </c>
      <c r="G101" s="17" t="s">
        <v>65</v>
      </c>
      <c r="H101" s="80">
        <f>H98</f>
        <v>2.5000000000000001E-3</v>
      </c>
      <c r="I101" s="81">
        <f>I98</f>
        <v>133.33333333333331</v>
      </c>
      <c r="J101" s="76">
        <f t="shared" si="9"/>
        <v>0.33333333333333331</v>
      </c>
      <c r="K101" s="77">
        <f>K98</f>
        <v>0</v>
      </c>
      <c r="L101" s="82">
        <f>L98</f>
        <v>1</v>
      </c>
      <c r="M101" s="52">
        <f t="shared" si="10"/>
        <v>0</v>
      </c>
      <c r="N101" s="51">
        <f t="shared" si="11"/>
        <v>0</v>
      </c>
      <c r="O101" s="78">
        <f t="shared" si="12"/>
        <v>0</v>
      </c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  <c r="AG101" s="79"/>
      <c r="AH101" s="79"/>
      <c r="AI101" s="79"/>
      <c r="AJ101" s="79"/>
      <c r="AK101" s="79"/>
      <c r="AL101" s="79"/>
      <c r="AM101" s="79"/>
      <c r="AN101" s="79"/>
      <c r="AO101" s="79"/>
      <c r="AP101" s="79"/>
      <c r="AQ101" s="79"/>
      <c r="AR101" s="79"/>
      <c r="AS101" s="79"/>
      <c r="AT101" s="79"/>
      <c r="AU101" s="79"/>
      <c r="AV101" s="79"/>
      <c r="AW101" s="79"/>
      <c r="AX101" s="79"/>
      <c r="AY101" s="79"/>
    </row>
    <row r="102" spans="2:51">
      <c r="B102" s="83" t="s">
        <v>233</v>
      </c>
      <c r="C102" s="16" t="s">
        <v>234</v>
      </c>
      <c r="D102" s="84" t="s">
        <v>235</v>
      </c>
      <c r="E102" s="85" t="s">
        <v>216</v>
      </c>
      <c r="F102" s="86" t="s">
        <v>236</v>
      </c>
      <c r="G102" s="16" t="s">
        <v>179</v>
      </c>
      <c r="H102" s="87">
        <f>CHOOSE(IF(OR($D$4="Expert input",$J$98=0),4,IF($D$4="+25%",2,IF($D$4="+50%",3,1))),H98,H99,H100,H101)</f>
        <v>2.5000000000000001E-3</v>
      </c>
      <c r="I102" s="88">
        <f>CHOOSE(IF(OR($D$4="Expert input",$J$98=0),4,IF($D$4="+25%",2,IF($D$4="+50%",3,1))),I98,I99,I100,I101)</f>
        <v>133.33333333333331</v>
      </c>
      <c r="J102" s="88">
        <f t="shared" si="9"/>
        <v>0.33333333333333331</v>
      </c>
      <c r="K102" s="54">
        <f>K98</f>
        <v>0</v>
      </c>
      <c r="L102" s="53">
        <f>CHOOSE(IF(OR($D$4="Expert input",$J$98=0),4,IF($D$4="+25%",2,IF($D$4="+50%",3,1))),L98,L99,L100,L101)</f>
        <v>1</v>
      </c>
      <c r="M102" s="54">
        <f t="shared" si="10"/>
        <v>0</v>
      </c>
      <c r="N102" s="53">
        <f t="shared" si="11"/>
        <v>0</v>
      </c>
      <c r="O102" s="54">
        <f t="shared" si="12"/>
        <v>0</v>
      </c>
      <c r="P102" s="43"/>
      <c r="Q102" s="43"/>
      <c r="R102" s="43"/>
      <c r="S102" s="43">
        <v>0.5</v>
      </c>
      <c r="T102" s="43">
        <v>0.17</v>
      </c>
      <c r="U102" s="43">
        <v>0.33</v>
      </c>
      <c r="V102" s="43"/>
      <c r="W102" s="43"/>
      <c r="X102" s="43"/>
      <c r="Y102" s="43"/>
      <c r="Z102" s="43"/>
      <c r="AA102" s="43"/>
      <c r="AB102" s="89">
        <f>P102*$N102</f>
        <v>0</v>
      </c>
      <c r="AC102" s="90">
        <f>P102*$O102</f>
        <v>0</v>
      </c>
      <c r="AD102" s="89">
        <f>Q102*$N102</f>
        <v>0</v>
      </c>
      <c r="AE102" s="90">
        <f>Q102*$O102</f>
        <v>0</v>
      </c>
      <c r="AF102" s="89">
        <f>R102*$N102</f>
        <v>0</v>
      </c>
      <c r="AG102" s="90">
        <f>R102*$O102</f>
        <v>0</v>
      </c>
      <c r="AH102" s="89">
        <f>S102*$N102</f>
        <v>0</v>
      </c>
      <c r="AI102" s="90">
        <f>S102*$O102</f>
        <v>0</v>
      </c>
      <c r="AJ102" s="89">
        <f>T102*$N102</f>
        <v>0</v>
      </c>
      <c r="AK102" s="90">
        <f>T102*$O102</f>
        <v>0</v>
      </c>
      <c r="AL102" s="89">
        <f>U102*$N102</f>
        <v>0</v>
      </c>
      <c r="AM102" s="90">
        <f>U102*$O102</f>
        <v>0</v>
      </c>
      <c r="AN102" s="89">
        <f>V102*$N102</f>
        <v>0</v>
      </c>
      <c r="AO102" s="90">
        <f>V102*$O102</f>
        <v>0</v>
      </c>
      <c r="AP102" s="89">
        <f>W102*$N102</f>
        <v>0</v>
      </c>
      <c r="AQ102" s="90">
        <f>W102*$O102</f>
        <v>0</v>
      </c>
      <c r="AR102" s="89">
        <f>X102*$N102</f>
        <v>0</v>
      </c>
      <c r="AS102" s="90">
        <f>X102*$O102</f>
        <v>0</v>
      </c>
      <c r="AT102" s="89">
        <f>Y102*$N102</f>
        <v>0</v>
      </c>
      <c r="AU102" s="90">
        <f>Y102*$O102</f>
        <v>0</v>
      </c>
      <c r="AV102" s="89">
        <f>Z102*$N102</f>
        <v>0</v>
      </c>
      <c r="AW102" s="90">
        <f>Z102*$O102</f>
        <v>0</v>
      </c>
      <c r="AX102" s="89">
        <f>AA102*$N102</f>
        <v>0</v>
      </c>
      <c r="AY102" s="90">
        <f>AA102*$O102</f>
        <v>0</v>
      </c>
    </row>
    <row r="103" spans="2:51" outlineLevel="1">
      <c r="B103" s="58" t="s">
        <v>237</v>
      </c>
      <c r="C103" s="59" t="s">
        <v>238</v>
      </c>
      <c r="D103" s="60" t="s">
        <v>239</v>
      </c>
      <c r="E103" s="61" t="s">
        <v>240</v>
      </c>
      <c r="F103" s="62" t="s">
        <v>117</v>
      </c>
      <c r="G103" s="59" t="s">
        <v>62</v>
      </c>
      <c r="H103" s="63">
        <f>IFERROR(INDEX('Benchmark Data'!$AC$7:$AC$130,MATCH($B103,'Benchmark Data'!$A$7:$A$130,0)),0)</f>
        <v>0.48148148148148123</v>
      </c>
      <c r="I103" s="64">
        <f>IFERROR(INDEX('Benchmark Data'!$AD$7:$AD$130,MATCH($B103,'Benchmark Data'!$A$7:$A$130,0)),0)</f>
        <v>380.769230769231</v>
      </c>
      <c r="J103" s="65">
        <f t="shared" si="9"/>
        <v>183.33333333333334</v>
      </c>
      <c r="K103" s="66">
        <f>$F$12</f>
        <v>0</v>
      </c>
      <c r="L103" s="29">
        <f>IFERROR(INDEX('Benchmark Data'!$AE$7:$AE$130,MATCH($B103,'Benchmark Data'!$A$7:$A$130,0)),0)</f>
        <v>2</v>
      </c>
      <c r="M103" s="67">
        <f t="shared" si="10"/>
        <v>0</v>
      </c>
      <c r="N103" s="68">
        <f t="shared" si="11"/>
        <v>0</v>
      </c>
      <c r="O103" s="69">
        <f t="shared" si="12"/>
        <v>0</v>
      </c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70"/>
      <c r="AX103" s="70"/>
      <c r="AY103" s="70"/>
    </row>
    <row r="104" spans="2:51" outlineLevel="1">
      <c r="B104" s="71" t="s">
        <v>237</v>
      </c>
      <c r="C104" s="72" t="s">
        <v>238</v>
      </c>
      <c r="D104" s="73" t="s">
        <v>241</v>
      </c>
      <c r="E104" s="71" t="s">
        <v>240</v>
      </c>
      <c r="F104" s="74" t="s">
        <v>117</v>
      </c>
      <c r="G104" s="17" t="s">
        <v>63</v>
      </c>
      <c r="H104" s="75">
        <f>H103</f>
        <v>0.48148148148148123</v>
      </c>
      <c r="I104" s="76">
        <f>I103*(1+Settings!$C$8)</f>
        <v>475.96153846153874</v>
      </c>
      <c r="J104" s="76">
        <f t="shared" si="9"/>
        <v>229.16666666666669</v>
      </c>
      <c r="K104" s="77">
        <f>K103</f>
        <v>0</v>
      </c>
      <c r="L104" s="51">
        <f>L103</f>
        <v>2</v>
      </c>
      <c r="M104" s="52">
        <f t="shared" si="10"/>
        <v>0</v>
      </c>
      <c r="N104" s="51">
        <f t="shared" si="11"/>
        <v>0</v>
      </c>
      <c r="O104" s="78">
        <f t="shared" si="12"/>
        <v>0</v>
      </c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  <c r="AY104" s="79"/>
    </row>
    <row r="105" spans="2:51" outlineLevel="1">
      <c r="B105" s="71" t="s">
        <v>237</v>
      </c>
      <c r="C105" s="72" t="s">
        <v>238</v>
      </c>
      <c r="D105" s="73" t="s">
        <v>241</v>
      </c>
      <c r="E105" s="71" t="s">
        <v>240</v>
      </c>
      <c r="F105" s="74" t="s">
        <v>117</v>
      </c>
      <c r="G105" s="17" t="s">
        <v>64</v>
      </c>
      <c r="H105" s="75">
        <f>H103</f>
        <v>0.48148148148148123</v>
      </c>
      <c r="I105" s="76">
        <f>I103*(1+Settings!$C$9)</f>
        <v>571.15384615384653</v>
      </c>
      <c r="J105" s="76">
        <f t="shared" si="9"/>
        <v>275.00000000000006</v>
      </c>
      <c r="K105" s="77">
        <f>K103</f>
        <v>0</v>
      </c>
      <c r="L105" s="51">
        <f>L103</f>
        <v>2</v>
      </c>
      <c r="M105" s="52">
        <f t="shared" si="10"/>
        <v>0</v>
      </c>
      <c r="N105" s="51">
        <f t="shared" si="11"/>
        <v>0</v>
      </c>
      <c r="O105" s="78">
        <f t="shared" si="12"/>
        <v>0</v>
      </c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  <c r="AY105" s="79"/>
    </row>
    <row r="106" spans="2:51" outlineLevel="1">
      <c r="B106" s="71" t="s">
        <v>237</v>
      </c>
      <c r="C106" s="72" t="s">
        <v>238</v>
      </c>
      <c r="D106" s="73" t="s">
        <v>241</v>
      </c>
      <c r="E106" s="71" t="s">
        <v>240</v>
      </c>
      <c r="F106" s="74" t="s">
        <v>117</v>
      </c>
      <c r="G106" s="17" t="s">
        <v>65</v>
      </c>
      <c r="H106" s="80">
        <f>H103</f>
        <v>0.48148148148148123</v>
      </c>
      <c r="I106" s="81">
        <f>I103</f>
        <v>380.769230769231</v>
      </c>
      <c r="J106" s="76">
        <f t="shared" si="9"/>
        <v>183.33333333333334</v>
      </c>
      <c r="K106" s="77">
        <f>K103</f>
        <v>0</v>
      </c>
      <c r="L106" s="82">
        <f>L103</f>
        <v>2</v>
      </c>
      <c r="M106" s="52">
        <f t="shared" si="10"/>
        <v>0</v>
      </c>
      <c r="N106" s="51">
        <f t="shared" si="11"/>
        <v>0</v>
      </c>
      <c r="O106" s="78">
        <f t="shared" si="12"/>
        <v>0</v>
      </c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G106" s="79"/>
      <c r="AH106" s="79"/>
      <c r="AI106" s="79"/>
      <c r="AJ106" s="79"/>
      <c r="AK106" s="79"/>
      <c r="AL106" s="79"/>
      <c r="AM106" s="79"/>
      <c r="AN106" s="79"/>
      <c r="AO106" s="79"/>
      <c r="AP106" s="79"/>
      <c r="AQ106" s="79"/>
      <c r="AR106" s="79"/>
      <c r="AS106" s="79"/>
      <c r="AT106" s="79"/>
      <c r="AU106" s="79"/>
      <c r="AV106" s="79"/>
      <c r="AW106" s="79"/>
      <c r="AX106" s="79"/>
      <c r="AY106" s="79"/>
    </row>
    <row r="107" spans="2:51">
      <c r="B107" s="83" t="s">
        <v>237</v>
      </c>
      <c r="C107" s="16" t="s">
        <v>238</v>
      </c>
      <c r="D107" s="84" t="s">
        <v>242</v>
      </c>
      <c r="E107" s="85" t="s">
        <v>240</v>
      </c>
      <c r="F107" s="86" t="s">
        <v>117</v>
      </c>
      <c r="G107" s="16" t="s">
        <v>179</v>
      </c>
      <c r="H107" s="87">
        <f>CHOOSE(IF(OR($D$4="Expert input",$J$103=0),4,IF($D$4="+25%",2,IF($D$4="+50%",3,1))),H103,H104,H105,H106)</f>
        <v>0.48148148148148123</v>
      </c>
      <c r="I107" s="88">
        <f>CHOOSE(IF(OR($D$4="Expert input",$J$103=0),4,IF($D$4="+25%",2,IF($D$4="+50%",3,1))),I103,I104,I105,I106)</f>
        <v>380.769230769231</v>
      </c>
      <c r="J107" s="88">
        <f t="shared" si="9"/>
        <v>183.33333333333334</v>
      </c>
      <c r="K107" s="54">
        <f>K103</f>
        <v>0</v>
      </c>
      <c r="L107" s="53">
        <f>CHOOSE(IF(OR($D$4="Expert input",$J$103=0),4,IF($D$4="+25%",2,IF($D$4="+50%",3,1))),L103,L104,L105,L106)</f>
        <v>2</v>
      </c>
      <c r="M107" s="54">
        <f t="shared" si="10"/>
        <v>0</v>
      </c>
      <c r="N107" s="53">
        <f t="shared" si="11"/>
        <v>0</v>
      </c>
      <c r="O107" s="54">
        <f t="shared" si="12"/>
        <v>0</v>
      </c>
      <c r="P107" s="43"/>
      <c r="Q107" s="43"/>
      <c r="R107" s="43">
        <v>0.67</v>
      </c>
      <c r="S107" s="43"/>
      <c r="T107" s="43">
        <v>0.33</v>
      </c>
      <c r="U107" s="43"/>
      <c r="V107" s="43"/>
      <c r="W107" s="43"/>
      <c r="X107" s="43"/>
      <c r="Y107" s="43"/>
      <c r="Z107" s="43"/>
      <c r="AA107" s="43"/>
      <c r="AB107" s="89">
        <f>P107*$N107</f>
        <v>0</v>
      </c>
      <c r="AC107" s="90">
        <f>P107*$O107</f>
        <v>0</v>
      </c>
      <c r="AD107" s="89">
        <f>Q107*$N107</f>
        <v>0</v>
      </c>
      <c r="AE107" s="90">
        <f>Q107*$O107</f>
        <v>0</v>
      </c>
      <c r="AF107" s="89">
        <f>R107*$N107</f>
        <v>0</v>
      </c>
      <c r="AG107" s="90">
        <f>R107*$O107</f>
        <v>0</v>
      </c>
      <c r="AH107" s="89">
        <f>S107*$N107</f>
        <v>0</v>
      </c>
      <c r="AI107" s="90">
        <f>S107*$O107</f>
        <v>0</v>
      </c>
      <c r="AJ107" s="89">
        <f>T107*$N107</f>
        <v>0</v>
      </c>
      <c r="AK107" s="90">
        <f>T107*$O107</f>
        <v>0</v>
      </c>
      <c r="AL107" s="89">
        <f>U107*$N107</f>
        <v>0</v>
      </c>
      <c r="AM107" s="90">
        <f>U107*$O107</f>
        <v>0</v>
      </c>
      <c r="AN107" s="89">
        <f>V107*$N107</f>
        <v>0</v>
      </c>
      <c r="AO107" s="90">
        <f>V107*$O107</f>
        <v>0</v>
      </c>
      <c r="AP107" s="89">
        <f>W107*$N107</f>
        <v>0</v>
      </c>
      <c r="AQ107" s="90">
        <f>W107*$O107</f>
        <v>0</v>
      </c>
      <c r="AR107" s="89">
        <f>X107*$N107</f>
        <v>0</v>
      </c>
      <c r="AS107" s="90">
        <f>X107*$O107</f>
        <v>0</v>
      </c>
      <c r="AT107" s="89">
        <f>Y107*$N107</f>
        <v>0</v>
      </c>
      <c r="AU107" s="90">
        <f>Y107*$O107</f>
        <v>0</v>
      </c>
      <c r="AV107" s="89">
        <f>Z107*$N107</f>
        <v>0</v>
      </c>
      <c r="AW107" s="90">
        <f>Z107*$O107</f>
        <v>0</v>
      </c>
      <c r="AX107" s="89">
        <f>AA107*$N107</f>
        <v>0</v>
      </c>
      <c r="AY107" s="90">
        <f>AA107*$O107</f>
        <v>0</v>
      </c>
    </row>
    <row r="108" spans="2:51" outlineLevel="1">
      <c r="B108" s="58" t="s">
        <v>243</v>
      </c>
      <c r="C108" s="59" t="s">
        <v>244</v>
      </c>
      <c r="D108" s="60" t="s">
        <v>245</v>
      </c>
      <c r="E108" s="61" t="s">
        <v>240</v>
      </c>
      <c r="F108" s="62" t="s">
        <v>117</v>
      </c>
      <c r="G108" s="59" t="s">
        <v>62</v>
      </c>
      <c r="H108" s="63">
        <f>IFERROR(INDEX('Benchmark Data'!$AC$7:$AC$130,MATCH($B108,'Benchmark Data'!$A$7:$A$130,0)),0)</f>
        <v>0.66666666666666663</v>
      </c>
      <c r="I108" s="64">
        <f>IFERROR(INDEX('Benchmark Data'!$AD$7:$AD$130,MATCH($B108,'Benchmark Data'!$A$7:$A$130,0)),0)</f>
        <v>235</v>
      </c>
      <c r="J108" s="65">
        <f t="shared" si="9"/>
        <v>156.66666666666666</v>
      </c>
      <c r="K108" s="66">
        <f>$F$12</f>
        <v>0</v>
      </c>
      <c r="L108" s="29">
        <f>IFERROR(INDEX('Benchmark Data'!$AE$7:$AE$130,MATCH($B108,'Benchmark Data'!$A$7:$A$130,0)),0)</f>
        <v>2</v>
      </c>
      <c r="M108" s="67">
        <f t="shared" si="10"/>
        <v>0</v>
      </c>
      <c r="N108" s="68">
        <f t="shared" si="11"/>
        <v>0</v>
      </c>
      <c r="O108" s="69">
        <f t="shared" si="12"/>
        <v>0</v>
      </c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70"/>
      <c r="AX108" s="70"/>
      <c r="AY108" s="70"/>
    </row>
    <row r="109" spans="2:51" outlineLevel="1">
      <c r="B109" s="71" t="s">
        <v>243</v>
      </c>
      <c r="C109" s="72" t="s">
        <v>244</v>
      </c>
      <c r="D109" s="73" t="s">
        <v>245</v>
      </c>
      <c r="E109" s="71" t="s">
        <v>240</v>
      </c>
      <c r="F109" s="74" t="s">
        <v>117</v>
      </c>
      <c r="G109" s="17" t="s">
        <v>63</v>
      </c>
      <c r="H109" s="75">
        <f>H108</f>
        <v>0.66666666666666663</v>
      </c>
      <c r="I109" s="76">
        <f>I108*(1+Settings!$C$8)</f>
        <v>293.75</v>
      </c>
      <c r="J109" s="76">
        <f t="shared" si="9"/>
        <v>195.83333333333331</v>
      </c>
      <c r="K109" s="77">
        <f>K108</f>
        <v>0</v>
      </c>
      <c r="L109" s="51">
        <f>L108</f>
        <v>2</v>
      </c>
      <c r="M109" s="52">
        <f t="shared" si="10"/>
        <v>0</v>
      </c>
      <c r="N109" s="51">
        <f t="shared" si="11"/>
        <v>0</v>
      </c>
      <c r="O109" s="78">
        <f t="shared" si="12"/>
        <v>0</v>
      </c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  <c r="AY109" s="79"/>
    </row>
    <row r="110" spans="2:51" outlineLevel="1">
      <c r="B110" s="71" t="s">
        <v>243</v>
      </c>
      <c r="C110" s="72" t="s">
        <v>244</v>
      </c>
      <c r="D110" s="73" t="s">
        <v>245</v>
      </c>
      <c r="E110" s="71" t="s">
        <v>240</v>
      </c>
      <c r="F110" s="74" t="s">
        <v>117</v>
      </c>
      <c r="G110" s="17" t="s">
        <v>64</v>
      </c>
      <c r="H110" s="75">
        <f>H108</f>
        <v>0.66666666666666663</v>
      </c>
      <c r="I110" s="76">
        <f>I108*(1+Settings!$C$9)</f>
        <v>352.5</v>
      </c>
      <c r="J110" s="76">
        <f t="shared" si="9"/>
        <v>235</v>
      </c>
      <c r="K110" s="77">
        <f>K108</f>
        <v>0</v>
      </c>
      <c r="L110" s="51">
        <f>L108</f>
        <v>2</v>
      </c>
      <c r="M110" s="52">
        <f t="shared" si="10"/>
        <v>0</v>
      </c>
      <c r="N110" s="51">
        <f t="shared" si="11"/>
        <v>0</v>
      </c>
      <c r="O110" s="78">
        <f t="shared" si="12"/>
        <v>0</v>
      </c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  <c r="AY110" s="79"/>
    </row>
    <row r="111" spans="2:51" outlineLevel="1">
      <c r="B111" s="71" t="s">
        <v>243</v>
      </c>
      <c r="C111" s="72" t="s">
        <v>244</v>
      </c>
      <c r="D111" s="73" t="s">
        <v>245</v>
      </c>
      <c r="E111" s="71" t="s">
        <v>240</v>
      </c>
      <c r="F111" s="74" t="s">
        <v>117</v>
      </c>
      <c r="G111" s="17" t="s">
        <v>65</v>
      </c>
      <c r="H111" s="80">
        <f>H108</f>
        <v>0.66666666666666663</v>
      </c>
      <c r="I111" s="81">
        <f>I108</f>
        <v>235</v>
      </c>
      <c r="J111" s="76">
        <f t="shared" si="9"/>
        <v>156.66666666666666</v>
      </c>
      <c r="K111" s="77">
        <f>K108</f>
        <v>0</v>
      </c>
      <c r="L111" s="82">
        <f>L108</f>
        <v>2</v>
      </c>
      <c r="M111" s="52">
        <f t="shared" si="10"/>
        <v>0</v>
      </c>
      <c r="N111" s="51">
        <f t="shared" si="11"/>
        <v>0</v>
      </c>
      <c r="O111" s="78">
        <f t="shared" si="12"/>
        <v>0</v>
      </c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  <c r="AG111" s="79"/>
      <c r="AH111" s="79"/>
      <c r="AI111" s="79"/>
      <c r="AJ111" s="79"/>
      <c r="AK111" s="79"/>
      <c r="AL111" s="79"/>
      <c r="AM111" s="79"/>
      <c r="AN111" s="79"/>
      <c r="AO111" s="79"/>
      <c r="AP111" s="79"/>
      <c r="AQ111" s="79"/>
      <c r="AR111" s="79"/>
      <c r="AS111" s="79"/>
      <c r="AT111" s="79"/>
      <c r="AU111" s="79"/>
      <c r="AV111" s="79"/>
      <c r="AW111" s="79"/>
      <c r="AX111" s="79"/>
      <c r="AY111" s="79"/>
    </row>
    <row r="112" spans="2:51">
      <c r="B112" s="83" t="s">
        <v>243</v>
      </c>
      <c r="C112" s="16" t="s">
        <v>244</v>
      </c>
      <c r="D112" s="84" t="s">
        <v>245</v>
      </c>
      <c r="E112" s="85" t="s">
        <v>240</v>
      </c>
      <c r="F112" s="86" t="s">
        <v>117</v>
      </c>
      <c r="G112" s="16" t="s">
        <v>179</v>
      </c>
      <c r="H112" s="87">
        <f>CHOOSE(IF(OR($D$4="Expert input",$J$108=0),4,IF($D$4="+25%",2,IF($D$4="+50%",3,1))),H108,H109,H110,H111)</f>
        <v>0.66666666666666663</v>
      </c>
      <c r="I112" s="88">
        <f>CHOOSE(IF(OR($D$4="Expert input",$J$108=0),4,IF($D$4="+25%",2,IF($D$4="+50%",3,1))),I108,I109,I110,I111)</f>
        <v>235</v>
      </c>
      <c r="J112" s="88">
        <f t="shared" si="9"/>
        <v>156.66666666666666</v>
      </c>
      <c r="K112" s="54">
        <f>K108</f>
        <v>0</v>
      </c>
      <c r="L112" s="53">
        <f>CHOOSE(IF(OR($D$4="Expert input",$J$108=0),4,IF($D$4="+25%",2,IF($D$4="+50%",3,1))),L108,L109,L110,L111)</f>
        <v>2</v>
      </c>
      <c r="M112" s="54">
        <f t="shared" si="10"/>
        <v>0</v>
      </c>
      <c r="N112" s="53">
        <f t="shared" si="11"/>
        <v>0</v>
      </c>
      <c r="O112" s="54">
        <f t="shared" si="12"/>
        <v>0</v>
      </c>
      <c r="P112" s="43"/>
      <c r="Q112" s="43"/>
      <c r="R112" s="43">
        <v>0.67</v>
      </c>
      <c r="S112" s="43"/>
      <c r="T112" s="43">
        <v>0.33</v>
      </c>
      <c r="U112" s="43"/>
      <c r="V112" s="43"/>
      <c r="W112" s="43"/>
      <c r="X112" s="43"/>
      <c r="Y112" s="43"/>
      <c r="Z112" s="43"/>
      <c r="AA112" s="43"/>
      <c r="AB112" s="89">
        <f>P112*$N112</f>
        <v>0</v>
      </c>
      <c r="AC112" s="90">
        <f>P112*$O112</f>
        <v>0</v>
      </c>
      <c r="AD112" s="89">
        <f>Q112*$N112</f>
        <v>0</v>
      </c>
      <c r="AE112" s="90">
        <f>Q112*$O112</f>
        <v>0</v>
      </c>
      <c r="AF112" s="89">
        <f>R112*$N112</f>
        <v>0</v>
      </c>
      <c r="AG112" s="90">
        <f>R112*$O112</f>
        <v>0</v>
      </c>
      <c r="AH112" s="89">
        <f>S112*$N112</f>
        <v>0</v>
      </c>
      <c r="AI112" s="90">
        <f>S112*$O112</f>
        <v>0</v>
      </c>
      <c r="AJ112" s="89">
        <f>T112*$N112</f>
        <v>0</v>
      </c>
      <c r="AK112" s="90">
        <f>T112*$O112</f>
        <v>0</v>
      </c>
      <c r="AL112" s="89">
        <f>U112*$N112</f>
        <v>0</v>
      </c>
      <c r="AM112" s="90">
        <f>U112*$O112</f>
        <v>0</v>
      </c>
      <c r="AN112" s="89">
        <f>V112*$N112</f>
        <v>0</v>
      </c>
      <c r="AO112" s="90">
        <f>V112*$O112</f>
        <v>0</v>
      </c>
      <c r="AP112" s="89">
        <f>W112*$N112</f>
        <v>0</v>
      </c>
      <c r="AQ112" s="90">
        <f>W112*$O112</f>
        <v>0</v>
      </c>
      <c r="AR112" s="89">
        <f>X112*$N112</f>
        <v>0</v>
      </c>
      <c r="AS112" s="90">
        <f>X112*$O112</f>
        <v>0</v>
      </c>
      <c r="AT112" s="89">
        <f>Y112*$N112</f>
        <v>0</v>
      </c>
      <c r="AU112" s="90">
        <f>Y112*$O112</f>
        <v>0</v>
      </c>
      <c r="AV112" s="89">
        <f>Z112*$N112</f>
        <v>0</v>
      </c>
      <c r="AW112" s="90">
        <f>Z112*$O112</f>
        <v>0</v>
      </c>
      <c r="AX112" s="89">
        <f>AA112*$N112</f>
        <v>0</v>
      </c>
      <c r="AY112" s="90">
        <f>AA112*$O112</f>
        <v>0</v>
      </c>
    </row>
    <row r="113" spans="2:51" outlineLevel="1">
      <c r="B113" s="58" t="s">
        <v>246</v>
      </c>
      <c r="C113" s="59" t="s">
        <v>247</v>
      </c>
      <c r="D113" s="60" t="s">
        <v>248</v>
      </c>
      <c r="E113" s="61" t="s">
        <v>240</v>
      </c>
      <c r="F113" s="62" t="s">
        <v>117</v>
      </c>
      <c r="G113" s="59" t="s">
        <v>62</v>
      </c>
      <c r="H113" s="63">
        <f>IFERROR(INDEX('Benchmark Data'!$AC$7:$AC$130,MATCH($B113,'Benchmark Data'!$A$7:$A$130,0)),0)</f>
        <v>0.56481481481481499</v>
      </c>
      <c r="I113" s="64">
        <f>IFERROR(INDEX('Benchmark Data'!$AD$7:$AD$130,MATCH($B113,'Benchmark Data'!$A$7:$A$130,0)),0)</f>
        <v>236.06557377049174</v>
      </c>
      <c r="J113" s="65">
        <f t="shared" si="9"/>
        <v>133.33333333333334</v>
      </c>
      <c r="K113" s="66">
        <f>$F$12</f>
        <v>0</v>
      </c>
      <c r="L113" s="29">
        <f>IFERROR(INDEX('Benchmark Data'!$AE$7:$AE$130,MATCH($B113,'Benchmark Data'!$A$7:$A$130,0)),0)</f>
        <v>1</v>
      </c>
      <c r="M113" s="67">
        <f t="shared" si="10"/>
        <v>0</v>
      </c>
      <c r="N113" s="68">
        <f t="shared" si="11"/>
        <v>0</v>
      </c>
      <c r="O113" s="69">
        <f t="shared" si="12"/>
        <v>0</v>
      </c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70"/>
      <c r="AX113" s="70"/>
      <c r="AY113" s="70"/>
    </row>
    <row r="114" spans="2:51" outlineLevel="1">
      <c r="B114" s="71" t="s">
        <v>246</v>
      </c>
      <c r="C114" s="72" t="s">
        <v>247</v>
      </c>
      <c r="D114" s="73" t="s">
        <v>248</v>
      </c>
      <c r="E114" s="71" t="s">
        <v>240</v>
      </c>
      <c r="F114" s="74" t="s">
        <v>117</v>
      </c>
      <c r="G114" s="17" t="s">
        <v>63</v>
      </c>
      <c r="H114" s="75">
        <f>H113</f>
        <v>0.56481481481481499</v>
      </c>
      <c r="I114" s="76">
        <f>I113*(1+Settings!$C$8)</f>
        <v>295.08196721311469</v>
      </c>
      <c r="J114" s="76">
        <f t="shared" ref="J114:J145" si="13">H114*I114</f>
        <v>166.66666666666669</v>
      </c>
      <c r="K114" s="77">
        <f>K113</f>
        <v>0</v>
      </c>
      <c r="L114" s="51">
        <f>L113</f>
        <v>1</v>
      </c>
      <c r="M114" s="52">
        <f t="shared" ref="M114:M145" si="14">K114*L114</f>
        <v>0</v>
      </c>
      <c r="N114" s="51">
        <f t="shared" ref="N114:N145" si="15">M114*H114</f>
        <v>0</v>
      </c>
      <c r="O114" s="78">
        <f t="shared" ref="O114:O145" si="16">M114*J114</f>
        <v>0</v>
      </c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  <c r="AY114" s="79"/>
    </row>
    <row r="115" spans="2:51" outlineLevel="1">
      <c r="B115" s="71" t="s">
        <v>246</v>
      </c>
      <c r="C115" s="72" t="s">
        <v>247</v>
      </c>
      <c r="D115" s="73" t="s">
        <v>248</v>
      </c>
      <c r="E115" s="71" t="s">
        <v>240</v>
      </c>
      <c r="F115" s="74" t="s">
        <v>117</v>
      </c>
      <c r="G115" s="17" t="s">
        <v>64</v>
      </c>
      <c r="H115" s="75">
        <f>H113</f>
        <v>0.56481481481481499</v>
      </c>
      <c r="I115" s="76">
        <f>I113*(1+Settings!$C$9)</f>
        <v>354.09836065573762</v>
      </c>
      <c r="J115" s="76">
        <f t="shared" si="13"/>
        <v>200.00000000000003</v>
      </c>
      <c r="K115" s="77">
        <f>K113</f>
        <v>0</v>
      </c>
      <c r="L115" s="51">
        <f>L113</f>
        <v>1</v>
      </c>
      <c r="M115" s="52">
        <f t="shared" si="14"/>
        <v>0</v>
      </c>
      <c r="N115" s="51">
        <f t="shared" si="15"/>
        <v>0</v>
      </c>
      <c r="O115" s="78">
        <f t="shared" si="16"/>
        <v>0</v>
      </c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  <c r="AY115" s="79"/>
    </row>
    <row r="116" spans="2:51" outlineLevel="1">
      <c r="B116" s="71" t="s">
        <v>246</v>
      </c>
      <c r="C116" s="72" t="s">
        <v>247</v>
      </c>
      <c r="D116" s="73" t="s">
        <v>248</v>
      </c>
      <c r="E116" s="71" t="s">
        <v>240</v>
      </c>
      <c r="F116" s="74" t="s">
        <v>117</v>
      </c>
      <c r="G116" s="17" t="s">
        <v>65</v>
      </c>
      <c r="H116" s="80">
        <f>H113</f>
        <v>0.56481481481481499</v>
      </c>
      <c r="I116" s="81">
        <f>I113</f>
        <v>236.06557377049174</v>
      </c>
      <c r="J116" s="76">
        <f t="shared" si="13"/>
        <v>133.33333333333334</v>
      </c>
      <c r="K116" s="77">
        <f>K113</f>
        <v>0</v>
      </c>
      <c r="L116" s="82">
        <f>L113</f>
        <v>1</v>
      </c>
      <c r="M116" s="52">
        <f t="shared" si="14"/>
        <v>0</v>
      </c>
      <c r="N116" s="51">
        <f t="shared" si="15"/>
        <v>0</v>
      </c>
      <c r="O116" s="78">
        <f t="shared" si="16"/>
        <v>0</v>
      </c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  <c r="AG116" s="79"/>
      <c r="AH116" s="79"/>
      <c r="AI116" s="79"/>
      <c r="AJ116" s="79"/>
      <c r="AK116" s="79"/>
      <c r="AL116" s="79"/>
      <c r="AM116" s="79"/>
      <c r="AN116" s="79"/>
      <c r="AO116" s="79"/>
      <c r="AP116" s="79"/>
      <c r="AQ116" s="79"/>
      <c r="AR116" s="79"/>
      <c r="AS116" s="79"/>
      <c r="AT116" s="79"/>
      <c r="AU116" s="79"/>
      <c r="AV116" s="79"/>
      <c r="AW116" s="79"/>
      <c r="AX116" s="79"/>
      <c r="AY116" s="79"/>
    </row>
    <row r="117" spans="2:51">
      <c r="B117" s="83" t="s">
        <v>246</v>
      </c>
      <c r="C117" s="16" t="s">
        <v>247</v>
      </c>
      <c r="D117" s="84" t="s">
        <v>248</v>
      </c>
      <c r="E117" s="85" t="s">
        <v>240</v>
      </c>
      <c r="F117" s="86" t="s">
        <v>117</v>
      </c>
      <c r="G117" s="16" t="s">
        <v>179</v>
      </c>
      <c r="H117" s="87">
        <f>CHOOSE(IF(OR($D$4="Expert input",$J$113=0),4,IF($D$4="+25%",2,IF($D$4="+50%",3,1))),H113,H114,H115,H116)</f>
        <v>0.56481481481481499</v>
      </c>
      <c r="I117" s="88">
        <f>CHOOSE(IF(OR($D$4="Expert input",$J$113=0),4,IF($D$4="+25%",2,IF($D$4="+50%",3,1))),I113,I114,I115,I116)</f>
        <v>236.06557377049174</v>
      </c>
      <c r="J117" s="88">
        <f t="shared" si="13"/>
        <v>133.33333333333334</v>
      </c>
      <c r="K117" s="54">
        <f>K113</f>
        <v>0</v>
      </c>
      <c r="L117" s="53">
        <f>CHOOSE(IF(OR($D$4="Expert input",$J$113=0),4,IF($D$4="+25%",2,IF($D$4="+50%",3,1))),L113,L114,L115,L116)</f>
        <v>1</v>
      </c>
      <c r="M117" s="54">
        <f t="shared" si="14"/>
        <v>0</v>
      </c>
      <c r="N117" s="53">
        <f t="shared" si="15"/>
        <v>0</v>
      </c>
      <c r="O117" s="54">
        <f t="shared" si="16"/>
        <v>0</v>
      </c>
      <c r="P117" s="43"/>
      <c r="Q117" s="43"/>
      <c r="R117" s="43">
        <v>0.34</v>
      </c>
      <c r="S117" s="43">
        <v>0.33</v>
      </c>
      <c r="T117" s="43">
        <v>0.33</v>
      </c>
      <c r="U117" s="43"/>
      <c r="V117" s="43"/>
      <c r="W117" s="43"/>
      <c r="X117" s="43"/>
      <c r="Y117" s="43"/>
      <c r="Z117" s="43"/>
      <c r="AA117" s="43"/>
      <c r="AB117" s="89">
        <f>P117*$N117</f>
        <v>0</v>
      </c>
      <c r="AC117" s="90">
        <f>P117*$O117</f>
        <v>0</v>
      </c>
      <c r="AD117" s="89">
        <f>Q117*$N117</f>
        <v>0</v>
      </c>
      <c r="AE117" s="90">
        <f>Q117*$O117</f>
        <v>0</v>
      </c>
      <c r="AF117" s="89">
        <f>R117*$N117</f>
        <v>0</v>
      </c>
      <c r="AG117" s="90">
        <f>R117*$O117</f>
        <v>0</v>
      </c>
      <c r="AH117" s="89">
        <f>S117*$N117</f>
        <v>0</v>
      </c>
      <c r="AI117" s="90">
        <f>S117*$O117</f>
        <v>0</v>
      </c>
      <c r="AJ117" s="89">
        <f>T117*$N117</f>
        <v>0</v>
      </c>
      <c r="AK117" s="90">
        <f>T117*$O117</f>
        <v>0</v>
      </c>
      <c r="AL117" s="89">
        <f>U117*$N117</f>
        <v>0</v>
      </c>
      <c r="AM117" s="90">
        <f>U117*$O117</f>
        <v>0</v>
      </c>
      <c r="AN117" s="89">
        <f>V117*$N117</f>
        <v>0</v>
      </c>
      <c r="AO117" s="90">
        <f>V117*$O117</f>
        <v>0</v>
      </c>
      <c r="AP117" s="89">
        <f>W117*$N117</f>
        <v>0</v>
      </c>
      <c r="AQ117" s="90">
        <f>W117*$O117</f>
        <v>0</v>
      </c>
      <c r="AR117" s="89">
        <f>X117*$N117</f>
        <v>0</v>
      </c>
      <c r="AS117" s="90">
        <f>X117*$O117</f>
        <v>0</v>
      </c>
      <c r="AT117" s="89">
        <f>Y117*$N117</f>
        <v>0</v>
      </c>
      <c r="AU117" s="90">
        <f>Y117*$O117</f>
        <v>0</v>
      </c>
      <c r="AV117" s="89">
        <f>Z117*$N117</f>
        <v>0</v>
      </c>
      <c r="AW117" s="90">
        <f>Z117*$O117</f>
        <v>0</v>
      </c>
      <c r="AX117" s="89">
        <f>AA117*$N117</f>
        <v>0</v>
      </c>
      <c r="AY117" s="90">
        <f>AA117*$O117</f>
        <v>0</v>
      </c>
    </row>
    <row r="118" spans="2:51" outlineLevel="1">
      <c r="B118" s="58" t="s">
        <v>249</v>
      </c>
      <c r="C118" s="59" t="s">
        <v>250</v>
      </c>
      <c r="D118" s="60" t="s">
        <v>251</v>
      </c>
      <c r="E118" s="61" t="s">
        <v>240</v>
      </c>
      <c r="F118" s="62" t="s">
        <v>117</v>
      </c>
      <c r="G118" s="59" t="s">
        <v>62</v>
      </c>
      <c r="H118" s="63">
        <f>IFERROR(INDEX('Benchmark Data'!$AC$7:$AC$130,MATCH($B118,'Benchmark Data'!$A$7:$A$130,0)),0)</f>
        <v>0.25</v>
      </c>
      <c r="I118" s="64">
        <f>IFERROR(INDEX('Benchmark Data'!$AD$7:$AD$130,MATCH($B118,'Benchmark Data'!$A$7:$A$130,0)),0)</f>
        <v>120</v>
      </c>
      <c r="J118" s="65">
        <f t="shared" si="13"/>
        <v>30</v>
      </c>
      <c r="K118" s="66">
        <f>$F$12</f>
        <v>0</v>
      </c>
      <c r="L118" s="29">
        <f>IFERROR(INDEX('Benchmark Data'!$AE$7:$AE$130,MATCH($B118,'Benchmark Data'!$A$7:$A$130,0)),0)</f>
        <v>1</v>
      </c>
      <c r="M118" s="67">
        <f t="shared" si="14"/>
        <v>0</v>
      </c>
      <c r="N118" s="68">
        <f t="shared" si="15"/>
        <v>0</v>
      </c>
      <c r="O118" s="69">
        <f t="shared" si="16"/>
        <v>0</v>
      </c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70"/>
      <c r="AX118" s="70"/>
      <c r="AY118" s="70"/>
    </row>
    <row r="119" spans="2:51" outlineLevel="1">
      <c r="B119" s="71" t="s">
        <v>249</v>
      </c>
      <c r="C119" s="72" t="s">
        <v>250</v>
      </c>
      <c r="D119" s="73" t="s">
        <v>251</v>
      </c>
      <c r="E119" s="71" t="s">
        <v>240</v>
      </c>
      <c r="F119" s="74" t="s">
        <v>117</v>
      </c>
      <c r="G119" s="17" t="s">
        <v>63</v>
      </c>
      <c r="H119" s="75">
        <f>H118</f>
        <v>0.25</v>
      </c>
      <c r="I119" s="76">
        <f>I118*(1+Settings!$C$8)</f>
        <v>150</v>
      </c>
      <c r="J119" s="76">
        <f t="shared" si="13"/>
        <v>37.5</v>
      </c>
      <c r="K119" s="77">
        <f>K118</f>
        <v>0</v>
      </c>
      <c r="L119" s="51">
        <f>L118</f>
        <v>1</v>
      </c>
      <c r="M119" s="52">
        <f t="shared" si="14"/>
        <v>0</v>
      </c>
      <c r="N119" s="51">
        <f t="shared" si="15"/>
        <v>0</v>
      </c>
      <c r="O119" s="78">
        <f t="shared" si="16"/>
        <v>0</v>
      </c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  <c r="AY119" s="79"/>
    </row>
    <row r="120" spans="2:51" outlineLevel="1">
      <c r="B120" s="71" t="s">
        <v>249</v>
      </c>
      <c r="C120" s="72" t="s">
        <v>250</v>
      </c>
      <c r="D120" s="73" t="s">
        <v>251</v>
      </c>
      <c r="E120" s="71" t="s">
        <v>240</v>
      </c>
      <c r="F120" s="74" t="s">
        <v>117</v>
      </c>
      <c r="G120" s="17" t="s">
        <v>64</v>
      </c>
      <c r="H120" s="75">
        <f>H118</f>
        <v>0.25</v>
      </c>
      <c r="I120" s="76">
        <f>I118*(1+Settings!$C$9)</f>
        <v>180</v>
      </c>
      <c r="J120" s="76">
        <f t="shared" si="13"/>
        <v>45</v>
      </c>
      <c r="K120" s="77">
        <f>K118</f>
        <v>0</v>
      </c>
      <c r="L120" s="51">
        <f>L118</f>
        <v>1</v>
      </c>
      <c r="M120" s="52">
        <f t="shared" si="14"/>
        <v>0</v>
      </c>
      <c r="N120" s="51">
        <f t="shared" si="15"/>
        <v>0</v>
      </c>
      <c r="O120" s="78">
        <f t="shared" si="16"/>
        <v>0</v>
      </c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  <c r="AY120" s="79"/>
    </row>
    <row r="121" spans="2:51" outlineLevel="1">
      <c r="B121" s="71" t="s">
        <v>249</v>
      </c>
      <c r="C121" s="72" t="s">
        <v>250</v>
      </c>
      <c r="D121" s="73" t="s">
        <v>251</v>
      </c>
      <c r="E121" s="71" t="s">
        <v>240</v>
      </c>
      <c r="F121" s="74" t="s">
        <v>117</v>
      </c>
      <c r="G121" s="17" t="s">
        <v>65</v>
      </c>
      <c r="H121" s="80">
        <f>H118</f>
        <v>0.25</v>
      </c>
      <c r="I121" s="81">
        <f>I118</f>
        <v>120</v>
      </c>
      <c r="J121" s="76">
        <f t="shared" si="13"/>
        <v>30</v>
      </c>
      <c r="K121" s="77">
        <f>K118</f>
        <v>0</v>
      </c>
      <c r="L121" s="82">
        <f>L118</f>
        <v>1</v>
      </c>
      <c r="M121" s="52">
        <f t="shared" si="14"/>
        <v>0</v>
      </c>
      <c r="N121" s="51">
        <f t="shared" si="15"/>
        <v>0</v>
      </c>
      <c r="O121" s="78">
        <f t="shared" si="16"/>
        <v>0</v>
      </c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  <c r="AG121" s="79"/>
      <c r="AH121" s="79"/>
      <c r="AI121" s="79"/>
      <c r="AJ121" s="79"/>
      <c r="AK121" s="79"/>
      <c r="AL121" s="79"/>
      <c r="AM121" s="79"/>
      <c r="AN121" s="79"/>
      <c r="AO121" s="79"/>
      <c r="AP121" s="79"/>
      <c r="AQ121" s="79"/>
      <c r="AR121" s="79"/>
      <c r="AS121" s="79"/>
      <c r="AT121" s="79"/>
      <c r="AU121" s="79"/>
      <c r="AV121" s="79"/>
      <c r="AW121" s="79"/>
      <c r="AX121" s="79"/>
      <c r="AY121" s="79"/>
    </row>
    <row r="122" spans="2:51">
      <c r="B122" s="83" t="s">
        <v>249</v>
      </c>
      <c r="C122" s="16" t="s">
        <v>250</v>
      </c>
      <c r="D122" s="84" t="s">
        <v>251</v>
      </c>
      <c r="E122" s="85" t="s">
        <v>240</v>
      </c>
      <c r="F122" s="86" t="s">
        <v>117</v>
      </c>
      <c r="G122" s="16" t="s">
        <v>179</v>
      </c>
      <c r="H122" s="87">
        <f>CHOOSE(IF(OR($D$4="Expert input",$J$118=0),4,IF($D$4="+25%",2,IF($D$4="+50%",3,1))),H118,H119,H120,H121)</f>
        <v>0.25</v>
      </c>
      <c r="I122" s="88">
        <f>CHOOSE(IF(OR($D$4="Expert input",$J$118=0),4,IF($D$4="+25%",2,IF($D$4="+50%",3,1))),I118,I119,I120,I121)</f>
        <v>120</v>
      </c>
      <c r="J122" s="88">
        <f t="shared" si="13"/>
        <v>30</v>
      </c>
      <c r="K122" s="54">
        <f>K118</f>
        <v>0</v>
      </c>
      <c r="L122" s="53">
        <f>CHOOSE(IF(OR($D$4="Expert input",$J$118=0),4,IF($D$4="+25%",2,IF($D$4="+50%",3,1))),L118,L119,L120,L121)</f>
        <v>1</v>
      </c>
      <c r="M122" s="54">
        <f t="shared" si="14"/>
        <v>0</v>
      </c>
      <c r="N122" s="53">
        <f t="shared" si="15"/>
        <v>0</v>
      </c>
      <c r="O122" s="54">
        <f t="shared" si="16"/>
        <v>0</v>
      </c>
      <c r="P122" s="43"/>
      <c r="Q122" s="43"/>
      <c r="R122" s="43"/>
      <c r="S122" s="43"/>
      <c r="T122" s="43"/>
      <c r="U122" s="43">
        <v>0.5</v>
      </c>
      <c r="V122" s="43">
        <v>0.5</v>
      </c>
      <c r="W122" s="43"/>
      <c r="X122" s="43"/>
      <c r="Y122" s="43"/>
      <c r="Z122" s="43"/>
      <c r="AA122" s="43"/>
      <c r="AB122" s="89">
        <f>P122*$N122</f>
        <v>0</v>
      </c>
      <c r="AC122" s="90">
        <f>P122*$O122</f>
        <v>0</v>
      </c>
      <c r="AD122" s="89">
        <f>Q122*$N122</f>
        <v>0</v>
      </c>
      <c r="AE122" s="90">
        <f>Q122*$O122</f>
        <v>0</v>
      </c>
      <c r="AF122" s="89">
        <f>R122*$N122</f>
        <v>0</v>
      </c>
      <c r="AG122" s="90">
        <f>R122*$O122</f>
        <v>0</v>
      </c>
      <c r="AH122" s="89">
        <f>S122*$N122</f>
        <v>0</v>
      </c>
      <c r="AI122" s="90">
        <f>S122*$O122</f>
        <v>0</v>
      </c>
      <c r="AJ122" s="89">
        <f>T122*$N122</f>
        <v>0</v>
      </c>
      <c r="AK122" s="90">
        <f>T122*$O122</f>
        <v>0</v>
      </c>
      <c r="AL122" s="89">
        <f>U122*$N122</f>
        <v>0</v>
      </c>
      <c r="AM122" s="90">
        <f>U122*$O122</f>
        <v>0</v>
      </c>
      <c r="AN122" s="89">
        <f>V122*$N122</f>
        <v>0</v>
      </c>
      <c r="AO122" s="90">
        <f>V122*$O122</f>
        <v>0</v>
      </c>
      <c r="AP122" s="89">
        <f>W122*$N122</f>
        <v>0</v>
      </c>
      <c r="AQ122" s="90">
        <f>W122*$O122</f>
        <v>0</v>
      </c>
      <c r="AR122" s="89">
        <f>X122*$N122</f>
        <v>0</v>
      </c>
      <c r="AS122" s="90">
        <f>X122*$O122</f>
        <v>0</v>
      </c>
      <c r="AT122" s="89">
        <f>Y122*$N122</f>
        <v>0</v>
      </c>
      <c r="AU122" s="90">
        <f>Y122*$O122</f>
        <v>0</v>
      </c>
      <c r="AV122" s="89">
        <f>Z122*$N122</f>
        <v>0</v>
      </c>
      <c r="AW122" s="90">
        <f>Z122*$O122</f>
        <v>0</v>
      </c>
      <c r="AX122" s="89">
        <f>AA122*$N122</f>
        <v>0</v>
      </c>
      <c r="AY122" s="90">
        <f>AA122*$O122</f>
        <v>0</v>
      </c>
    </row>
    <row r="123" spans="2:51" outlineLevel="1">
      <c r="B123" s="58" t="s">
        <v>252</v>
      </c>
      <c r="C123" s="59" t="s">
        <v>253</v>
      </c>
      <c r="D123" s="60" t="s">
        <v>254</v>
      </c>
      <c r="E123" s="61" t="s">
        <v>240</v>
      </c>
      <c r="F123" s="62" t="s">
        <v>117</v>
      </c>
      <c r="G123" s="59" t="s">
        <v>62</v>
      </c>
      <c r="H123" s="63">
        <f>IFERROR(INDEX('Benchmark Data'!$AC$7:$AC$130,MATCH($B123,'Benchmark Data'!$A$7:$A$130,0)),0)</f>
        <v>0.20000000000000004</v>
      </c>
      <c r="I123" s="64">
        <f>IFERROR(INDEX('Benchmark Data'!$AD$7:$AD$130,MATCH($B123,'Benchmark Data'!$A$7:$A$130,0)),0)</f>
        <v>108.33333333333331</v>
      </c>
      <c r="J123" s="65">
        <f t="shared" si="13"/>
        <v>21.666666666666668</v>
      </c>
      <c r="K123" s="66">
        <f>$F$12</f>
        <v>0</v>
      </c>
      <c r="L123" s="29">
        <f>IFERROR(INDEX('Benchmark Data'!$AE$7:$AE$130,MATCH($B123,'Benchmark Data'!$A$7:$A$130,0)),0)</f>
        <v>1</v>
      </c>
      <c r="M123" s="67">
        <f t="shared" si="14"/>
        <v>0</v>
      </c>
      <c r="N123" s="68">
        <f t="shared" si="15"/>
        <v>0</v>
      </c>
      <c r="O123" s="69">
        <f t="shared" si="16"/>
        <v>0</v>
      </c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0"/>
      <c r="AX123" s="70"/>
      <c r="AY123" s="70"/>
    </row>
    <row r="124" spans="2:51" outlineLevel="1">
      <c r="B124" s="71" t="s">
        <v>252</v>
      </c>
      <c r="C124" s="72" t="s">
        <v>253</v>
      </c>
      <c r="D124" s="73" t="s">
        <v>254</v>
      </c>
      <c r="E124" s="71" t="s">
        <v>240</v>
      </c>
      <c r="F124" s="74" t="s">
        <v>117</v>
      </c>
      <c r="G124" s="17" t="s">
        <v>63</v>
      </c>
      <c r="H124" s="75">
        <f>H123</f>
        <v>0.20000000000000004</v>
      </c>
      <c r="I124" s="76">
        <f>I123*(1+Settings!$C$8)</f>
        <v>135.41666666666663</v>
      </c>
      <c r="J124" s="76">
        <f t="shared" si="13"/>
        <v>27.083333333333332</v>
      </c>
      <c r="K124" s="77">
        <f>K123</f>
        <v>0</v>
      </c>
      <c r="L124" s="51">
        <f>L123</f>
        <v>1</v>
      </c>
      <c r="M124" s="52">
        <f t="shared" si="14"/>
        <v>0</v>
      </c>
      <c r="N124" s="51">
        <f t="shared" si="15"/>
        <v>0</v>
      </c>
      <c r="O124" s="78">
        <f t="shared" si="16"/>
        <v>0</v>
      </c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/>
      <c r="AX124" s="79"/>
      <c r="AY124" s="79"/>
    </row>
    <row r="125" spans="2:51" outlineLevel="1">
      <c r="B125" s="71" t="s">
        <v>252</v>
      </c>
      <c r="C125" s="72" t="s">
        <v>253</v>
      </c>
      <c r="D125" s="73" t="s">
        <v>254</v>
      </c>
      <c r="E125" s="71" t="s">
        <v>240</v>
      </c>
      <c r="F125" s="74" t="s">
        <v>117</v>
      </c>
      <c r="G125" s="17" t="s">
        <v>64</v>
      </c>
      <c r="H125" s="75">
        <f>H123</f>
        <v>0.20000000000000004</v>
      </c>
      <c r="I125" s="76">
        <f>I123*(1+Settings!$C$9)</f>
        <v>162.49999999999997</v>
      </c>
      <c r="J125" s="76">
        <f t="shared" si="13"/>
        <v>32.5</v>
      </c>
      <c r="K125" s="77">
        <f>K123</f>
        <v>0</v>
      </c>
      <c r="L125" s="51">
        <f>L123</f>
        <v>1</v>
      </c>
      <c r="M125" s="52">
        <f t="shared" si="14"/>
        <v>0</v>
      </c>
      <c r="N125" s="51">
        <f t="shared" si="15"/>
        <v>0</v>
      </c>
      <c r="O125" s="78">
        <f t="shared" si="16"/>
        <v>0</v>
      </c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/>
      <c r="AX125" s="79"/>
      <c r="AY125" s="79"/>
    </row>
    <row r="126" spans="2:51" outlineLevel="1">
      <c r="B126" s="71" t="s">
        <v>252</v>
      </c>
      <c r="C126" s="72" t="s">
        <v>253</v>
      </c>
      <c r="D126" s="73" t="s">
        <v>254</v>
      </c>
      <c r="E126" s="71" t="s">
        <v>240</v>
      </c>
      <c r="F126" s="74" t="s">
        <v>117</v>
      </c>
      <c r="G126" s="17" t="s">
        <v>65</v>
      </c>
      <c r="H126" s="80">
        <f>H123</f>
        <v>0.20000000000000004</v>
      </c>
      <c r="I126" s="81">
        <f>I123</f>
        <v>108.33333333333331</v>
      </c>
      <c r="J126" s="76">
        <f t="shared" si="13"/>
        <v>21.666666666666668</v>
      </c>
      <c r="K126" s="77">
        <f>K123</f>
        <v>0</v>
      </c>
      <c r="L126" s="82">
        <f>L123</f>
        <v>1</v>
      </c>
      <c r="M126" s="52">
        <f t="shared" si="14"/>
        <v>0</v>
      </c>
      <c r="N126" s="51">
        <f t="shared" si="15"/>
        <v>0</v>
      </c>
      <c r="O126" s="78">
        <f t="shared" si="16"/>
        <v>0</v>
      </c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  <c r="AG126" s="79"/>
      <c r="AH126" s="79"/>
      <c r="AI126" s="79"/>
      <c r="AJ126" s="79"/>
      <c r="AK126" s="79"/>
      <c r="AL126" s="79"/>
      <c r="AM126" s="79"/>
      <c r="AN126" s="79"/>
      <c r="AO126" s="79"/>
      <c r="AP126" s="79"/>
      <c r="AQ126" s="79"/>
      <c r="AR126" s="79"/>
      <c r="AS126" s="79"/>
      <c r="AT126" s="79"/>
      <c r="AU126" s="79"/>
      <c r="AV126" s="79"/>
      <c r="AW126" s="79"/>
      <c r="AX126" s="79"/>
      <c r="AY126" s="79"/>
    </row>
    <row r="127" spans="2:51">
      <c r="B127" s="83" t="s">
        <v>252</v>
      </c>
      <c r="C127" s="16" t="s">
        <v>253</v>
      </c>
      <c r="D127" s="84" t="s">
        <v>254</v>
      </c>
      <c r="E127" s="85" t="s">
        <v>240</v>
      </c>
      <c r="F127" s="86" t="s">
        <v>117</v>
      </c>
      <c r="G127" s="16" t="s">
        <v>179</v>
      </c>
      <c r="H127" s="87">
        <f>CHOOSE(IF(OR($D$4="Expert input",$J$123=0),4,IF($D$4="+25%",2,IF($D$4="+50%",3,1))),H123,H124,H125,H126)</f>
        <v>0.20000000000000004</v>
      </c>
      <c r="I127" s="88">
        <f>CHOOSE(IF(OR($D$4="Expert input",$J$123=0),4,IF($D$4="+25%",2,IF($D$4="+50%",3,1))),I123,I124,I125,I126)</f>
        <v>108.33333333333331</v>
      </c>
      <c r="J127" s="88">
        <f t="shared" si="13"/>
        <v>21.666666666666668</v>
      </c>
      <c r="K127" s="54">
        <f>K123</f>
        <v>0</v>
      </c>
      <c r="L127" s="53">
        <f>CHOOSE(IF(OR($D$4="Expert input",$J$123=0),4,IF($D$4="+25%",2,IF($D$4="+50%",3,1))),L123,L124,L125,L126)</f>
        <v>1</v>
      </c>
      <c r="M127" s="54">
        <f t="shared" si="14"/>
        <v>0</v>
      </c>
      <c r="N127" s="53">
        <f t="shared" si="15"/>
        <v>0</v>
      </c>
      <c r="O127" s="54">
        <f t="shared" si="16"/>
        <v>0</v>
      </c>
      <c r="P127" s="43"/>
      <c r="Q127" s="43"/>
      <c r="R127" s="43"/>
      <c r="S127" s="43"/>
      <c r="T127" s="43"/>
      <c r="U127" s="43">
        <v>1</v>
      </c>
      <c r="V127" s="43"/>
      <c r="W127" s="43"/>
      <c r="X127" s="43"/>
      <c r="Y127" s="43"/>
      <c r="Z127" s="43"/>
      <c r="AA127" s="43"/>
      <c r="AB127" s="89">
        <f>P127*$N127</f>
        <v>0</v>
      </c>
      <c r="AC127" s="90">
        <f>P127*$O127</f>
        <v>0</v>
      </c>
      <c r="AD127" s="89">
        <f>Q127*$N127</f>
        <v>0</v>
      </c>
      <c r="AE127" s="90">
        <f>Q127*$O127</f>
        <v>0</v>
      </c>
      <c r="AF127" s="89">
        <f>R127*$N127</f>
        <v>0</v>
      </c>
      <c r="AG127" s="90">
        <f>R127*$O127</f>
        <v>0</v>
      </c>
      <c r="AH127" s="89">
        <f>S127*$N127</f>
        <v>0</v>
      </c>
      <c r="AI127" s="90">
        <f>S127*$O127</f>
        <v>0</v>
      </c>
      <c r="AJ127" s="89">
        <f>T127*$N127</f>
        <v>0</v>
      </c>
      <c r="AK127" s="90">
        <f>T127*$O127</f>
        <v>0</v>
      </c>
      <c r="AL127" s="89">
        <f>U127*$N127</f>
        <v>0</v>
      </c>
      <c r="AM127" s="90">
        <f>U127*$O127</f>
        <v>0</v>
      </c>
      <c r="AN127" s="89">
        <f>V127*$N127</f>
        <v>0</v>
      </c>
      <c r="AO127" s="90">
        <f>V127*$O127</f>
        <v>0</v>
      </c>
      <c r="AP127" s="89">
        <f>W127*$N127</f>
        <v>0</v>
      </c>
      <c r="AQ127" s="90">
        <f>W127*$O127</f>
        <v>0</v>
      </c>
      <c r="AR127" s="89">
        <f>X127*$N127</f>
        <v>0</v>
      </c>
      <c r="AS127" s="90">
        <f>X127*$O127</f>
        <v>0</v>
      </c>
      <c r="AT127" s="89">
        <f>Y127*$N127</f>
        <v>0</v>
      </c>
      <c r="AU127" s="90">
        <f>Y127*$O127</f>
        <v>0</v>
      </c>
      <c r="AV127" s="89">
        <f>Z127*$N127</f>
        <v>0</v>
      </c>
      <c r="AW127" s="90">
        <f>Z127*$O127</f>
        <v>0</v>
      </c>
      <c r="AX127" s="89">
        <f>AA127*$N127</f>
        <v>0</v>
      </c>
      <c r="AY127" s="90">
        <f>AA127*$O127</f>
        <v>0</v>
      </c>
    </row>
    <row r="128" spans="2:51" outlineLevel="1">
      <c r="B128" s="58" t="s">
        <v>255</v>
      </c>
      <c r="C128" s="59" t="s">
        <v>256</v>
      </c>
      <c r="D128" s="60" t="s">
        <v>257</v>
      </c>
      <c r="E128" s="61" t="s">
        <v>240</v>
      </c>
      <c r="F128" s="62" t="s">
        <v>117</v>
      </c>
      <c r="G128" s="59" t="s">
        <v>62</v>
      </c>
      <c r="H128" s="63">
        <f>IFERROR(INDEX('Benchmark Data'!$AC$7:$AC$130,MATCH($B128,'Benchmark Data'!$A$7:$A$130,0)),0)</f>
        <v>0.26666666666666666</v>
      </c>
      <c r="I128" s="64">
        <f>IFERROR(INDEX('Benchmark Data'!$AD$7:$AD$130,MATCH($B128,'Benchmark Data'!$A$7:$A$130,0)),0)</f>
        <v>118.75</v>
      </c>
      <c r="J128" s="65">
        <f t="shared" si="13"/>
        <v>31.666666666666668</v>
      </c>
      <c r="K128" s="66">
        <f>$F$12</f>
        <v>0</v>
      </c>
      <c r="L128" s="29">
        <f>IFERROR(INDEX('Benchmark Data'!$AE$7:$AE$130,MATCH($B128,'Benchmark Data'!$A$7:$A$130,0)),0)</f>
        <v>1</v>
      </c>
      <c r="M128" s="67">
        <f t="shared" si="14"/>
        <v>0</v>
      </c>
      <c r="N128" s="68">
        <f t="shared" si="15"/>
        <v>0</v>
      </c>
      <c r="O128" s="69">
        <f t="shared" si="16"/>
        <v>0</v>
      </c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70"/>
      <c r="AX128" s="70"/>
      <c r="AY128" s="70"/>
    </row>
    <row r="129" spans="2:51" outlineLevel="1">
      <c r="B129" s="71" t="s">
        <v>255</v>
      </c>
      <c r="C129" s="72" t="s">
        <v>256</v>
      </c>
      <c r="D129" s="73" t="s">
        <v>257</v>
      </c>
      <c r="E129" s="71" t="s">
        <v>240</v>
      </c>
      <c r="F129" s="74" t="s">
        <v>117</v>
      </c>
      <c r="G129" s="17" t="s">
        <v>63</v>
      </c>
      <c r="H129" s="75">
        <f>H128</f>
        <v>0.26666666666666666</v>
      </c>
      <c r="I129" s="76">
        <f>I128*(1+Settings!$C$8)</f>
        <v>148.4375</v>
      </c>
      <c r="J129" s="76">
        <f t="shared" si="13"/>
        <v>39.583333333333336</v>
      </c>
      <c r="K129" s="77">
        <f>K128</f>
        <v>0</v>
      </c>
      <c r="L129" s="51">
        <f>L128</f>
        <v>1</v>
      </c>
      <c r="M129" s="52">
        <f t="shared" si="14"/>
        <v>0</v>
      </c>
      <c r="N129" s="51">
        <f t="shared" si="15"/>
        <v>0</v>
      </c>
      <c r="O129" s="78">
        <f t="shared" si="16"/>
        <v>0</v>
      </c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  <c r="AY129" s="79"/>
    </row>
    <row r="130" spans="2:51" outlineLevel="1">
      <c r="B130" s="71" t="s">
        <v>255</v>
      </c>
      <c r="C130" s="72" t="s">
        <v>256</v>
      </c>
      <c r="D130" s="73" t="s">
        <v>257</v>
      </c>
      <c r="E130" s="71" t="s">
        <v>240</v>
      </c>
      <c r="F130" s="74" t="s">
        <v>117</v>
      </c>
      <c r="G130" s="17" t="s">
        <v>64</v>
      </c>
      <c r="H130" s="75">
        <f>H128</f>
        <v>0.26666666666666666</v>
      </c>
      <c r="I130" s="76">
        <f>I128*(1+Settings!$C$9)</f>
        <v>178.125</v>
      </c>
      <c r="J130" s="76">
        <f t="shared" si="13"/>
        <v>47.5</v>
      </c>
      <c r="K130" s="77">
        <f>K128</f>
        <v>0</v>
      </c>
      <c r="L130" s="51">
        <f>L128</f>
        <v>1</v>
      </c>
      <c r="M130" s="52">
        <f t="shared" si="14"/>
        <v>0</v>
      </c>
      <c r="N130" s="51">
        <f t="shared" si="15"/>
        <v>0</v>
      </c>
      <c r="O130" s="78">
        <f t="shared" si="16"/>
        <v>0</v>
      </c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  <c r="AY130" s="79"/>
    </row>
    <row r="131" spans="2:51" outlineLevel="1">
      <c r="B131" s="71" t="s">
        <v>255</v>
      </c>
      <c r="C131" s="72" t="s">
        <v>256</v>
      </c>
      <c r="D131" s="73" t="s">
        <v>257</v>
      </c>
      <c r="E131" s="71" t="s">
        <v>240</v>
      </c>
      <c r="F131" s="74" t="s">
        <v>117</v>
      </c>
      <c r="G131" s="17" t="s">
        <v>65</v>
      </c>
      <c r="H131" s="80">
        <f>H128</f>
        <v>0.26666666666666666</v>
      </c>
      <c r="I131" s="81">
        <f>I128</f>
        <v>118.75</v>
      </c>
      <c r="J131" s="76">
        <f t="shared" si="13"/>
        <v>31.666666666666668</v>
      </c>
      <c r="K131" s="77">
        <f>K128</f>
        <v>0</v>
      </c>
      <c r="L131" s="82">
        <f>L128</f>
        <v>1</v>
      </c>
      <c r="M131" s="52">
        <f t="shared" si="14"/>
        <v>0</v>
      </c>
      <c r="N131" s="51">
        <f t="shared" si="15"/>
        <v>0</v>
      </c>
      <c r="O131" s="78">
        <f t="shared" si="16"/>
        <v>0</v>
      </c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  <c r="AG131" s="79"/>
      <c r="AH131" s="79"/>
      <c r="AI131" s="79"/>
      <c r="AJ131" s="79"/>
      <c r="AK131" s="79"/>
      <c r="AL131" s="79"/>
      <c r="AM131" s="79"/>
      <c r="AN131" s="79"/>
      <c r="AO131" s="79"/>
      <c r="AP131" s="79"/>
      <c r="AQ131" s="79"/>
      <c r="AR131" s="79"/>
      <c r="AS131" s="79"/>
      <c r="AT131" s="79"/>
      <c r="AU131" s="79"/>
      <c r="AV131" s="79"/>
      <c r="AW131" s="79"/>
      <c r="AX131" s="79"/>
      <c r="AY131" s="79"/>
    </row>
    <row r="132" spans="2:51">
      <c r="B132" s="83" t="s">
        <v>255</v>
      </c>
      <c r="C132" s="16" t="s">
        <v>256</v>
      </c>
      <c r="D132" s="84" t="s">
        <v>257</v>
      </c>
      <c r="E132" s="85" t="s">
        <v>240</v>
      </c>
      <c r="F132" s="86" t="s">
        <v>117</v>
      </c>
      <c r="G132" s="16" t="s">
        <v>179</v>
      </c>
      <c r="H132" s="87">
        <f>CHOOSE(IF(OR($D$4="Expert input",$J$128=0),4,IF($D$4="+25%",2,IF($D$4="+50%",3,1))),H128,H129,H130,H131)</f>
        <v>0.26666666666666666</v>
      </c>
      <c r="I132" s="88">
        <f>CHOOSE(IF(OR($D$4="Expert input",$J$128=0),4,IF($D$4="+25%",2,IF($D$4="+50%",3,1))),I128,I129,I130,I131)</f>
        <v>118.75</v>
      </c>
      <c r="J132" s="88">
        <f t="shared" si="13"/>
        <v>31.666666666666668</v>
      </c>
      <c r="K132" s="54">
        <f>K128</f>
        <v>0</v>
      </c>
      <c r="L132" s="53">
        <f>CHOOSE(IF(OR($D$4="Expert input",$J$128=0),4,IF($D$4="+25%",2,IF($D$4="+50%",3,1))),L128,L129,L130,L131)</f>
        <v>1</v>
      </c>
      <c r="M132" s="54">
        <f t="shared" si="14"/>
        <v>0</v>
      </c>
      <c r="N132" s="53">
        <f t="shared" si="15"/>
        <v>0</v>
      </c>
      <c r="O132" s="54">
        <f t="shared" si="16"/>
        <v>0</v>
      </c>
      <c r="P132" s="43"/>
      <c r="Q132" s="43"/>
      <c r="R132" s="43"/>
      <c r="S132" s="43"/>
      <c r="T132" s="43"/>
      <c r="U132" s="43"/>
      <c r="V132" s="43">
        <v>0.67</v>
      </c>
      <c r="W132" s="43">
        <v>0.33</v>
      </c>
      <c r="X132" s="43"/>
      <c r="Y132" s="43"/>
      <c r="Z132" s="43"/>
      <c r="AA132" s="43"/>
      <c r="AB132" s="89">
        <f>P132*$N132</f>
        <v>0</v>
      </c>
      <c r="AC132" s="90">
        <f>P132*$O132</f>
        <v>0</v>
      </c>
      <c r="AD132" s="89">
        <f>Q132*$N132</f>
        <v>0</v>
      </c>
      <c r="AE132" s="90">
        <f>Q132*$O132</f>
        <v>0</v>
      </c>
      <c r="AF132" s="89">
        <f>R132*$N132</f>
        <v>0</v>
      </c>
      <c r="AG132" s="90">
        <f>R132*$O132</f>
        <v>0</v>
      </c>
      <c r="AH132" s="89">
        <f>S132*$N132</f>
        <v>0</v>
      </c>
      <c r="AI132" s="90">
        <f>S132*$O132</f>
        <v>0</v>
      </c>
      <c r="AJ132" s="89">
        <f>T132*$N132</f>
        <v>0</v>
      </c>
      <c r="AK132" s="90">
        <f>T132*$O132</f>
        <v>0</v>
      </c>
      <c r="AL132" s="89">
        <f>U132*$N132</f>
        <v>0</v>
      </c>
      <c r="AM132" s="90">
        <f>U132*$O132</f>
        <v>0</v>
      </c>
      <c r="AN132" s="89">
        <f>V132*$N132</f>
        <v>0</v>
      </c>
      <c r="AO132" s="90">
        <f>V132*$O132</f>
        <v>0</v>
      </c>
      <c r="AP132" s="89">
        <f>W132*$N132</f>
        <v>0</v>
      </c>
      <c r="AQ132" s="90">
        <f>W132*$O132</f>
        <v>0</v>
      </c>
      <c r="AR132" s="89">
        <f>X132*$N132</f>
        <v>0</v>
      </c>
      <c r="AS132" s="90">
        <f>X132*$O132</f>
        <v>0</v>
      </c>
      <c r="AT132" s="89">
        <f>Y132*$N132</f>
        <v>0</v>
      </c>
      <c r="AU132" s="90">
        <f>Y132*$O132</f>
        <v>0</v>
      </c>
      <c r="AV132" s="89">
        <f>Z132*$N132</f>
        <v>0</v>
      </c>
      <c r="AW132" s="90">
        <f>Z132*$O132</f>
        <v>0</v>
      </c>
      <c r="AX132" s="89">
        <f>AA132*$N132</f>
        <v>0</v>
      </c>
      <c r="AY132" s="90">
        <f>AA132*$O132</f>
        <v>0</v>
      </c>
    </row>
    <row r="133" spans="2:51" outlineLevel="1">
      <c r="B133" s="58" t="s">
        <v>258</v>
      </c>
      <c r="C133" s="59" t="s">
        <v>259</v>
      </c>
      <c r="D133" s="60" t="s">
        <v>260</v>
      </c>
      <c r="E133" s="61" t="s">
        <v>261</v>
      </c>
      <c r="F133" s="62" t="s">
        <v>117</v>
      </c>
      <c r="G133" s="59" t="s">
        <v>62</v>
      </c>
      <c r="H133" s="63">
        <f>IFERROR(INDEX('Benchmark Data'!$AC$7:$AC$130,MATCH($B133,'Benchmark Data'!$A$7:$A$130,0)),0)</f>
        <v>0.16666666666666666</v>
      </c>
      <c r="I133" s="64">
        <f>IFERROR(INDEX('Benchmark Data'!$AD$7:$AD$130,MATCH($B133,'Benchmark Data'!$A$7:$A$130,0)),0)</f>
        <v>100.00000000000001</v>
      </c>
      <c r="J133" s="65">
        <f t="shared" si="13"/>
        <v>16.666666666666668</v>
      </c>
      <c r="K133" s="66">
        <f>$F$12</f>
        <v>0</v>
      </c>
      <c r="L133" s="29">
        <f>IFERROR(INDEX('Benchmark Data'!$AE$7:$AE$130,MATCH($B133,'Benchmark Data'!$A$7:$A$130,0)),0)</f>
        <v>70</v>
      </c>
      <c r="M133" s="67">
        <f t="shared" si="14"/>
        <v>0</v>
      </c>
      <c r="N133" s="68">
        <f t="shared" si="15"/>
        <v>0</v>
      </c>
      <c r="O133" s="69">
        <f t="shared" si="16"/>
        <v>0</v>
      </c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  <c r="AX133" s="70"/>
      <c r="AY133" s="70"/>
    </row>
    <row r="134" spans="2:51" outlineLevel="1">
      <c r="B134" s="71" t="s">
        <v>258</v>
      </c>
      <c r="C134" s="72" t="s">
        <v>259</v>
      </c>
      <c r="D134" s="73" t="s">
        <v>260</v>
      </c>
      <c r="E134" s="71" t="s">
        <v>261</v>
      </c>
      <c r="F134" s="74" t="s">
        <v>117</v>
      </c>
      <c r="G134" s="17" t="s">
        <v>63</v>
      </c>
      <c r="H134" s="75">
        <f>H133</f>
        <v>0.16666666666666666</v>
      </c>
      <c r="I134" s="76">
        <f>I133*(1+Settings!$C$8)</f>
        <v>125.00000000000001</v>
      </c>
      <c r="J134" s="76">
        <f t="shared" si="13"/>
        <v>20.833333333333336</v>
      </c>
      <c r="K134" s="77">
        <f>K133</f>
        <v>0</v>
      </c>
      <c r="L134" s="51">
        <f>L133</f>
        <v>70</v>
      </c>
      <c r="M134" s="52">
        <f t="shared" si="14"/>
        <v>0</v>
      </c>
      <c r="N134" s="51">
        <f t="shared" si="15"/>
        <v>0</v>
      </c>
      <c r="O134" s="78">
        <f t="shared" si="16"/>
        <v>0</v>
      </c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  <c r="AY134" s="79"/>
    </row>
    <row r="135" spans="2:51" outlineLevel="1">
      <c r="B135" s="71" t="s">
        <v>258</v>
      </c>
      <c r="C135" s="72" t="s">
        <v>259</v>
      </c>
      <c r="D135" s="73" t="s">
        <v>260</v>
      </c>
      <c r="E135" s="71" t="s">
        <v>261</v>
      </c>
      <c r="F135" s="74" t="s">
        <v>117</v>
      </c>
      <c r="G135" s="17" t="s">
        <v>64</v>
      </c>
      <c r="H135" s="75">
        <f>H133</f>
        <v>0.16666666666666666</v>
      </c>
      <c r="I135" s="76">
        <f>I133*(1+Settings!$C$9)</f>
        <v>150.00000000000003</v>
      </c>
      <c r="J135" s="76">
        <f t="shared" si="13"/>
        <v>25.000000000000004</v>
      </c>
      <c r="K135" s="77">
        <f>K133</f>
        <v>0</v>
      </c>
      <c r="L135" s="51">
        <f>L133</f>
        <v>70</v>
      </c>
      <c r="M135" s="52">
        <f t="shared" si="14"/>
        <v>0</v>
      </c>
      <c r="N135" s="51">
        <f t="shared" si="15"/>
        <v>0</v>
      </c>
      <c r="O135" s="78">
        <f t="shared" si="16"/>
        <v>0</v>
      </c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79"/>
      <c r="AX135" s="79"/>
      <c r="AY135" s="79"/>
    </row>
    <row r="136" spans="2:51" outlineLevel="1">
      <c r="B136" s="71" t="s">
        <v>258</v>
      </c>
      <c r="C136" s="72" t="s">
        <v>259</v>
      </c>
      <c r="D136" s="73" t="s">
        <v>260</v>
      </c>
      <c r="E136" s="71" t="s">
        <v>261</v>
      </c>
      <c r="F136" s="74" t="s">
        <v>117</v>
      </c>
      <c r="G136" s="17" t="s">
        <v>65</v>
      </c>
      <c r="H136" s="80">
        <f>H133</f>
        <v>0.16666666666666666</v>
      </c>
      <c r="I136" s="81">
        <f>I133</f>
        <v>100.00000000000001</v>
      </c>
      <c r="J136" s="76">
        <f t="shared" si="13"/>
        <v>16.666666666666668</v>
      </c>
      <c r="K136" s="77">
        <f>K133</f>
        <v>0</v>
      </c>
      <c r="L136" s="82">
        <f>L133</f>
        <v>70</v>
      </c>
      <c r="M136" s="52">
        <f t="shared" si="14"/>
        <v>0</v>
      </c>
      <c r="N136" s="51">
        <f t="shared" si="15"/>
        <v>0</v>
      </c>
      <c r="O136" s="78">
        <f t="shared" si="16"/>
        <v>0</v>
      </c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  <c r="AG136" s="79"/>
      <c r="AH136" s="79"/>
      <c r="AI136" s="79"/>
      <c r="AJ136" s="79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</row>
    <row r="137" spans="2:51">
      <c r="B137" s="83" t="s">
        <v>258</v>
      </c>
      <c r="C137" s="16" t="s">
        <v>259</v>
      </c>
      <c r="D137" s="84" t="s">
        <v>260</v>
      </c>
      <c r="E137" s="85" t="s">
        <v>261</v>
      </c>
      <c r="F137" s="86" t="s">
        <v>117</v>
      </c>
      <c r="G137" s="16" t="s">
        <v>179</v>
      </c>
      <c r="H137" s="87">
        <f>CHOOSE(IF(OR($D$4="Expert input",$J$133=0),4,IF($D$4="+25%",2,IF($D$4="+50%",3,1))),H133,H134,H135,H136)</f>
        <v>0.16666666666666666</v>
      </c>
      <c r="I137" s="88">
        <f>CHOOSE(IF(OR($D$4="Expert input",$J$133=0),4,IF($D$4="+25%",2,IF($D$4="+50%",3,1))),I133,I134,I135,I136)</f>
        <v>100.00000000000001</v>
      </c>
      <c r="J137" s="88">
        <f t="shared" si="13"/>
        <v>16.666666666666668</v>
      </c>
      <c r="K137" s="54">
        <f>K133</f>
        <v>0</v>
      </c>
      <c r="L137" s="53">
        <f>CHOOSE(IF(OR($D$4="Expert input",$J$133=0),4,IF($D$4="+25%",2,IF($D$4="+50%",3,1))),L133,L134,L135,L136)</f>
        <v>70</v>
      </c>
      <c r="M137" s="54">
        <f t="shared" si="14"/>
        <v>0</v>
      </c>
      <c r="N137" s="53">
        <f t="shared" si="15"/>
        <v>0</v>
      </c>
      <c r="O137" s="54">
        <f t="shared" si="16"/>
        <v>0</v>
      </c>
      <c r="P137" s="43"/>
      <c r="Q137" s="43"/>
      <c r="R137" s="43">
        <v>0.12</v>
      </c>
      <c r="S137" s="43">
        <v>0.24</v>
      </c>
      <c r="T137" s="43">
        <v>0.32</v>
      </c>
      <c r="U137" s="43">
        <v>0.17</v>
      </c>
      <c r="V137" s="43">
        <v>0.15</v>
      </c>
      <c r="W137" s="43"/>
      <c r="X137" s="43"/>
      <c r="Y137" s="43"/>
      <c r="Z137" s="43"/>
      <c r="AA137" s="43"/>
      <c r="AB137" s="89">
        <f>P137*$N137</f>
        <v>0</v>
      </c>
      <c r="AC137" s="90">
        <f>P137*$O137</f>
        <v>0</v>
      </c>
      <c r="AD137" s="89">
        <f>Q137*$N137</f>
        <v>0</v>
      </c>
      <c r="AE137" s="90">
        <f>Q137*$O137</f>
        <v>0</v>
      </c>
      <c r="AF137" s="89">
        <f>R137*$N137</f>
        <v>0</v>
      </c>
      <c r="AG137" s="90">
        <f>R137*$O137</f>
        <v>0</v>
      </c>
      <c r="AH137" s="89">
        <f>S137*$N137</f>
        <v>0</v>
      </c>
      <c r="AI137" s="90">
        <f>S137*$O137</f>
        <v>0</v>
      </c>
      <c r="AJ137" s="89">
        <f>T137*$N137</f>
        <v>0</v>
      </c>
      <c r="AK137" s="90">
        <f>T137*$O137</f>
        <v>0</v>
      </c>
      <c r="AL137" s="89">
        <f>U137*$N137</f>
        <v>0</v>
      </c>
      <c r="AM137" s="90">
        <f>U137*$O137</f>
        <v>0</v>
      </c>
      <c r="AN137" s="89">
        <f>V137*$N137</f>
        <v>0</v>
      </c>
      <c r="AO137" s="90">
        <f>V137*$O137</f>
        <v>0</v>
      </c>
      <c r="AP137" s="89">
        <f>W137*$N137</f>
        <v>0</v>
      </c>
      <c r="AQ137" s="90">
        <f>W137*$O137</f>
        <v>0</v>
      </c>
      <c r="AR137" s="89">
        <f>X137*$N137</f>
        <v>0</v>
      </c>
      <c r="AS137" s="90">
        <f>X137*$O137</f>
        <v>0</v>
      </c>
      <c r="AT137" s="89">
        <f>Y137*$N137</f>
        <v>0</v>
      </c>
      <c r="AU137" s="90">
        <f>Y137*$O137</f>
        <v>0</v>
      </c>
      <c r="AV137" s="89">
        <f>Z137*$N137</f>
        <v>0</v>
      </c>
      <c r="AW137" s="90">
        <f>Z137*$O137</f>
        <v>0</v>
      </c>
      <c r="AX137" s="89">
        <f>AA137*$N137</f>
        <v>0</v>
      </c>
      <c r="AY137" s="90">
        <f>AA137*$O137</f>
        <v>0</v>
      </c>
    </row>
    <row r="138" spans="2:51" outlineLevel="1">
      <c r="B138" s="58" t="s">
        <v>262</v>
      </c>
      <c r="C138" s="59" t="s">
        <v>263</v>
      </c>
      <c r="D138" s="60" t="s">
        <v>264</v>
      </c>
      <c r="E138" s="61" t="s">
        <v>261</v>
      </c>
      <c r="F138" s="62" t="s">
        <v>117</v>
      </c>
      <c r="G138" s="59" t="s">
        <v>62</v>
      </c>
      <c r="H138" s="63">
        <f>IFERROR(INDEX('Benchmark Data'!$AC$7:$AC$130,MATCH($B138,'Benchmark Data'!$A$7:$A$130,0)),0)</f>
        <v>0.38888888888888867</v>
      </c>
      <c r="I138" s="64">
        <f>IFERROR(INDEX('Benchmark Data'!$AD$7:$AD$130,MATCH($B138,'Benchmark Data'!$A$7:$A$130,0)),0)</f>
        <v>120.00000000000006</v>
      </c>
      <c r="J138" s="65">
        <f t="shared" si="13"/>
        <v>46.666666666666664</v>
      </c>
      <c r="K138" s="66">
        <f>$F$12</f>
        <v>0</v>
      </c>
      <c r="L138" s="29">
        <f>IFERROR(INDEX('Benchmark Data'!$AE$7:$AE$130,MATCH($B138,'Benchmark Data'!$A$7:$A$130,0)),0)</f>
        <v>2</v>
      </c>
      <c r="M138" s="67">
        <f t="shared" si="14"/>
        <v>0</v>
      </c>
      <c r="N138" s="68">
        <f t="shared" si="15"/>
        <v>0</v>
      </c>
      <c r="O138" s="69">
        <f t="shared" si="16"/>
        <v>0</v>
      </c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0"/>
      <c r="AX138" s="70"/>
      <c r="AY138" s="70"/>
    </row>
    <row r="139" spans="2:51" outlineLevel="1">
      <c r="B139" s="71" t="s">
        <v>262</v>
      </c>
      <c r="C139" s="72" t="s">
        <v>263</v>
      </c>
      <c r="D139" s="73" t="s">
        <v>264</v>
      </c>
      <c r="E139" s="71" t="s">
        <v>261</v>
      </c>
      <c r="F139" s="74" t="s">
        <v>117</v>
      </c>
      <c r="G139" s="17" t="s">
        <v>63</v>
      </c>
      <c r="H139" s="75">
        <f>H138</f>
        <v>0.38888888888888867</v>
      </c>
      <c r="I139" s="76">
        <f>I138*(1+Settings!$C$8)</f>
        <v>150.00000000000006</v>
      </c>
      <c r="J139" s="76">
        <f t="shared" si="13"/>
        <v>58.333333333333321</v>
      </c>
      <c r="K139" s="77">
        <f>K138</f>
        <v>0</v>
      </c>
      <c r="L139" s="51">
        <f>L138</f>
        <v>2</v>
      </c>
      <c r="M139" s="52">
        <f t="shared" si="14"/>
        <v>0</v>
      </c>
      <c r="N139" s="51">
        <f t="shared" si="15"/>
        <v>0</v>
      </c>
      <c r="O139" s="78">
        <f t="shared" si="16"/>
        <v>0</v>
      </c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  <c r="AY139" s="79"/>
    </row>
    <row r="140" spans="2:51" outlineLevel="1">
      <c r="B140" s="71" t="s">
        <v>262</v>
      </c>
      <c r="C140" s="72" t="s">
        <v>263</v>
      </c>
      <c r="D140" s="73" t="s">
        <v>264</v>
      </c>
      <c r="E140" s="71" t="s">
        <v>261</v>
      </c>
      <c r="F140" s="74" t="s">
        <v>117</v>
      </c>
      <c r="G140" s="17" t="s">
        <v>64</v>
      </c>
      <c r="H140" s="75">
        <f>H138</f>
        <v>0.38888888888888867</v>
      </c>
      <c r="I140" s="76">
        <f>I138*(1+Settings!$C$9)</f>
        <v>180.00000000000009</v>
      </c>
      <c r="J140" s="76">
        <f t="shared" si="13"/>
        <v>70</v>
      </c>
      <c r="K140" s="77">
        <f>K138</f>
        <v>0</v>
      </c>
      <c r="L140" s="51">
        <f>L138</f>
        <v>2</v>
      </c>
      <c r="M140" s="52">
        <f t="shared" si="14"/>
        <v>0</v>
      </c>
      <c r="N140" s="51">
        <f t="shared" si="15"/>
        <v>0</v>
      </c>
      <c r="O140" s="78">
        <f t="shared" si="16"/>
        <v>0</v>
      </c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  <c r="AY140" s="79"/>
    </row>
    <row r="141" spans="2:51" outlineLevel="1">
      <c r="B141" s="71" t="s">
        <v>262</v>
      </c>
      <c r="C141" s="72" t="s">
        <v>263</v>
      </c>
      <c r="D141" s="73" t="s">
        <v>264</v>
      </c>
      <c r="E141" s="71" t="s">
        <v>261</v>
      </c>
      <c r="F141" s="74" t="s">
        <v>117</v>
      </c>
      <c r="G141" s="17" t="s">
        <v>65</v>
      </c>
      <c r="H141" s="80">
        <f>H138</f>
        <v>0.38888888888888867</v>
      </c>
      <c r="I141" s="81">
        <f>I138</f>
        <v>120.00000000000006</v>
      </c>
      <c r="J141" s="76">
        <f t="shared" si="13"/>
        <v>46.666666666666664</v>
      </c>
      <c r="K141" s="77">
        <f>K138</f>
        <v>0</v>
      </c>
      <c r="L141" s="82">
        <f>L138</f>
        <v>2</v>
      </c>
      <c r="M141" s="52">
        <f t="shared" si="14"/>
        <v>0</v>
      </c>
      <c r="N141" s="51">
        <f t="shared" si="15"/>
        <v>0</v>
      </c>
      <c r="O141" s="78">
        <f t="shared" si="16"/>
        <v>0</v>
      </c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  <c r="AG141" s="79"/>
      <c r="AH141" s="79"/>
      <c r="AI141" s="79"/>
      <c r="AJ141" s="79"/>
      <c r="AK141" s="79"/>
      <c r="AL141" s="79"/>
      <c r="AM141" s="79"/>
      <c r="AN141" s="79"/>
      <c r="AO141" s="79"/>
      <c r="AP141" s="79"/>
      <c r="AQ141" s="79"/>
      <c r="AR141" s="79"/>
      <c r="AS141" s="79"/>
      <c r="AT141" s="79"/>
      <c r="AU141" s="79"/>
      <c r="AV141" s="79"/>
      <c r="AW141" s="79"/>
      <c r="AX141" s="79"/>
      <c r="AY141" s="79"/>
    </row>
    <row r="142" spans="2:51">
      <c r="B142" s="83" t="s">
        <v>262</v>
      </c>
      <c r="C142" s="16" t="s">
        <v>263</v>
      </c>
      <c r="D142" s="84" t="s">
        <v>264</v>
      </c>
      <c r="E142" s="85" t="s">
        <v>261</v>
      </c>
      <c r="F142" s="86" t="s">
        <v>117</v>
      </c>
      <c r="G142" s="16" t="s">
        <v>179</v>
      </c>
      <c r="H142" s="87">
        <f>CHOOSE(IF(OR($D$4="Expert input",$J$138=0),4,IF($D$4="+25%",2,IF($D$4="+50%",3,1))),H138,H139,H140,H141)</f>
        <v>0.38888888888888867</v>
      </c>
      <c r="I142" s="88">
        <f>CHOOSE(IF(OR($D$4="Expert input",$J$138=0),4,IF($D$4="+25%",2,IF($D$4="+50%",3,1))),I138,I139,I140,I141)</f>
        <v>120.00000000000006</v>
      </c>
      <c r="J142" s="88">
        <f t="shared" si="13"/>
        <v>46.666666666666664</v>
      </c>
      <c r="K142" s="54">
        <f>K138</f>
        <v>0</v>
      </c>
      <c r="L142" s="53">
        <f>CHOOSE(IF(OR($D$4="Expert input",$J$138=0),4,IF($D$4="+25%",2,IF($D$4="+50%",3,1))),L138,L139,L140,L141)</f>
        <v>2</v>
      </c>
      <c r="M142" s="54">
        <f t="shared" si="14"/>
        <v>0</v>
      </c>
      <c r="N142" s="53">
        <f t="shared" si="15"/>
        <v>0</v>
      </c>
      <c r="O142" s="54">
        <f t="shared" si="16"/>
        <v>0</v>
      </c>
      <c r="P142" s="43"/>
      <c r="Q142" s="43"/>
      <c r="R142" s="43"/>
      <c r="S142" s="43">
        <v>0.11</v>
      </c>
      <c r="T142" s="43">
        <v>0.17</v>
      </c>
      <c r="U142" s="43">
        <v>0.39</v>
      </c>
      <c r="V142" s="43">
        <v>0.22</v>
      </c>
      <c r="W142" s="43"/>
      <c r="X142" s="43">
        <v>0.11</v>
      </c>
      <c r="Y142" s="43"/>
      <c r="Z142" s="43"/>
      <c r="AA142" s="43"/>
      <c r="AB142" s="89">
        <f>P142*$N142</f>
        <v>0</v>
      </c>
      <c r="AC142" s="90">
        <f>P142*$O142</f>
        <v>0</v>
      </c>
      <c r="AD142" s="89">
        <f>Q142*$N142</f>
        <v>0</v>
      </c>
      <c r="AE142" s="90">
        <f>Q142*$O142</f>
        <v>0</v>
      </c>
      <c r="AF142" s="89">
        <f>R142*$N142</f>
        <v>0</v>
      </c>
      <c r="AG142" s="90">
        <f>R142*$O142</f>
        <v>0</v>
      </c>
      <c r="AH142" s="89">
        <f>S142*$N142</f>
        <v>0</v>
      </c>
      <c r="AI142" s="90">
        <f>S142*$O142</f>
        <v>0</v>
      </c>
      <c r="AJ142" s="89">
        <f>T142*$N142</f>
        <v>0</v>
      </c>
      <c r="AK142" s="90">
        <f>T142*$O142</f>
        <v>0</v>
      </c>
      <c r="AL142" s="89">
        <f>U142*$N142</f>
        <v>0</v>
      </c>
      <c r="AM142" s="90">
        <f>U142*$O142</f>
        <v>0</v>
      </c>
      <c r="AN142" s="89">
        <f>V142*$N142</f>
        <v>0</v>
      </c>
      <c r="AO142" s="90">
        <f>V142*$O142</f>
        <v>0</v>
      </c>
      <c r="AP142" s="89">
        <f>W142*$N142</f>
        <v>0</v>
      </c>
      <c r="AQ142" s="90">
        <f>W142*$O142</f>
        <v>0</v>
      </c>
      <c r="AR142" s="89">
        <f>X142*$N142</f>
        <v>0</v>
      </c>
      <c r="AS142" s="90">
        <f>X142*$O142</f>
        <v>0</v>
      </c>
      <c r="AT142" s="89">
        <f>Y142*$N142</f>
        <v>0</v>
      </c>
      <c r="AU142" s="90">
        <f>Y142*$O142</f>
        <v>0</v>
      </c>
      <c r="AV142" s="89">
        <f>Z142*$N142</f>
        <v>0</v>
      </c>
      <c r="AW142" s="90">
        <f>Z142*$O142</f>
        <v>0</v>
      </c>
      <c r="AX142" s="89">
        <f>AA142*$N142</f>
        <v>0</v>
      </c>
      <c r="AY142" s="90">
        <f>AA142*$O142</f>
        <v>0</v>
      </c>
    </row>
    <row r="143" spans="2:51" outlineLevel="1">
      <c r="B143" s="58" t="s">
        <v>265</v>
      </c>
      <c r="C143" s="59" t="s">
        <v>266</v>
      </c>
      <c r="D143" s="60" t="s">
        <v>267</v>
      </c>
      <c r="E143" s="61" t="s">
        <v>261</v>
      </c>
      <c r="F143" s="62" t="s">
        <v>117</v>
      </c>
      <c r="G143" s="59" t="s">
        <v>62</v>
      </c>
      <c r="H143" s="63">
        <f>IFERROR(INDEX('Benchmark Data'!$AC$7:$AC$130,MATCH($B143,'Benchmark Data'!$A$7:$A$130,0)),0)</f>
        <v>0.41666666666666669</v>
      </c>
      <c r="I143" s="64">
        <f>IFERROR(INDEX('Benchmark Data'!$AD$7:$AD$130,MATCH($B143,'Benchmark Data'!$A$7:$A$130,0)),0)</f>
        <v>152</v>
      </c>
      <c r="J143" s="65">
        <f t="shared" si="13"/>
        <v>63.333333333333336</v>
      </c>
      <c r="K143" s="66">
        <f>$F$12</f>
        <v>0</v>
      </c>
      <c r="L143" s="29">
        <f>IFERROR(INDEX('Benchmark Data'!$AE$7:$AE$130,MATCH($B143,'Benchmark Data'!$A$7:$A$130,0)),0)</f>
        <v>1</v>
      </c>
      <c r="M143" s="67">
        <f t="shared" si="14"/>
        <v>0</v>
      </c>
      <c r="N143" s="68">
        <f t="shared" si="15"/>
        <v>0</v>
      </c>
      <c r="O143" s="69">
        <f t="shared" si="16"/>
        <v>0</v>
      </c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</row>
    <row r="144" spans="2:51" outlineLevel="1">
      <c r="B144" s="71" t="s">
        <v>265</v>
      </c>
      <c r="C144" s="72" t="s">
        <v>266</v>
      </c>
      <c r="D144" s="73" t="s">
        <v>267</v>
      </c>
      <c r="E144" s="71" t="s">
        <v>261</v>
      </c>
      <c r="F144" s="74" t="s">
        <v>117</v>
      </c>
      <c r="G144" s="17" t="s">
        <v>63</v>
      </c>
      <c r="H144" s="75">
        <f>H143</f>
        <v>0.41666666666666669</v>
      </c>
      <c r="I144" s="76">
        <f>I143*(1+Settings!$C$8)</f>
        <v>190</v>
      </c>
      <c r="J144" s="76">
        <f t="shared" si="13"/>
        <v>79.166666666666671</v>
      </c>
      <c r="K144" s="77">
        <f>K143</f>
        <v>0</v>
      </c>
      <c r="L144" s="51">
        <f>L143</f>
        <v>1</v>
      </c>
      <c r="M144" s="52">
        <f t="shared" si="14"/>
        <v>0</v>
      </c>
      <c r="N144" s="51">
        <f t="shared" si="15"/>
        <v>0</v>
      </c>
      <c r="O144" s="78">
        <f t="shared" si="16"/>
        <v>0</v>
      </c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  <c r="AY144" s="79"/>
    </row>
    <row r="145" spans="2:51" outlineLevel="1">
      <c r="B145" s="71" t="s">
        <v>265</v>
      </c>
      <c r="C145" s="72" t="s">
        <v>266</v>
      </c>
      <c r="D145" s="73" t="s">
        <v>267</v>
      </c>
      <c r="E145" s="71" t="s">
        <v>261</v>
      </c>
      <c r="F145" s="74" t="s">
        <v>117</v>
      </c>
      <c r="G145" s="17" t="s">
        <v>64</v>
      </c>
      <c r="H145" s="75">
        <f>H143</f>
        <v>0.41666666666666669</v>
      </c>
      <c r="I145" s="76">
        <f>I143*(1+Settings!$C$9)</f>
        <v>228</v>
      </c>
      <c r="J145" s="76">
        <f t="shared" si="13"/>
        <v>95</v>
      </c>
      <c r="K145" s="77">
        <f>K143</f>
        <v>0</v>
      </c>
      <c r="L145" s="51">
        <f>L143</f>
        <v>1</v>
      </c>
      <c r="M145" s="52">
        <f t="shared" si="14"/>
        <v>0</v>
      </c>
      <c r="N145" s="51">
        <f t="shared" si="15"/>
        <v>0</v>
      </c>
      <c r="O145" s="78">
        <f t="shared" si="16"/>
        <v>0</v>
      </c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9"/>
      <c r="AY145" s="79"/>
    </row>
    <row r="146" spans="2:51" outlineLevel="1">
      <c r="B146" s="71" t="s">
        <v>265</v>
      </c>
      <c r="C146" s="72" t="s">
        <v>266</v>
      </c>
      <c r="D146" s="73" t="s">
        <v>267</v>
      </c>
      <c r="E146" s="71" t="s">
        <v>261</v>
      </c>
      <c r="F146" s="74" t="s">
        <v>117</v>
      </c>
      <c r="G146" s="17" t="s">
        <v>65</v>
      </c>
      <c r="H146" s="80">
        <f>H143</f>
        <v>0.41666666666666669</v>
      </c>
      <c r="I146" s="81">
        <f>I143</f>
        <v>152</v>
      </c>
      <c r="J146" s="76">
        <f t="shared" ref="J146:J177" si="17">H146*I146</f>
        <v>63.333333333333336</v>
      </c>
      <c r="K146" s="77">
        <f>K143</f>
        <v>0</v>
      </c>
      <c r="L146" s="82">
        <f>L143</f>
        <v>1</v>
      </c>
      <c r="M146" s="52">
        <f t="shared" ref="M146:M177" si="18">K146*L146</f>
        <v>0</v>
      </c>
      <c r="N146" s="51">
        <f t="shared" ref="N146:N177" si="19">M146*H146</f>
        <v>0</v>
      </c>
      <c r="O146" s="78">
        <f t="shared" ref="O146:O182" si="20">M146*J146</f>
        <v>0</v>
      </c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  <c r="AG146" s="79"/>
      <c r="AH146" s="79"/>
      <c r="AI146" s="79"/>
      <c r="AJ146" s="79"/>
      <c r="AK146" s="79"/>
      <c r="AL146" s="79"/>
      <c r="AM146" s="79"/>
      <c r="AN146" s="79"/>
      <c r="AO146" s="79"/>
      <c r="AP146" s="79"/>
      <c r="AQ146" s="79"/>
      <c r="AR146" s="79"/>
      <c r="AS146" s="79"/>
      <c r="AT146" s="79"/>
      <c r="AU146" s="79"/>
      <c r="AV146" s="79"/>
      <c r="AW146" s="79"/>
      <c r="AX146" s="79"/>
      <c r="AY146" s="79"/>
    </row>
    <row r="147" spans="2:51">
      <c r="B147" s="83" t="s">
        <v>265</v>
      </c>
      <c r="C147" s="16" t="s">
        <v>266</v>
      </c>
      <c r="D147" s="84" t="s">
        <v>267</v>
      </c>
      <c r="E147" s="85" t="s">
        <v>261</v>
      </c>
      <c r="F147" s="86" t="s">
        <v>117</v>
      </c>
      <c r="G147" s="16" t="s">
        <v>179</v>
      </c>
      <c r="H147" s="87">
        <f>CHOOSE(IF(OR($D$4="Expert input",$J$143=0),4,IF($D$4="+25%",2,IF($D$4="+50%",3,1))),H143,H144,H145,H146)</f>
        <v>0.41666666666666669</v>
      </c>
      <c r="I147" s="88">
        <f>CHOOSE(IF(OR($D$4="Expert input",$J$143=0),4,IF($D$4="+25%",2,IF($D$4="+50%",3,1))),I143,I144,I145,I146)</f>
        <v>152</v>
      </c>
      <c r="J147" s="88">
        <f t="shared" si="17"/>
        <v>63.333333333333336</v>
      </c>
      <c r="K147" s="54">
        <f>K143</f>
        <v>0</v>
      </c>
      <c r="L147" s="53">
        <f>CHOOSE(IF(OR($D$4="Expert input",$J$143=0),4,IF($D$4="+25%",2,IF($D$4="+50%",3,1))),L143,L144,L145,L146)</f>
        <v>1</v>
      </c>
      <c r="M147" s="54">
        <f t="shared" si="18"/>
        <v>0</v>
      </c>
      <c r="N147" s="53">
        <f t="shared" si="19"/>
        <v>0</v>
      </c>
      <c r="O147" s="54">
        <f t="shared" si="20"/>
        <v>0</v>
      </c>
      <c r="P147" s="43"/>
      <c r="Q147" s="43"/>
      <c r="R147" s="43"/>
      <c r="S147" s="43"/>
      <c r="T147" s="43"/>
      <c r="U147" s="43">
        <v>0.67</v>
      </c>
      <c r="V147" s="43">
        <v>0.33</v>
      </c>
      <c r="W147" s="43"/>
      <c r="X147" s="43"/>
      <c r="Y147" s="43"/>
      <c r="Z147" s="43"/>
      <c r="AA147" s="43"/>
      <c r="AB147" s="89">
        <f>P147*$N147</f>
        <v>0</v>
      </c>
      <c r="AC147" s="90">
        <f>P147*$O147</f>
        <v>0</v>
      </c>
      <c r="AD147" s="89">
        <f>Q147*$N147</f>
        <v>0</v>
      </c>
      <c r="AE147" s="90">
        <f>Q147*$O147</f>
        <v>0</v>
      </c>
      <c r="AF147" s="89">
        <f>R147*$N147</f>
        <v>0</v>
      </c>
      <c r="AG147" s="90">
        <f>R147*$O147</f>
        <v>0</v>
      </c>
      <c r="AH147" s="89">
        <f>S147*$N147</f>
        <v>0</v>
      </c>
      <c r="AI147" s="90">
        <f>S147*$O147</f>
        <v>0</v>
      </c>
      <c r="AJ147" s="89">
        <f>T147*$N147</f>
        <v>0</v>
      </c>
      <c r="AK147" s="90">
        <f>T147*$O147</f>
        <v>0</v>
      </c>
      <c r="AL147" s="89">
        <f>U147*$N147</f>
        <v>0</v>
      </c>
      <c r="AM147" s="90">
        <f>U147*$O147</f>
        <v>0</v>
      </c>
      <c r="AN147" s="89">
        <f>V147*$N147</f>
        <v>0</v>
      </c>
      <c r="AO147" s="90">
        <f>V147*$O147</f>
        <v>0</v>
      </c>
      <c r="AP147" s="89">
        <f>W147*$N147</f>
        <v>0</v>
      </c>
      <c r="AQ147" s="90">
        <f>W147*$O147</f>
        <v>0</v>
      </c>
      <c r="AR147" s="89">
        <f>X147*$N147</f>
        <v>0</v>
      </c>
      <c r="AS147" s="90">
        <f>X147*$O147</f>
        <v>0</v>
      </c>
      <c r="AT147" s="89">
        <f>Y147*$N147</f>
        <v>0</v>
      </c>
      <c r="AU147" s="90">
        <f>Y147*$O147</f>
        <v>0</v>
      </c>
      <c r="AV147" s="89">
        <f>Z147*$N147</f>
        <v>0</v>
      </c>
      <c r="AW147" s="90">
        <f>Z147*$O147</f>
        <v>0</v>
      </c>
      <c r="AX147" s="89">
        <f>AA147*$N147</f>
        <v>0</v>
      </c>
      <c r="AY147" s="90">
        <f>AA147*$O147</f>
        <v>0</v>
      </c>
    </row>
    <row r="148" spans="2:51" outlineLevel="1">
      <c r="B148" s="58" t="s">
        <v>268</v>
      </c>
      <c r="C148" s="59" t="s">
        <v>269</v>
      </c>
      <c r="D148" s="60" t="s">
        <v>270</v>
      </c>
      <c r="E148" s="61" t="s">
        <v>261</v>
      </c>
      <c r="F148" s="62" t="s">
        <v>117</v>
      </c>
      <c r="G148" s="59" t="s">
        <v>62</v>
      </c>
      <c r="H148" s="63">
        <f>IFERROR(INDEX('Benchmark Data'!$AC$7:$AC$130,MATCH($B148,'Benchmark Data'!$A$7:$A$130,0)),0)</f>
        <v>0.5</v>
      </c>
      <c r="I148" s="64">
        <f>IFERROR(INDEX('Benchmark Data'!$AD$7:$AD$130,MATCH($B148,'Benchmark Data'!$A$7:$A$130,0)),0)</f>
        <v>20</v>
      </c>
      <c r="J148" s="65">
        <f t="shared" si="17"/>
        <v>10</v>
      </c>
      <c r="K148" s="66">
        <f>$F$12</f>
        <v>0</v>
      </c>
      <c r="L148" s="29">
        <f>IFERROR(INDEX('Benchmark Data'!$AE$7:$AE$130,MATCH($B148,'Benchmark Data'!$A$7:$A$130,0)),0)</f>
        <v>1</v>
      </c>
      <c r="M148" s="67">
        <f t="shared" si="18"/>
        <v>0</v>
      </c>
      <c r="N148" s="68">
        <f t="shared" si="19"/>
        <v>0</v>
      </c>
      <c r="O148" s="69">
        <f t="shared" si="20"/>
        <v>0</v>
      </c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  <c r="AX148" s="70"/>
      <c r="AY148" s="70"/>
    </row>
    <row r="149" spans="2:51" outlineLevel="1">
      <c r="B149" s="71" t="s">
        <v>268</v>
      </c>
      <c r="C149" s="72" t="s">
        <v>269</v>
      </c>
      <c r="D149" s="73" t="s">
        <v>270</v>
      </c>
      <c r="E149" s="71" t="s">
        <v>261</v>
      </c>
      <c r="F149" s="74" t="s">
        <v>117</v>
      </c>
      <c r="G149" s="17" t="s">
        <v>63</v>
      </c>
      <c r="H149" s="75">
        <f>H148</f>
        <v>0.5</v>
      </c>
      <c r="I149" s="76">
        <f>I148*(1+Settings!$C$8)</f>
        <v>25</v>
      </c>
      <c r="J149" s="76">
        <f t="shared" si="17"/>
        <v>12.5</v>
      </c>
      <c r="K149" s="77">
        <f>K148</f>
        <v>0</v>
      </c>
      <c r="L149" s="51">
        <f>L148</f>
        <v>1</v>
      </c>
      <c r="M149" s="52">
        <f t="shared" si="18"/>
        <v>0</v>
      </c>
      <c r="N149" s="51">
        <f t="shared" si="19"/>
        <v>0</v>
      </c>
      <c r="O149" s="78">
        <f t="shared" si="20"/>
        <v>0</v>
      </c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9"/>
      <c r="AY149" s="79"/>
    </row>
    <row r="150" spans="2:51" outlineLevel="1">
      <c r="B150" s="71" t="s">
        <v>268</v>
      </c>
      <c r="C150" s="72" t="s">
        <v>269</v>
      </c>
      <c r="D150" s="73" t="s">
        <v>270</v>
      </c>
      <c r="E150" s="71" t="s">
        <v>261</v>
      </c>
      <c r="F150" s="74" t="s">
        <v>117</v>
      </c>
      <c r="G150" s="17" t="s">
        <v>64</v>
      </c>
      <c r="H150" s="75">
        <f>H148</f>
        <v>0.5</v>
      </c>
      <c r="I150" s="76">
        <f>I148*(1+Settings!$C$9)</f>
        <v>30</v>
      </c>
      <c r="J150" s="76">
        <f t="shared" si="17"/>
        <v>15</v>
      </c>
      <c r="K150" s="77">
        <f>K148</f>
        <v>0</v>
      </c>
      <c r="L150" s="51">
        <f>L148</f>
        <v>1</v>
      </c>
      <c r="M150" s="52">
        <f t="shared" si="18"/>
        <v>0</v>
      </c>
      <c r="N150" s="51">
        <f t="shared" si="19"/>
        <v>0</v>
      </c>
      <c r="O150" s="78">
        <f t="shared" si="20"/>
        <v>0</v>
      </c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79"/>
      <c r="AX150" s="79"/>
      <c r="AY150" s="79"/>
    </row>
    <row r="151" spans="2:51" outlineLevel="1">
      <c r="B151" s="71" t="s">
        <v>268</v>
      </c>
      <c r="C151" s="72" t="s">
        <v>269</v>
      </c>
      <c r="D151" s="73" t="s">
        <v>270</v>
      </c>
      <c r="E151" s="71" t="s">
        <v>261</v>
      </c>
      <c r="F151" s="74" t="s">
        <v>117</v>
      </c>
      <c r="G151" s="17" t="s">
        <v>65</v>
      </c>
      <c r="H151" s="80">
        <f>H148</f>
        <v>0.5</v>
      </c>
      <c r="I151" s="81">
        <f>I148</f>
        <v>20</v>
      </c>
      <c r="J151" s="76">
        <f t="shared" si="17"/>
        <v>10</v>
      </c>
      <c r="K151" s="77">
        <f>K148</f>
        <v>0</v>
      </c>
      <c r="L151" s="82">
        <f>L148</f>
        <v>1</v>
      </c>
      <c r="M151" s="52">
        <f t="shared" si="18"/>
        <v>0</v>
      </c>
      <c r="N151" s="51">
        <f t="shared" si="19"/>
        <v>0</v>
      </c>
      <c r="O151" s="78">
        <f t="shared" si="20"/>
        <v>0</v>
      </c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  <c r="AG151" s="79"/>
      <c r="AH151" s="79"/>
      <c r="AI151" s="79"/>
      <c r="AJ151" s="79"/>
      <c r="AK151" s="79"/>
      <c r="AL151" s="79"/>
      <c r="AM151" s="79"/>
      <c r="AN151" s="79"/>
      <c r="AO151" s="79"/>
      <c r="AP151" s="79"/>
      <c r="AQ151" s="79"/>
      <c r="AR151" s="79"/>
      <c r="AS151" s="79"/>
      <c r="AT151" s="79"/>
      <c r="AU151" s="79"/>
      <c r="AV151" s="79"/>
      <c r="AW151" s="79"/>
      <c r="AX151" s="79"/>
      <c r="AY151" s="79"/>
    </row>
    <row r="152" spans="2:51">
      <c r="B152" s="83" t="s">
        <v>268</v>
      </c>
      <c r="C152" s="16" t="s">
        <v>269</v>
      </c>
      <c r="D152" s="84" t="s">
        <v>270</v>
      </c>
      <c r="E152" s="85" t="s">
        <v>261</v>
      </c>
      <c r="F152" s="86" t="s">
        <v>117</v>
      </c>
      <c r="G152" s="16" t="s">
        <v>179</v>
      </c>
      <c r="H152" s="87">
        <f>CHOOSE(IF(OR($D$4="Expert input",$J$148=0),4,IF($D$4="+25%",2,IF($D$4="+50%",3,1))),H148,H149,H150,H151)</f>
        <v>0.5</v>
      </c>
      <c r="I152" s="88">
        <f>CHOOSE(IF(OR($D$4="Expert input",$J$148=0),4,IF($D$4="+25%",2,IF($D$4="+50%",3,1))),I148,I149,I150,I151)</f>
        <v>20</v>
      </c>
      <c r="J152" s="88">
        <f t="shared" si="17"/>
        <v>10</v>
      </c>
      <c r="K152" s="54">
        <f>K148</f>
        <v>0</v>
      </c>
      <c r="L152" s="53">
        <f>CHOOSE(IF(OR($D$4="Expert input",$J$148=0),4,IF($D$4="+25%",2,IF($D$4="+50%",3,1))),L148,L149,L150,L151)</f>
        <v>1</v>
      </c>
      <c r="M152" s="54">
        <f t="shared" si="18"/>
        <v>0</v>
      </c>
      <c r="N152" s="53">
        <f t="shared" si="19"/>
        <v>0</v>
      </c>
      <c r="O152" s="54">
        <f t="shared" si="20"/>
        <v>0</v>
      </c>
      <c r="P152" s="43"/>
      <c r="Q152" s="43"/>
      <c r="R152" s="43"/>
      <c r="S152" s="43"/>
      <c r="T152" s="43"/>
      <c r="U152" s="43"/>
      <c r="V152" s="43">
        <v>1</v>
      </c>
      <c r="W152" s="43"/>
      <c r="X152" s="43"/>
      <c r="Y152" s="43"/>
      <c r="Z152" s="43"/>
      <c r="AA152" s="43"/>
      <c r="AB152" s="89">
        <f>P152*$N152</f>
        <v>0</v>
      </c>
      <c r="AC152" s="90">
        <f>P152*$O152</f>
        <v>0</v>
      </c>
      <c r="AD152" s="89">
        <f>Q152*$N152</f>
        <v>0</v>
      </c>
      <c r="AE152" s="90">
        <f>Q152*$O152</f>
        <v>0</v>
      </c>
      <c r="AF152" s="89">
        <f>R152*$N152</f>
        <v>0</v>
      </c>
      <c r="AG152" s="90">
        <f>R152*$O152</f>
        <v>0</v>
      </c>
      <c r="AH152" s="89">
        <f>S152*$N152</f>
        <v>0</v>
      </c>
      <c r="AI152" s="90">
        <f>S152*$O152</f>
        <v>0</v>
      </c>
      <c r="AJ152" s="89">
        <f>T152*$N152</f>
        <v>0</v>
      </c>
      <c r="AK152" s="90">
        <f>T152*$O152</f>
        <v>0</v>
      </c>
      <c r="AL152" s="89">
        <f>U152*$N152</f>
        <v>0</v>
      </c>
      <c r="AM152" s="90">
        <f>U152*$O152</f>
        <v>0</v>
      </c>
      <c r="AN152" s="89">
        <f>V152*$N152</f>
        <v>0</v>
      </c>
      <c r="AO152" s="90">
        <f>V152*$O152</f>
        <v>0</v>
      </c>
      <c r="AP152" s="89">
        <f>W152*$N152</f>
        <v>0</v>
      </c>
      <c r="AQ152" s="90">
        <f>W152*$O152</f>
        <v>0</v>
      </c>
      <c r="AR152" s="89">
        <f>X152*$N152</f>
        <v>0</v>
      </c>
      <c r="AS152" s="90">
        <f>X152*$O152</f>
        <v>0</v>
      </c>
      <c r="AT152" s="89">
        <f>Y152*$N152</f>
        <v>0</v>
      </c>
      <c r="AU152" s="90">
        <f>Y152*$O152</f>
        <v>0</v>
      </c>
      <c r="AV152" s="89">
        <f>Z152*$N152</f>
        <v>0</v>
      </c>
      <c r="AW152" s="90">
        <f>Z152*$O152</f>
        <v>0</v>
      </c>
      <c r="AX152" s="89">
        <f>AA152*$N152</f>
        <v>0</v>
      </c>
      <c r="AY152" s="90">
        <f>AA152*$O152</f>
        <v>0</v>
      </c>
    </row>
    <row r="153" spans="2:51" outlineLevel="1">
      <c r="B153" s="58" t="s">
        <v>271</v>
      </c>
      <c r="C153" s="59" t="s">
        <v>272</v>
      </c>
      <c r="D153" s="60" t="s">
        <v>273</v>
      </c>
      <c r="E153" s="61" t="s">
        <v>261</v>
      </c>
      <c r="F153" s="62" t="s">
        <v>117</v>
      </c>
      <c r="G153" s="59" t="s">
        <v>62</v>
      </c>
      <c r="H153" s="63">
        <f>IFERROR(INDEX('Benchmark Data'!$AC$7:$AC$130,MATCH($B153,'Benchmark Data'!$A$7:$A$130,0)),0)</f>
        <v>0.5</v>
      </c>
      <c r="I153" s="64">
        <f>IFERROR(INDEX('Benchmark Data'!$AD$7:$AD$130,MATCH($B153,'Benchmark Data'!$A$7:$A$130,0)),0)</f>
        <v>120</v>
      </c>
      <c r="J153" s="65">
        <f t="shared" si="17"/>
        <v>60</v>
      </c>
      <c r="K153" s="66">
        <f>$F$12</f>
        <v>0</v>
      </c>
      <c r="L153" s="29">
        <f>IFERROR(INDEX('Benchmark Data'!$AE$7:$AE$130,MATCH($B153,'Benchmark Data'!$A$7:$A$130,0)),0)</f>
        <v>1</v>
      </c>
      <c r="M153" s="67">
        <f t="shared" si="18"/>
        <v>0</v>
      </c>
      <c r="N153" s="68">
        <f t="shared" si="19"/>
        <v>0</v>
      </c>
      <c r="O153" s="69">
        <f t="shared" si="20"/>
        <v>0</v>
      </c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70"/>
      <c r="AX153" s="70"/>
      <c r="AY153" s="70"/>
    </row>
    <row r="154" spans="2:51" outlineLevel="1">
      <c r="B154" s="71" t="s">
        <v>271</v>
      </c>
      <c r="C154" s="72" t="s">
        <v>272</v>
      </c>
      <c r="D154" s="73" t="s">
        <v>273</v>
      </c>
      <c r="E154" s="71" t="s">
        <v>261</v>
      </c>
      <c r="F154" s="74" t="s">
        <v>117</v>
      </c>
      <c r="G154" s="17" t="s">
        <v>63</v>
      </c>
      <c r="H154" s="75">
        <f>H153</f>
        <v>0.5</v>
      </c>
      <c r="I154" s="76">
        <f>I153*(1+Settings!$C$8)</f>
        <v>150</v>
      </c>
      <c r="J154" s="76">
        <f t="shared" si="17"/>
        <v>75</v>
      </c>
      <c r="K154" s="77">
        <f>K153</f>
        <v>0</v>
      </c>
      <c r="L154" s="51">
        <f>L153</f>
        <v>1</v>
      </c>
      <c r="M154" s="52">
        <f t="shared" si="18"/>
        <v>0</v>
      </c>
      <c r="N154" s="51">
        <f t="shared" si="19"/>
        <v>0</v>
      </c>
      <c r="O154" s="78">
        <f t="shared" si="20"/>
        <v>0</v>
      </c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  <c r="AY154" s="79"/>
    </row>
    <row r="155" spans="2:51" outlineLevel="1">
      <c r="B155" s="71" t="s">
        <v>271</v>
      </c>
      <c r="C155" s="72" t="s">
        <v>272</v>
      </c>
      <c r="D155" s="73" t="s">
        <v>273</v>
      </c>
      <c r="E155" s="71" t="s">
        <v>261</v>
      </c>
      <c r="F155" s="74" t="s">
        <v>117</v>
      </c>
      <c r="G155" s="17" t="s">
        <v>64</v>
      </c>
      <c r="H155" s="75">
        <f>H153</f>
        <v>0.5</v>
      </c>
      <c r="I155" s="76">
        <f>I153*(1+Settings!$C$9)</f>
        <v>180</v>
      </c>
      <c r="J155" s="76">
        <f t="shared" si="17"/>
        <v>90</v>
      </c>
      <c r="K155" s="77">
        <f>K153</f>
        <v>0</v>
      </c>
      <c r="L155" s="51">
        <f>L153</f>
        <v>1</v>
      </c>
      <c r="M155" s="52">
        <f t="shared" si="18"/>
        <v>0</v>
      </c>
      <c r="N155" s="51">
        <f t="shared" si="19"/>
        <v>0</v>
      </c>
      <c r="O155" s="78">
        <f t="shared" si="20"/>
        <v>0</v>
      </c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  <c r="AY155" s="79"/>
    </row>
    <row r="156" spans="2:51" outlineLevel="1">
      <c r="B156" s="71" t="s">
        <v>271</v>
      </c>
      <c r="C156" s="72" t="s">
        <v>272</v>
      </c>
      <c r="D156" s="73" t="s">
        <v>273</v>
      </c>
      <c r="E156" s="71" t="s">
        <v>261</v>
      </c>
      <c r="F156" s="74" t="s">
        <v>117</v>
      </c>
      <c r="G156" s="17" t="s">
        <v>65</v>
      </c>
      <c r="H156" s="80">
        <f>H153</f>
        <v>0.5</v>
      </c>
      <c r="I156" s="81">
        <f>I153</f>
        <v>120</v>
      </c>
      <c r="J156" s="76">
        <f t="shared" si="17"/>
        <v>60</v>
      </c>
      <c r="K156" s="77">
        <f>K153</f>
        <v>0</v>
      </c>
      <c r="L156" s="82">
        <f>L153</f>
        <v>1</v>
      </c>
      <c r="M156" s="52">
        <f t="shared" si="18"/>
        <v>0</v>
      </c>
      <c r="N156" s="51">
        <f t="shared" si="19"/>
        <v>0</v>
      </c>
      <c r="O156" s="78">
        <f t="shared" si="20"/>
        <v>0</v>
      </c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  <c r="AG156" s="79"/>
      <c r="AH156" s="79"/>
      <c r="AI156" s="79"/>
      <c r="AJ156" s="79"/>
      <c r="AK156" s="79"/>
      <c r="AL156" s="79"/>
      <c r="AM156" s="79"/>
      <c r="AN156" s="79"/>
      <c r="AO156" s="79"/>
      <c r="AP156" s="79"/>
      <c r="AQ156" s="79"/>
      <c r="AR156" s="79"/>
      <c r="AS156" s="79"/>
      <c r="AT156" s="79"/>
      <c r="AU156" s="79"/>
      <c r="AV156" s="79"/>
      <c r="AW156" s="79"/>
      <c r="AX156" s="79"/>
      <c r="AY156" s="79"/>
    </row>
    <row r="157" spans="2:51">
      <c r="B157" s="83" t="s">
        <v>271</v>
      </c>
      <c r="C157" s="16" t="s">
        <v>272</v>
      </c>
      <c r="D157" s="84" t="s">
        <v>273</v>
      </c>
      <c r="E157" s="85" t="s">
        <v>261</v>
      </c>
      <c r="F157" s="86" t="s">
        <v>117</v>
      </c>
      <c r="G157" s="16" t="s">
        <v>179</v>
      </c>
      <c r="H157" s="87">
        <f>CHOOSE(IF(OR($D$4="Expert input",$J$153=0),4,IF($D$4="+25%",2,IF($D$4="+50%",3,1))),H153,H154,H155,H156)</f>
        <v>0.5</v>
      </c>
      <c r="I157" s="88">
        <f>CHOOSE(IF(OR($D$4="Expert input",$J$153=0),4,IF($D$4="+25%",2,IF($D$4="+50%",3,1))),I153,I154,I155,I156)</f>
        <v>120</v>
      </c>
      <c r="J157" s="88">
        <f t="shared" si="17"/>
        <v>60</v>
      </c>
      <c r="K157" s="54">
        <f>K153</f>
        <v>0</v>
      </c>
      <c r="L157" s="53">
        <f>CHOOSE(IF(OR($D$4="Expert input",$J$153=0),4,IF($D$4="+25%",2,IF($D$4="+50%",3,1))),L153,L154,L155,L156)</f>
        <v>1</v>
      </c>
      <c r="M157" s="54">
        <f t="shared" si="18"/>
        <v>0</v>
      </c>
      <c r="N157" s="53">
        <f t="shared" si="19"/>
        <v>0</v>
      </c>
      <c r="O157" s="54">
        <f t="shared" si="20"/>
        <v>0</v>
      </c>
      <c r="P157" s="43"/>
      <c r="Q157" s="43"/>
      <c r="R157" s="43"/>
      <c r="S157" s="43"/>
      <c r="T157" s="43"/>
      <c r="U157" s="43"/>
      <c r="V157" s="43">
        <v>1</v>
      </c>
      <c r="W157" s="43"/>
      <c r="X157" s="43"/>
      <c r="Y157" s="43"/>
      <c r="Z157" s="43"/>
      <c r="AA157" s="43"/>
      <c r="AB157" s="89">
        <f>P157*$N157</f>
        <v>0</v>
      </c>
      <c r="AC157" s="90">
        <f>P157*$O157</f>
        <v>0</v>
      </c>
      <c r="AD157" s="89">
        <f>Q157*$N157</f>
        <v>0</v>
      </c>
      <c r="AE157" s="90">
        <f>Q157*$O157</f>
        <v>0</v>
      </c>
      <c r="AF157" s="89">
        <f>R157*$N157</f>
        <v>0</v>
      </c>
      <c r="AG157" s="90">
        <f>R157*$O157</f>
        <v>0</v>
      </c>
      <c r="AH157" s="89">
        <f>S157*$N157</f>
        <v>0</v>
      </c>
      <c r="AI157" s="90">
        <f>S157*$O157</f>
        <v>0</v>
      </c>
      <c r="AJ157" s="89">
        <f>T157*$N157</f>
        <v>0</v>
      </c>
      <c r="AK157" s="90">
        <f>T157*$O157</f>
        <v>0</v>
      </c>
      <c r="AL157" s="89">
        <f>U157*$N157</f>
        <v>0</v>
      </c>
      <c r="AM157" s="90">
        <f>U157*$O157</f>
        <v>0</v>
      </c>
      <c r="AN157" s="89">
        <f>V157*$N157</f>
        <v>0</v>
      </c>
      <c r="AO157" s="90">
        <f>V157*$O157</f>
        <v>0</v>
      </c>
      <c r="AP157" s="89">
        <f>W157*$N157</f>
        <v>0</v>
      </c>
      <c r="AQ157" s="90">
        <f>W157*$O157</f>
        <v>0</v>
      </c>
      <c r="AR157" s="89">
        <f>X157*$N157</f>
        <v>0</v>
      </c>
      <c r="AS157" s="90">
        <f>X157*$O157</f>
        <v>0</v>
      </c>
      <c r="AT157" s="89">
        <f>Y157*$N157</f>
        <v>0</v>
      </c>
      <c r="AU157" s="90">
        <f>Y157*$O157</f>
        <v>0</v>
      </c>
      <c r="AV157" s="89">
        <f>Z157*$N157</f>
        <v>0</v>
      </c>
      <c r="AW157" s="90">
        <f>Z157*$O157</f>
        <v>0</v>
      </c>
      <c r="AX157" s="89">
        <f>AA157*$N157</f>
        <v>0</v>
      </c>
      <c r="AY157" s="90">
        <f>AA157*$O157</f>
        <v>0</v>
      </c>
    </row>
    <row r="158" spans="2:51" outlineLevel="1">
      <c r="B158" s="58" t="s">
        <v>274</v>
      </c>
      <c r="C158" s="59" t="s">
        <v>275</v>
      </c>
      <c r="D158" s="60" t="s">
        <v>276</v>
      </c>
      <c r="E158" s="61" t="s">
        <v>261</v>
      </c>
      <c r="F158" s="62" t="s">
        <v>277</v>
      </c>
      <c r="G158" s="59" t="s">
        <v>62</v>
      </c>
      <c r="H158" s="63">
        <f>IFERROR(INDEX('Benchmark Data'!$AC$7:$AC$130,MATCH($B158,'Benchmark Data'!$A$7:$A$130,0)),0)</f>
        <v>0</v>
      </c>
      <c r="I158" s="64">
        <f>IFERROR(INDEX('Benchmark Data'!$AD$7:$AD$130,MATCH($B158,'Benchmark Data'!$A$7:$A$130,0)),0)</f>
        <v>0</v>
      </c>
      <c r="J158" s="65">
        <f t="shared" si="17"/>
        <v>0</v>
      </c>
      <c r="K158" s="91"/>
      <c r="L158" s="29">
        <f>IFERROR(INDEX('Benchmark Data'!$AE$7:$AE$130,MATCH($B158,'Benchmark Data'!$A$7:$A$130,0)),0)</f>
        <v>1</v>
      </c>
      <c r="M158" s="67">
        <f t="shared" si="18"/>
        <v>0</v>
      </c>
      <c r="N158" s="68">
        <f t="shared" si="19"/>
        <v>0</v>
      </c>
      <c r="O158" s="69">
        <f t="shared" si="20"/>
        <v>0</v>
      </c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70"/>
      <c r="AX158" s="70"/>
      <c r="AY158" s="70"/>
    </row>
    <row r="159" spans="2:51" outlineLevel="1">
      <c r="B159" s="71" t="s">
        <v>274</v>
      </c>
      <c r="C159" s="72" t="s">
        <v>275</v>
      </c>
      <c r="D159" s="73" t="s">
        <v>276</v>
      </c>
      <c r="E159" s="71" t="s">
        <v>261</v>
      </c>
      <c r="F159" s="74" t="s">
        <v>277</v>
      </c>
      <c r="G159" s="17" t="s">
        <v>63</v>
      </c>
      <c r="H159" s="75">
        <f>H158</f>
        <v>0</v>
      </c>
      <c r="I159" s="76">
        <f>I158*(1+Settings!$C$8)</f>
        <v>0</v>
      </c>
      <c r="J159" s="76">
        <f t="shared" si="17"/>
        <v>0</v>
      </c>
      <c r="K159" s="77">
        <f>K158</f>
        <v>0</v>
      </c>
      <c r="L159" s="51">
        <f>L158</f>
        <v>1</v>
      </c>
      <c r="M159" s="52">
        <f t="shared" si="18"/>
        <v>0</v>
      </c>
      <c r="N159" s="51">
        <f t="shared" si="19"/>
        <v>0</v>
      </c>
      <c r="O159" s="78">
        <f t="shared" si="20"/>
        <v>0</v>
      </c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79"/>
      <c r="AW159" s="79"/>
      <c r="AX159" s="79"/>
      <c r="AY159" s="79"/>
    </row>
    <row r="160" spans="2:51" outlineLevel="1">
      <c r="B160" s="71" t="s">
        <v>274</v>
      </c>
      <c r="C160" s="72" t="s">
        <v>275</v>
      </c>
      <c r="D160" s="73" t="s">
        <v>276</v>
      </c>
      <c r="E160" s="71" t="s">
        <v>261</v>
      </c>
      <c r="F160" s="74" t="s">
        <v>277</v>
      </c>
      <c r="G160" s="17" t="s">
        <v>64</v>
      </c>
      <c r="H160" s="75">
        <f>H158</f>
        <v>0</v>
      </c>
      <c r="I160" s="76">
        <f>I158*(1+Settings!$C$9)</f>
        <v>0</v>
      </c>
      <c r="J160" s="76">
        <f t="shared" si="17"/>
        <v>0</v>
      </c>
      <c r="K160" s="77">
        <f>K158</f>
        <v>0</v>
      </c>
      <c r="L160" s="51">
        <f>L158</f>
        <v>1</v>
      </c>
      <c r="M160" s="52">
        <f t="shared" si="18"/>
        <v>0</v>
      </c>
      <c r="N160" s="51">
        <f t="shared" si="19"/>
        <v>0</v>
      </c>
      <c r="O160" s="78">
        <f t="shared" si="20"/>
        <v>0</v>
      </c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/>
      <c r="AS160" s="79"/>
      <c r="AT160" s="79"/>
      <c r="AU160" s="79"/>
      <c r="AV160" s="79"/>
      <c r="AW160" s="79"/>
      <c r="AX160" s="79"/>
      <c r="AY160" s="79"/>
    </row>
    <row r="161" spans="2:51" outlineLevel="1">
      <c r="B161" s="71" t="s">
        <v>274</v>
      </c>
      <c r="C161" s="72" t="s">
        <v>275</v>
      </c>
      <c r="D161" s="73" t="s">
        <v>276</v>
      </c>
      <c r="E161" s="71" t="s">
        <v>261</v>
      </c>
      <c r="F161" s="74" t="s">
        <v>277</v>
      </c>
      <c r="G161" s="17" t="s">
        <v>65</v>
      </c>
      <c r="H161" s="80">
        <f>IFERROR(INDEX('Benchmark Data'!$AH$7:$AH$130,MATCH($B161,'Benchmark Data'!$A$7:$A$130,0)),0)</f>
        <v>0.5</v>
      </c>
      <c r="I161" s="81">
        <f>IFERROR(INDEX('Benchmark Data'!$AI$7:$AI$130,MATCH($B161,'Benchmark Data'!$A$7:$A$130,0)),0)</f>
        <v>400</v>
      </c>
      <c r="J161" s="76">
        <f t="shared" si="17"/>
        <v>200</v>
      </c>
      <c r="K161" s="77">
        <f>K158</f>
        <v>0</v>
      </c>
      <c r="L161" s="82">
        <f>IFERROR(INDEX('Benchmark Data'!$AJ$7:$AJ$130,MATCH($B161,'Benchmark Data'!$A$7:$A$130,0)),0)</f>
        <v>2</v>
      </c>
      <c r="M161" s="52">
        <f t="shared" si="18"/>
        <v>0</v>
      </c>
      <c r="N161" s="51">
        <f t="shared" si="19"/>
        <v>0</v>
      </c>
      <c r="O161" s="78">
        <f t="shared" si="20"/>
        <v>0</v>
      </c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79"/>
      <c r="AN161" s="79"/>
      <c r="AO161" s="79"/>
      <c r="AP161" s="79"/>
      <c r="AQ161" s="79"/>
      <c r="AR161" s="79"/>
      <c r="AS161" s="79"/>
      <c r="AT161" s="79"/>
      <c r="AU161" s="79"/>
      <c r="AV161" s="79"/>
      <c r="AW161" s="79"/>
      <c r="AX161" s="79"/>
      <c r="AY161" s="79"/>
    </row>
    <row r="162" spans="2:51">
      <c r="B162" s="83" t="s">
        <v>274</v>
      </c>
      <c r="C162" s="16" t="s">
        <v>275</v>
      </c>
      <c r="D162" s="84" t="s">
        <v>276</v>
      </c>
      <c r="E162" s="85" t="s">
        <v>261</v>
      </c>
      <c r="F162" s="86" t="s">
        <v>277</v>
      </c>
      <c r="G162" s="16" t="s">
        <v>179</v>
      </c>
      <c r="H162" s="87">
        <f>CHOOSE(IF(OR($D$4="Expert input",$J$158=0),4,IF($D$4="+25%",2,IF($D$4="+50%",3,1))),H158,H159,H160,H161)</f>
        <v>0.5</v>
      </c>
      <c r="I162" s="88">
        <f>CHOOSE(IF(OR($D$4="Expert input",$J$158=0),4,IF($D$4="+25%",2,IF($D$4="+50%",3,1))),I158,I159,I160,I161)</f>
        <v>400</v>
      </c>
      <c r="J162" s="88">
        <f t="shared" si="17"/>
        <v>200</v>
      </c>
      <c r="K162" s="54">
        <f>K158</f>
        <v>0</v>
      </c>
      <c r="L162" s="53">
        <f>CHOOSE(IF(OR($D$4="Expert input",$J$158=0),4,IF($D$4="+25%",2,IF($D$4="+50%",3,1))),L158,L159,L160,L161)</f>
        <v>2</v>
      </c>
      <c r="M162" s="54">
        <f t="shared" si="18"/>
        <v>0</v>
      </c>
      <c r="N162" s="53">
        <f t="shared" si="19"/>
        <v>0</v>
      </c>
      <c r="O162" s="54">
        <f t="shared" si="20"/>
        <v>0</v>
      </c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89">
        <f>P162*$N162</f>
        <v>0</v>
      </c>
      <c r="AC162" s="90">
        <f>P162*$O162</f>
        <v>0</v>
      </c>
      <c r="AD162" s="89">
        <f>Q162*$N162</f>
        <v>0</v>
      </c>
      <c r="AE162" s="90">
        <f>Q162*$O162</f>
        <v>0</v>
      </c>
      <c r="AF162" s="89">
        <f>R162*$N162</f>
        <v>0</v>
      </c>
      <c r="AG162" s="90">
        <f>R162*$O162</f>
        <v>0</v>
      </c>
      <c r="AH162" s="89">
        <f>S162*$N162</f>
        <v>0</v>
      </c>
      <c r="AI162" s="90">
        <f>S162*$O162</f>
        <v>0</v>
      </c>
      <c r="AJ162" s="89">
        <f>T162*$N162</f>
        <v>0</v>
      </c>
      <c r="AK162" s="90">
        <f>T162*$O162</f>
        <v>0</v>
      </c>
      <c r="AL162" s="89">
        <f>U162*$N162</f>
        <v>0</v>
      </c>
      <c r="AM162" s="90">
        <f>U162*$O162</f>
        <v>0</v>
      </c>
      <c r="AN162" s="89">
        <f>V162*$N162</f>
        <v>0</v>
      </c>
      <c r="AO162" s="90">
        <f>V162*$O162</f>
        <v>0</v>
      </c>
      <c r="AP162" s="89">
        <f>W162*$N162</f>
        <v>0</v>
      </c>
      <c r="AQ162" s="90">
        <f>W162*$O162</f>
        <v>0</v>
      </c>
      <c r="AR162" s="89">
        <f>X162*$N162</f>
        <v>0</v>
      </c>
      <c r="AS162" s="90">
        <f>X162*$O162</f>
        <v>0</v>
      </c>
      <c r="AT162" s="89">
        <f>Y162*$N162</f>
        <v>0</v>
      </c>
      <c r="AU162" s="90">
        <f>Y162*$O162</f>
        <v>0</v>
      </c>
      <c r="AV162" s="89">
        <f>Z162*$N162</f>
        <v>0</v>
      </c>
      <c r="AW162" s="90">
        <f>Z162*$O162</f>
        <v>0</v>
      </c>
      <c r="AX162" s="89">
        <f>AA162*$N162</f>
        <v>0</v>
      </c>
      <c r="AY162" s="90">
        <f>AA162*$O162</f>
        <v>0</v>
      </c>
    </row>
    <row r="163" spans="2:51" outlineLevel="1">
      <c r="B163" s="58" t="s">
        <v>278</v>
      </c>
      <c r="C163" s="59" t="s">
        <v>279</v>
      </c>
      <c r="D163" s="60" t="s">
        <v>280</v>
      </c>
      <c r="E163" s="61" t="s">
        <v>261</v>
      </c>
      <c r="F163" s="62" t="s">
        <v>236</v>
      </c>
      <c r="G163" s="59" t="s">
        <v>62</v>
      </c>
      <c r="H163" s="63">
        <f>IFERROR(INDEX('Benchmark Data'!$AC$7:$AC$130,MATCH($B163,'Benchmark Data'!$A$7:$A$130,0)),0)</f>
        <v>0.01</v>
      </c>
      <c r="I163" s="64">
        <f>IFERROR(INDEX('Benchmark Data'!$AD$7:$AD$130,MATCH($B163,'Benchmark Data'!$A$7:$A$130,0)),0)</f>
        <v>50</v>
      </c>
      <c r="J163" s="65">
        <f t="shared" si="17"/>
        <v>0.5</v>
      </c>
      <c r="K163" s="91"/>
      <c r="L163" s="29">
        <f>IFERROR(INDEX('Benchmark Data'!$AE$7:$AE$130,MATCH($B163,'Benchmark Data'!$A$7:$A$130,0)),0)</f>
        <v>1</v>
      </c>
      <c r="M163" s="67">
        <f t="shared" si="18"/>
        <v>0</v>
      </c>
      <c r="N163" s="68">
        <f t="shared" si="19"/>
        <v>0</v>
      </c>
      <c r="O163" s="69">
        <f t="shared" si="20"/>
        <v>0</v>
      </c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70"/>
      <c r="AX163" s="70"/>
      <c r="AY163" s="70"/>
    </row>
    <row r="164" spans="2:51" outlineLevel="1">
      <c r="B164" s="71" t="s">
        <v>278</v>
      </c>
      <c r="C164" s="72" t="s">
        <v>279</v>
      </c>
      <c r="D164" s="73" t="s">
        <v>280</v>
      </c>
      <c r="E164" s="71" t="s">
        <v>261</v>
      </c>
      <c r="F164" s="74" t="s">
        <v>236</v>
      </c>
      <c r="G164" s="17" t="s">
        <v>63</v>
      </c>
      <c r="H164" s="75">
        <f>H163</f>
        <v>0.01</v>
      </c>
      <c r="I164" s="76">
        <f>I163*(1+Settings!$C$8)</f>
        <v>62.5</v>
      </c>
      <c r="J164" s="76">
        <f t="shared" si="17"/>
        <v>0.625</v>
      </c>
      <c r="K164" s="77">
        <f>K163</f>
        <v>0</v>
      </c>
      <c r="L164" s="51">
        <f>L163</f>
        <v>1</v>
      </c>
      <c r="M164" s="52">
        <f t="shared" si="18"/>
        <v>0</v>
      </c>
      <c r="N164" s="51">
        <f t="shared" si="19"/>
        <v>0</v>
      </c>
      <c r="O164" s="78">
        <f t="shared" si="20"/>
        <v>0</v>
      </c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  <c r="AY164" s="79"/>
    </row>
    <row r="165" spans="2:51" outlineLevel="1">
      <c r="B165" s="71" t="s">
        <v>278</v>
      </c>
      <c r="C165" s="72" t="s">
        <v>279</v>
      </c>
      <c r="D165" s="73" t="s">
        <v>280</v>
      </c>
      <c r="E165" s="71" t="s">
        <v>261</v>
      </c>
      <c r="F165" s="74" t="s">
        <v>236</v>
      </c>
      <c r="G165" s="17" t="s">
        <v>64</v>
      </c>
      <c r="H165" s="75">
        <f>H163</f>
        <v>0.01</v>
      </c>
      <c r="I165" s="76">
        <f>I163*(1+Settings!$C$9)</f>
        <v>75</v>
      </c>
      <c r="J165" s="76">
        <f t="shared" si="17"/>
        <v>0.75</v>
      </c>
      <c r="K165" s="77">
        <f>K163</f>
        <v>0</v>
      </c>
      <c r="L165" s="51">
        <f>L163</f>
        <v>1</v>
      </c>
      <c r="M165" s="52">
        <f t="shared" si="18"/>
        <v>0</v>
      </c>
      <c r="N165" s="51">
        <f t="shared" si="19"/>
        <v>0</v>
      </c>
      <c r="O165" s="78">
        <f t="shared" si="20"/>
        <v>0</v>
      </c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79"/>
      <c r="AX165" s="79"/>
      <c r="AY165" s="79"/>
    </row>
    <row r="166" spans="2:51" outlineLevel="1">
      <c r="B166" s="71" t="s">
        <v>278</v>
      </c>
      <c r="C166" s="72" t="s">
        <v>279</v>
      </c>
      <c r="D166" s="73" t="s">
        <v>280</v>
      </c>
      <c r="E166" s="71" t="s">
        <v>261</v>
      </c>
      <c r="F166" s="74" t="s">
        <v>236</v>
      </c>
      <c r="G166" s="17" t="s">
        <v>65</v>
      </c>
      <c r="H166" s="80">
        <f>H163</f>
        <v>0.01</v>
      </c>
      <c r="I166" s="81">
        <f>I163</f>
        <v>50</v>
      </c>
      <c r="J166" s="76">
        <f t="shared" si="17"/>
        <v>0.5</v>
      </c>
      <c r="K166" s="77">
        <f>K163</f>
        <v>0</v>
      </c>
      <c r="L166" s="82">
        <f>L163</f>
        <v>1</v>
      </c>
      <c r="M166" s="52">
        <f t="shared" si="18"/>
        <v>0</v>
      </c>
      <c r="N166" s="51">
        <f t="shared" si="19"/>
        <v>0</v>
      </c>
      <c r="O166" s="78">
        <f t="shared" si="20"/>
        <v>0</v>
      </c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  <c r="AG166" s="79"/>
      <c r="AH166" s="79"/>
      <c r="AI166" s="79"/>
      <c r="AJ166" s="79"/>
      <c r="AK166" s="79"/>
      <c r="AL166" s="79"/>
      <c r="AM166" s="79"/>
      <c r="AN166" s="79"/>
      <c r="AO166" s="79"/>
      <c r="AP166" s="79"/>
      <c r="AQ166" s="79"/>
      <c r="AR166" s="79"/>
      <c r="AS166" s="79"/>
      <c r="AT166" s="79"/>
      <c r="AU166" s="79"/>
      <c r="AV166" s="79"/>
      <c r="AW166" s="79"/>
      <c r="AX166" s="79"/>
      <c r="AY166" s="79"/>
    </row>
    <row r="167" spans="2:51">
      <c r="B167" s="83" t="s">
        <v>278</v>
      </c>
      <c r="C167" s="16" t="s">
        <v>279</v>
      </c>
      <c r="D167" s="84" t="s">
        <v>280</v>
      </c>
      <c r="E167" s="85" t="s">
        <v>261</v>
      </c>
      <c r="F167" s="86" t="s">
        <v>236</v>
      </c>
      <c r="G167" s="16" t="s">
        <v>179</v>
      </c>
      <c r="H167" s="87">
        <f>CHOOSE(IF(OR($D$4="Expert input",$J$163=0),4,IF($D$4="+25%",2,IF($D$4="+50%",3,1))),H163,H164,H165,H166)</f>
        <v>0.01</v>
      </c>
      <c r="I167" s="88">
        <f>CHOOSE(IF(OR($D$4="Expert input",$J$163=0),4,IF($D$4="+25%",2,IF($D$4="+50%",3,1))),I163,I164,I165,I166)</f>
        <v>50</v>
      </c>
      <c r="J167" s="88">
        <f t="shared" si="17"/>
        <v>0.5</v>
      </c>
      <c r="K167" s="54">
        <f>K163</f>
        <v>0</v>
      </c>
      <c r="L167" s="53">
        <f>CHOOSE(IF(OR($D$4="Expert input",$J$163=0),4,IF($D$4="+25%",2,IF($D$4="+50%",3,1))),L163,L164,L165,L166)</f>
        <v>1</v>
      </c>
      <c r="M167" s="54">
        <f t="shared" si="18"/>
        <v>0</v>
      </c>
      <c r="N167" s="53">
        <f t="shared" si="19"/>
        <v>0</v>
      </c>
      <c r="O167" s="54">
        <f t="shared" si="20"/>
        <v>0</v>
      </c>
      <c r="P167" s="43"/>
      <c r="Q167" s="43"/>
      <c r="R167" s="43"/>
      <c r="S167" s="43">
        <v>1</v>
      </c>
      <c r="T167" s="43"/>
      <c r="U167" s="43"/>
      <c r="V167" s="43"/>
      <c r="W167" s="43"/>
      <c r="X167" s="43"/>
      <c r="Y167" s="43"/>
      <c r="Z167" s="43"/>
      <c r="AA167" s="43"/>
      <c r="AB167" s="89">
        <f>P167*$N167</f>
        <v>0</v>
      </c>
      <c r="AC167" s="90">
        <f>P167*$O167</f>
        <v>0</v>
      </c>
      <c r="AD167" s="89">
        <f>Q167*$N167</f>
        <v>0</v>
      </c>
      <c r="AE167" s="90">
        <f>Q167*$O167</f>
        <v>0</v>
      </c>
      <c r="AF167" s="89">
        <f>R167*$N167</f>
        <v>0</v>
      </c>
      <c r="AG167" s="90">
        <f>R167*$O167</f>
        <v>0</v>
      </c>
      <c r="AH167" s="89">
        <f>S167*$N167</f>
        <v>0</v>
      </c>
      <c r="AI167" s="90">
        <f>S167*$O167</f>
        <v>0</v>
      </c>
      <c r="AJ167" s="89">
        <f>T167*$N167</f>
        <v>0</v>
      </c>
      <c r="AK167" s="90">
        <f>T167*$O167</f>
        <v>0</v>
      </c>
      <c r="AL167" s="89">
        <f>U167*$N167</f>
        <v>0</v>
      </c>
      <c r="AM167" s="90">
        <f>U167*$O167</f>
        <v>0</v>
      </c>
      <c r="AN167" s="89">
        <f>V167*$N167</f>
        <v>0</v>
      </c>
      <c r="AO167" s="90">
        <f>V167*$O167</f>
        <v>0</v>
      </c>
      <c r="AP167" s="89">
        <f>W167*$N167</f>
        <v>0</v>
      </c>
      <c r="AQ167" s="90">
        <f>W167*$O167</f>
        <v>0</v>
      </c>
      <c r="AR167" s="89">
        <f>X167*$N167</f>
        <v>0</v>
      </c>
      <c r="AS167" s="90">
        <f>X167*$O167</f>
        <v>0</v>
      </c>
      <c r="AT167" s="89">
        <f>Y167*$N167</f>
        <v>0</v>
      </c>
      <c r="AU167" s="90">
        <f>Y167*$O167</f>
        <v>0</v>
      </c>
      <c r="AV167" s="89">
        <f>Z167*$N167</f>
        <v>0</v>
      </c>
      <c r="AW167" s="90">
        <f>Z167*$O167</f>
        <v>0</v>
      </c>
      <c r="AX167" s="89">
        <f>AA167*$N167</f>
        <v>0</v>
      </c>
      <c r="AY167" s="90">
        <f>AA167*$O167</f>
        <v>0</v>
      </c>
    </row>
    <row r="168" spans="2:51" outlineLevel="1">
      <c r="B168" s="58" t="s">
        <v>281</v>
      </c>
      <c r="C168" s="59" t="s">
        <v>282</v>
      </c>
      <c r="D168" s="60" t="s">
        <v>283</v>
      </c>
      <c r="E168" s="61" t="s">
        <v>284</v>
      </c>
      <c r="F168" s="62" t="s">
        <v>112</v>
      </c>
      <c r="G168" s="59" t="s">
        <v>62</v>
      </c>
      <c r="H168" s="63">
        <f>IFERROR(INDEX('Benchmark Data'!$AC$7:$AC$130,MATCH($B168,'Benchmark Data'!$A$7:$A$130,0)),0)</f>
        <v>2</v>
      </c>
      <c r="I168" s="64">
        <f>IFERROR(INDEX('Benchmark Data'!$AD$7:$AD$130,MATCH($B168,'Benchmark Data'!$A$7:$A$130,0)),0)</f>
        <v>1500</v>
      </c>
      <c r="J168" s="65">
        <f t="shared" si="17"/>
        <v>3000</v>
      </c>
      <c r="K168" s="91"/>
      <c r="L168" s="29">
        <f>IFERROR(INDEX('Benchmark Data'!$AE$7:$AE$130,MATCH($B168,'Benchmark Data'!$A$7:$A$130,0)),0)</f>
        <v>1</v>
      </c>
      <c r="M168" s="67">
        <f t="shared" si="18"/>
        <v>0</v>
      </c>
      <c r="N168" s="68">
        <f t="shared" si="19"/>
        <v>0</v>
      </c>
      <c r="O168" s="69">
        <f t="shared" si="20"/>
        <v>0</v>
      </c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70"/>
      <c r="AX168" s="70"/>
      <c r="AY168" s="70"/>
    </row>
    <row r="169" spans="2:51" outlineLevel="1">
      <c r="B169" s="71" t="s">
        <v>281</v>
      </c>
      <c r="C169" s="72" t="s">
        <v>282</v>
      </c>
      <c r="D169" s="73" t="s">
        <v>285</v>
      </c>
      <c r="E169" s="71" t="s">
        <v>284</v>
      </c>
      <c r="F169" s="74" t="s">
        <v>112</v>
      </c>
      <c r="G169" s="17" t="s">
        <v>63</v>
      </c>
      <c r="H169" s="75">
        <f>H168</f>
        <v>2</v>
      </c>
      <c r="I169" s="76">
        <f>I168*(1+Settings!$C$8)</f>
        <v>1875</v>
      </c>
      <c r="J169" s="76">
        <f t="shared" si="17"/>
        <v>3750</v>
      </c>
      <c r="K169" s="77">
        <f>K168</f>
        <v>0</v>
      </c>
      <c r="L169" s="51">
        <f>L168</f>
        <v>1</v>
      </c>
      <c r="M169" s="52">
        <f t="shared" si="18"/>
        <v>0</v>
      </c>
      <c r="N169" s="51">
        <f t="shared" si="19"/>
        <v>0</v>
      </c>
      <c r="O169" s="78">
        <f t="shared" si="20"/>
        <v>0</v>
      </c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79"/>
      <c r="AU169" s="79"/>
      <c r="AV169" s="79"/>
      <c r="AW169" s="79"/>
      <c r="AX169" s="79"/>
      <c r="AY169" s="79"/>
    </row>
    <row r="170" spans="2:51" outlineLevel="1">
      <c r="B170" s="71" t="s">
        <v>281</v>
      </c>
      <c r="C170" s="72" t="s">
        <v>282</v>
      </c>
      <c r="D170" s="73" t="s">
        <v>285</v>
      </c>
      <c r="E170" s="71" t="s">
        <v>284</v>
      </c>
      <c r="F170" s="74" t="s">
        <v>112</v>
      </c>
      <c r="G170" s="17" t="s">
        <v>64</v>
      </c>
      <c r="H170" s="75">
        <f>H168</f>
        <v>2</v>
      </c>
      <c r="I170" s="76">
        <f>I168*(1+Settings!$C$9)</f>
        <v>2250</v>
      </c>
      <c r="J170" s="76">
        <f t="shared" si="17"/>
        <v>4500</v>
      </c>
      <c r="K170" s="77">
        <f>K168</f>
        <v>0</v>
      </c>
      <c r="L170" s="51">
        <f>L168</f>
        <v>1</v>
      </c>
      <c r="M170" s="52">
        <f t="shared" si="18"/>
        <v>0</v>
      </c>
      <c r="N170" s="51">
        <f t="shared" si="19"/>
        <v>0</v>
      </c>
      <c r="O170" s="78">
        <f t="shared" si="20"/>
        <v>0</v>
      </c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  <c r="AV170" s="79"/>
      <c r="AW170" s="79"/>
      <c r="AX170" s="79"/>
      <c r="AY170" s="79"/>
    </row>
    <row r="171" spans="2:51" outlineLevel="1">
      <c r="B171" s="71" t="s">
        <v>281</v>
      </c>
      <c r="C171" s="72" t="s">
        <v>282</v>
      </c>
      <c r="D171" s="73" t="s">
        <v>285</v>
      </c>
      <c r="E171" s="71" t="s">
        <v>284</v>
      </c>
      <c r="F171" s="74" t="s">
        <v>112</v>
      </c>
      <c r="G171" s="17" t="s">
        <v>65</v>
      </c>
      <c r="H171" s="80">
        <f>H168</f>
        <v>2</v>
      </c>
      <c r="I171" s="81">
        <f>I168</f>
        <v>1500</v>
      </c>
      <c r="J171" s="76">
        <f t="shared" si="17"/>
        <v>3000</v>
      </c>
      <c r="K171" s="77">
        <f>K168</f>
        <v>0</v>
      </c>
      <c r="L171" s="82">
        <f>L168</f>
        <v>1</v>
      </c>
      <c r="M171" s="52">
        <f t="shared" si="18"/>
        <v>0</v>
      </c>
      <c r="N171" s="51">
        <f t="shared" si="19"/>
        <v>0</v>
      </c>
      <c r="O171" s="78">
        <f t="shared" si="20"/>
        <v>0</v>
      </c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  <c r="AG171" s="79"/>
      <c r="AH171" s="79"/>
      <c r="AI171" s="79"/>
      <c r="AJ171" s="79"/>
      <c r="AK171" s="79"/>
      <c r="AL171" s="79"/>
      <c r="AM171" s="79"/>
      <c r="AN171" s="79"/>
      <c r="AO171" s="79"/>
      <c r="AP171" s="79"/>
      <c r="AQ171" s="79"/>
      <c r="AR171" s="79"/>
      <c r="AS171" s="79"/>
      <c r="AT171" s="79"/>
      <c r="AU171" s="79"/>
      <c r="AV171" s="79"/>
      <c r="AW171" s="79"/>
      <c r="AX171" s="79"/>
      <c r="AY171" s="79"/>
    </row>
    <row r="172" spans="2:51">
      <c r="B172" s="83" t="s">
        <v>281</v>
      </c>
      <c r="C172" s="16" t="s">
        <v>282</v>
      </c>
      <c r="D172" s="84" t="s">
        <v>286</v>
      </c>
      <c r="E172" s="85" t="s">
        <v>284</v>
      </c>
      <c r="F172" s="86" t="s">
        <v>112</v>
      </c>
      <c r="G172" s="16" t="s">
        <v>179</v>
      </c>
      <c r="H172" s="87">
        <f>CHOOSE(IF(OR($D$4="Expert input",$J$168=0),4,IF($D$4="+25%",2,IF($D$4="+50%",3,1))),H168,H169,H170,H171)</f>
        <v>2</v>
      </c>
      <c r="I172" s="88">
        <f>CHOOSE(IF(OR($D$4="Expert input",$J$168=0),4,IF($D$4="+25%",2,IF($D$4="+50%",3,1))),I168,I169,I170,I171)</f>
        <v>1500</v>
      </c>
      <c r="J172" s="88">
        <f t="shared" si="17"/>
        <v>3000</v>
      </c>
      <c r="K172" s="54">
        <f>K168</f>
        <v>0</v>
      </c>
      <c r="L172" s="53">
        <f>CHOOSE(IF(OR($D$4="Expert input",$J$168=0),4,IF($D$4="+25%",2,IF($D$4="+50%",3,1))),L168,L169,L170,L171)</f>
        <v>1</v>
      </c>
      <c r="M172" s="54">
        <f t="shared" si="18"/>
        <v>0</v>
      </c>
      <c r="N172" s="53">
        <f t="shared" si="19"/>
        <v>0</v>
      </c>
      <c r="O172" s="54">
        <f t="shared" si="20"/>
        <v>0</v>
      </c>
      <c r="P172" s="43"/>
      <c r="Q172" s="43">
        <v>1</v>
      </c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89">
        <f>P172*$N172</f>
        <v>0</v>
      </c>
      <c r="AC172" s="90">
        <f>P172*$O172</f>
        <v>0</v>
      </c>
      <c r="AD172" s="89">
        <f>Q172*$N172</f>
        <v>0</v>
      </c>
      <c r="AE172" s="90">
        <f>Q172*$O172</f>
        <v>0</v>
      </c>
      <c r="AF172" s="89">
        <f>R172*$N172</f>
        <v>0</v>
      </c>
      <c r="AG172" s="90">
        <f>R172*$O172</f>
        <v>0</v>
      </c>
      <c r="AH172" s="89">
        <f>S172*$N172</f>
        <v>0</v>
      </c>
      <c r="AI172" s="90">
        <f>S172*$O172</f>
        <v>0</v>
      </c>
      <c r="AJ172" s="89">
        <f>T172*$N172</f>
        <v>0</v>
      </c>
      <c r="AK172" s="90">
        <f>T172*$O172</f>
        <v>0</v>
      </c>
      <c r="AL172" s="89">
        <f>U172*$N172</f>
        <v>0</v>
      </c>
      <c r="AM172" s="90">
        <f>U172*$O172</f>
        <v>0</v>
      </c>
      <c r="AN172" s="89">
        <f>V172*$N172</f>
        <v>0</v>
      </c>
      <c r="AO172" s="90">
        <f>V172*$O172</f>
        <v>0</v>
      </c>
      <c r="AP172" s="89">
        <f>W172*$N172</f>
        <v>0</v>
      </c>
      <c r="AQ172" s="90">
        <f>W172*$O172</f>
        <v>0</v>
      </c>
      <c r="AR172" s="89">
        <f>X172*$N172</f>
        <v>0</v>
      </c>
      <c r="AS172" s="90">
        <f>X172*$O172</f>
        <v>0</v>
      </c>
      <c r="AT172" s="89">
        <f>Y172*$N172</f>
        <v>0</v>
      </c>
      <c r="AU172" s="90">
        <f>Y172*$O172</f>
        <v>0</v>
      </c>
      <c r="AV172" s="89">
        <f>Z172*$N172</f>
        <v>0</v>
      </c>
      <c r="AW172" s="90">
        <f>Z172*$O172</f>
        <v>0</v>
      </c>
      <c r="AX172" s="89">
        <f>AA172*$N172</f>
        <v>0</v>
      </c>
      <c r="AY172" s="90">
        <f>AA172*$O172</f>
        <v>0</v>
      </c>
    </row>
    <row r="173" spans="2:51" outlineLevel="1">
      <c r="B173" s="58" t="s">
        <v>287</v>
      </c>
      <c r="C173" s="59" t="s">
        <v>288</v>
      </c>
      <c r="D173" s="60" t="s">
        <v>289</v>
      </c>
      <c r="E173" s="61" t="s">
        <v>284</v>
      </c>
      <c r="F173" s="62" t="s">
        <v>277</v>
      </c>
      <c r="G173" s="59" t="s">
        <v>62</v>
      </c>
      <c r="H173" s="63">
        <f>IFERROR(INDEX('Benchmark Data'!$AC$7:$AC$130,MATCH($B173,'Benchmark Data'!$A$7:$A$130,0)),0)</f>
        <v>1</v>
      </c>
      <c r="I173" s="64">
        <f>IFERROR(INDEX('Benchmark Data'!$AD$7:$AD$130,MATCH($B173,'Benchmark Data'!$A$7:$A$130,0)),0)</f>
        <v>50</v>
      </c>
      <c r="J173" s="65">
        <f t="shared" si="17"/>
        <v>50</v>
      </c>
      <c r="K173" s="91"/>
      <c r="L173" s="29">
        <f>IFERROR(INDEX('Benchmark Data'!$AE$7:$AE$130,MATCH($B173,'Benchmark Data'!$A$7:$A$130,0)),0)</f>
        <v>120</v>
      </c>
      <c r="M173" s="67">
        <f t="shared" si="18"/>
        <v>0</v>
      </c>
      <c r="N173" s="68">
        <f t="shared" si="19"/>
        <v>0</v>
      </c>
      <c r="O173" s="69">
        <f t="shared" si="20"/>
        <v>0</v>
      </c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70"/>
      <c r="AX173" s="70"/>
      <c r="AY173" s="70"/>
    </row>
    <row r="174" spans="2:51" outlineLevel="1">
      <c r="B174" s="71" t="s">
        <v>287</v>
      </c>
      <c r="C174" s="72" t="s">
        <v>288</v>
      </c>
      <c r="D174" s="73" t="s">
        <v>289</v>
      </c>
      <c r="E174" s="71" t="s">
        <v>284</v>
      </c>
      <c r="F174" s="74" t="s">
        <v>277</v>
      </c>
      <c r="G174" s="17" t="s">
        <v>63</v>
      </c>
      <c r="H174" s="75">
        <f>H173</f>
        <v>1</v>
      </c>
      <c r="I174" s="76">
        <f>I173*(1+Settings!$C$8)</f>
        <v>62.5</v>
      </c>
      <c r="J174" s="76">
        <f t="shared" si="17"/>
        <v>62.5</v>
      </c>
      <c r="K174" s="77">
        <f>K173</f>
        <v>0</v>
      </c>
      <c r="L174" s="51">
        <f>L173</f>
        <v>120</v>
      </c>
      <c r="M174" s="52">
        <f t="shared" si="18"/>
        <v>0</v>
      </c>
      <c r="N174" s="51">
        <f t="shared" si="19"/>
        <v>0</v>
      </c>
      <c r="O174" s="78">
        <f t="shared" si="20"/>
        <v>0</v>
      </c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T174" s="79"/>
      <c r="AU174" s="79"/>
      <c r="AV174" s="79"/>
      <c r="AW174" s="79"/>
      <c r="AX174" s="79"/>
      <c r="AY174" s="79"/>
    </row>
    <row r="175" spans="2:51" outlineLevel="1">
      <c r="B175" s="71" t="s">
        <v>287</v>
      </c>
      <c r="C175" s="72" t="s">
        <v>288</v>
      </c>
      <c r="D175" s="73" t="s">
        <v>289</v>
      </c>
      <c r="E175" s="71" t="s">
        <v>284</v>
      </c>
      <c r="F175" s="74" t="s">
        <v>277</v>
      </c>
      <c r="G175" s="17" t="s">
        <v>64</v>
      </c>
      <c r="H175" s="75">
        <f>H173</f>
        <v>1</v>
      </c>
      <c r="I175" s="76">
        <f>I173*(1+Settings!$C$9)</f>
        <v>75</v>
      </c>
      <c r="J175" s="76">
        <f t="shared" si="17"/>
        <v>75</v>
      </c>
      <c r="K175" s="77">
        <f>K173</f>
        <v>0</v>
      </c>
      <c r="L175" s="51">
        <f>L173</f>
        <v>120</v>
      </c>
      <c r="M175" s="52">
        <f t="shared" si="18"/>
        <v>0</v>
      </c>
      <c r="N175" s="51">
        <f t="shared" si="19"/>
        <v>0</v>
      </c>
      <c r="O175" s="78">
        <f t="shared" si="20"/>
        <v>0</v>
      </c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79"/>
      <c r="AW175" s="79"/>
      <c r="AX175" s="79"/>
      <c r="AY175" s="79"/>
    </row>
    <row r="176" spans="2:51" outlineLevel="1">
      <c r="B176" s="71" t="s">
        <v>287</v>
      </c>
      <c r="C176" s="72" t="s">
        <v>288</v>
      </c>
      <c r="D176" s="73" t="s">
        <v>289</v>
      </c>
      <c r="E176" s="71" t="s">
        <v>284</v>
      </c>
      <c r="F176" s="74" t="s">
        <v>277</v>
      </c>
      <c r="G176" s="17" t="s">
        <v>65</v>
      </c>
      <c r="H176" s="80">
        <f>H173</f>
        <v>1</v>
      </c>
      <c r="I176" s="81">
        <f>I173</f>
        <v>50</v>
      </c>
      <c r="J176" s="76">
        <f t="shared" si="17"/>
        <v>50</v>
      </c>
      <c r="K176" s="77">
        <f>K173</f>
        <v>0</v>
      </c>
      <c r="L176" s="82">
        <f>L173</f>
        <v>120</v>
      </c>
      <c r="M176" s="52">
        <f t="shared" si="18"/>
        <v>0</v>
      </c>
      <c r="N176" s="51">
        <f t="shared" si="19"/>
        <v>0</v>
      </c>
      <c r="O176" s="78">
        <f t="shared" si="20"/>
        <v>0</v>
      </c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  <c r="AG176" s="79"/>
      <c r="AH176" s="79"/>
      <c r="AI176" s="79"/>
      <c r="AJ176" s="79"/>
      <c r="AK176" s="79"/>
      <c r="AL176" s="79"/>
      <c r="AM176" s="79"/>
      <c r="AN176" s="79"/>
      <c r="AO176" s="79"/>
      <c r="AP176" s="79"/>
      <c r="AQ176" s="79"/>
      <c r="AR176" s="79"/>
      <c r="AS176" s="79"/>
      <c r="AT176" s="79"/>
      <c r="AU176" s="79"/>
      <c r="AV176" s="79"/>
      <c r="AW176" s="79"/>
      <c r="AX176" s="79"/>
      <c r="AY176" s="79"/>
    </row>
    <row r="177" spans="2:51">
      <c r="B177" s="83" t="s">
        <v>287</v>
      </c>
      <c r="C177" s="16" t="s">
        <v>288</v>
      </c>
      <c r="D177" s="84" t="s">
        <v>289</v>
      </c>
      <c r="E177" s="85" t="s">
        <v>284</v>
      </c>
      <c r="F177" s="86" t="s">
        <v>277</v>
      </c>
      <c r="G177" s="16" t="s">
        <v>179</v>
      </c>
      <c r="H177" s="87">
        <f>CHOOSE(IF(OR($D$4="Expert input",$J$173=0),4,IF($D$4="+25%",2,IF($D$4="+50%",3,1))),H173,H174,H175,H176)</f>
        <v>1</v>
      </c>
      <c r="I177" s="88">
        <f>CHOOSE(IF(OR($D$4="Expert input",$J$173=0),4,IF($D$4="+25%",2,IF($D$4="+50%",3,1))),I173,I174,I175,I176)</f>
        <v>50</v>
      </c>
      <c r="J177" s="88">
        <f t="shared" si="17"/>
        <v>50</v>
      </c>
      <c r="K177" s="54">
        <f>K173</f>
        <v>0</v>
      </c>
      <c r="L177" s="53">
        <f>CHOOSE(IF(OR($D$4="Expert input",$J$173=0),4,IF($D$4="+25%",2,IF($D$4="+50%",3,1))),L173,L174,L175,L176)</f>
        <v>120</v>
      </c>
      <c r="M177" s="54">
        <f t="shared" si="18"/>
        <v>0</v>
      </c>
      <c r="N177" s="53">
        <f t="shared" si="19"/>
        <v>0</v>
      </c>
      <c r="O177" s="54">
        <f t="shared" si="20"/>
        <v>0</v>
      </c>
      <c r="P177" s="43"/>
      <c r="Q177" s="43"/>
      <c r="R177" s="43"/>
      <c r="S177" s="43">
        <v>0.25</v>
      </c>
      <c r="T177" s="43">
        <v>0.25</v>
      </c>
      <c r="U177" s="43">
        <v>0.25</v>
      </c>
      <c r="V177" s="43">
        <v>0.25</v>
      </c>
      <c r="W177" s="43"/>
      <c r="X177" s="43"/>
      <c r="Y177" s="43"/>
      <c r="Z177" s="43"/>
      <c r="AA177" s="43"/>
      <c r="AB177" s="89">
        <f>P177*$N177</f>
        <v>0</v>
      </c>
      <c r="AC177" s="90">
        <f>P177*$O177</f>
        <v>0</v>
      </c>
      <c r="AD177" s="89">
        <f>Q177*$N177</f>
        <v>0</v>
      </c>
      <c r="AE177" s="90">
        <f>Q177*$O177</f>
        <v>0</v>
      </c>
      <c r="AF177" s="89">
        <f>R177*$N177</f>
        <v>0</v>
      </c>
      <c r="AG177" s="90">
        <f>R177*$O177</f>
        <v>0</v>
      </c>
      <c r="AH177" s="89">
        <f>S177*$N177</f>
        <v>0</v>
      </c>
      <c r="AI177" s="90">
        <f>S177*$O177</f>
        <v>0</v>
      </c>
      <c r="AJ177" s="89">
        <f>T177*$N177</f>
        <v>0</v>
      </c>
      <c r="AK177" s="90">
        <f>T177*$O177</f>
        <v>0</v>
      </c>
      <c r="AL177" s="89">
        <f>U177*$N177</f>
        <v>0</v>
      </c>
      <c r="AM177" s="90">
        <f>U177*$O177</f>
        <v>0</v>
      </c>
      <c r="AN177" s="89">
        <f>V177*$N177</f>
        <v>0</v>
      </c>
      <c r="AO177" s="90">
        <f>V177*$O177</f>
        <v>0</v>
      </c>
      <c r="AP177" s="89">
        <f>W177*$N177</f>
        <v>0</v>
      </c>
      <c r="AQ177" s="90">
        <f>W177*$O177</f>
        <v>0</v>
      </c>
      <c r="AR177" s="89">
        <f>X177*$N177</f>
        <v>0</v>
      </c>
      <c r="AS177" s="90">
        <f>X177*$O177</f>
        <v>0</v>
      </c>
      <c r="AT177" s="89">
        <f>Y177*$N177</f>
        <v>0</v>
      </c>
      <c r="AU177" s="90">
        <f>Y177*$O177</f>
        <v>0</v>
      </c>
      <c r="AV177" s="89">
        <f>Z177*$N177</f>
        <v>0</v>
      </c>
      <c r="AW177" s="90">
        <f>Z177*$O177</f>
        <v>0</v>
      </c>
      <c r="AX177" s="89">
        <f>AA177*$N177</f>
        <v>0</v>
      </c>
      <c r="AY177" s="90">
        <f>AA177*$O177</f>
        <v>0</v>
      </c>
    </row>
    <row r="178" spans="2:51" outlineLevel="1">
      <c r="B178" s="58" t="s">
        <v>290</v>
      </c>
      <c r="C178" s="92" t="s">
        <v>291</v>
      </c>
      <c r="D178" s="60"/>
      <c r="E178" s="93" t="s">
        <v>292</v>
      </c>
      <c r="F178" s="62" t="s">
        <v>117</v>
      </c>
      <c r="G178" s="59" t="s">
        <v>62</v>
      </c>
      <c r="H178" s="63">
        <f>IFERROR(INDEX('Benchmark Data'!$AC$7:$AC$130,MATCH($B178,'Benchmark Data'!$A$7:$A$130,0)),0)</f>
        <v>0</v>
      </c>
      <c r="I178" s="64">
        <f>IFERROR(INDEX('Benchmark Data'!$AD$7:$AD$130,MATCH($B178,'Benchmark Data'!$A$7:$A$130,0)),0)</f>
        <v>0</v>
      </c>
      <c r="J178" s="65">
        <f t="shared" ref="J178:J209" si="21">H178*I178</f>
        <v>0</v>
      </c>
      <c r="K178" s="66">
        <f>$F$12</f>
        <v>0</v>
      </c>
      <c r="L178" s="29">
        <f>IFERROR(INDEX('Benchmark Data'!$AE$7:$AE$130,MATCH($B178,'Benchmark Data'!$A$7:$A$130,0)),0)</f>
        <v>1</v>
      </c>
      <c r="M178" s="67">
        <f t="shared" ref="M178:M209" si="22">K178*L178</f>
        <v>0</v>
      </c>
      <c r="N178" s="68">
        <f t="shared" ref="N178:N209" si="23">M178*H178</f>
        <v>0</v>
      </c>
      <c r="O178" s="69">
        <f t="shared" si="20"/>
        <v>0</v>
      </c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0"/>
      <c r="AX178" s="70"/>
      <c r="AY178" s="70"/>
    </row>
    <row r="179" spans="2:51" outlineLevel="1">
      <c r="B179" s="71" t="s">
        <v>290</v>
      </c>
      <c r="C179" s="72" t="s">
        <v>291</v>
      </c>
      <c r="D179" s="73"/>
      <c r="E179" s="94" t="s">
        <v>292</v>
      </c>
      <c r="F179" s="74" t="s">
        <v>117</v>
      </c>
      <c r="G179" s="17" t="s">
        <v>63</v>
      </c>
      <c r="H179" s="75">
        <f>H178</f>
        <v>0</v>
      </c>
      <c r="I179" s="76">
        <f>I178*(1+Settings!$C$8)</f>
        <v>0</v>
      </c>
      <c r="J179" s="76">
        <f t="shared" si="21"/>
        <v>0</v>
      </c>
      <c r="K179" s="77">
        <f>K178</f>
        <v>0</v>
      </c>
      <c r="L179" s="51">
        <f>L178</f>
        <v>1</v>
      </c>
      <c r="M179" s="52">
        <f t="shared" si="22"/>
        <v>0</v>
      </c>
      <c r="N179" s="51">
        <f t="shared" si="23"/>
        <v>0</v>
      </c>
      <c r="O179" s="78">
        <f t="shared" si="20"/>
        <v>0</v>
      </c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79"/>
      <c r="AX179" s="79"/>
      <c r="AY179" s="79"/>
    </row>
    <row r="180" spans="2:51" outlineLevel="1">
      <c r="B180" s="71" t="s">
        <v>290</v>
      </c>
      <c r="C180" s="72" t="s">
        <v>291</v>
      </c>
      <c r="D180" s="73"/>
      <c r="E180" s="94" t="s">
        <v>292</v>
      </c>
      <c r="F180" s="74" t="s">
        <v>117</v>
      </c>
      <c r="G180" s="17" t="s">
        <v>64</v>
      </c>
      <c r="H180" s="75">
        <f>H178</f>
        <v>0</v>
      </c>
      <c r="I180" s="76">
        <f>I178*(1+Settings!$C$9)</f>
        <v>0</v>
      </c>
      <c r="J180" s="76">
        <f t="shared" si="21"/>
        <v>0</v>
      </c>
      <c r="K180" s="77">
        <f>K178</f>
        <v>0</v>
      </c>
      <c r="L180" s="51">
        <f>L178</f>
        <v>1</v>
      </c>
      <c r="M180" s="52">
        <f t="shared" si="22"/>
        <v>0</v>
      </c>
      <c r="N180" s="51">
        <f t="shared" si="23"/>
        <v>0</v>
      </c>
      <c r="O180" s="78">
        <f t="shared" si="20"/>
        <v>0</v>
      </c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/>
      <c r="AU180" s="79"/>
      <c r="AV180" s="79"/>
      <c r="AW180" s="79"/>
      <c r="AX180" s="79"/>
      <c r="AY180" s="79"/>
    </row>
    <row r="181" spans="2:51" outlineLevel="1">
      <c r="B181" s="71" t="s">
        <v>290</v>
      </c>
      <c r="C181" s="72" t="s">
        <v>291</v>
      </c>
      <c r="D181" s="73"/>
      <c r="E181" s="94" t="s">
        <v>292</v>
      </c>
      <c r="F181" s="74" t="s">
        <v>117</v>
      </c>
      <c r="G181" s="17" t="s">
        <v>65</v>
      </c>
      <c r="H181" s="95"/>
      <c r="I181" s="96"/>
      <c r="J181" s="76">
        <f t="shared" si="21"/>
        <v>0</v>
      </c>
      <c r="K181" s="77">
        <f>K178</f>
        <v>0</v>
      </c>
      <c r="L181" s="45">
        <v>1</v>
      </c>
      <c r="M181" s="52">
        <f t="shared" si="22"/>
        <v>0</v>
      </c>
      <c r="N181" s="51">
        <f t="shared" si="23"/>
        <v>0</v>
      </c>
      <c r="O181" s="78">
        <f t="shared" si="20"/>
        <v>0</v>
      </c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  <c r="AG181" s="79"/>
      <c r="AH181" s="79"/>
      <c r="AI181" s="79"/>
      <c r="AJ181" s="79"/>
      <c r="AK181" s="79"/>
      <c r="AL181" s="79"/>
      <c r="AM181" s="79"/>
      <c r="AN181" s="79"/>
      <c r="AO181" s="79"/>
      <c r="AP181" s="79"/>
      <c r="AQ181" s="79"/>
      <c r="AR181" s="79"/>
      <c r="AS181" s="79"/>
      <c r="AT181" s="79"/>
      <c r="AU181" s="79"/>
      <c r="AV181" s="79"/>
      <c r="AW181" s="79"/>
      <c r="AX181" s="79"/>
      <c r="AY181" s="79"/>
    </row>
    <row r="182" spans="2:51">
      <c r="B182" s="83" t="s">
        <v>290</v>
      </c>
      <c r="C182" s="97" t="s">
        <v>291</v>
      </c>
      <c r="D182" s="84"/>
      <c r="E182" s="98" t="s">
        <v>292</v>
      </c>
      <c r="F182" s="86" t="s">
        <v>117</v>
      </c>
      <c r="G182" s="16" t="s">
        <v>179</v>
      </c>
      <c r="H182" s="87">
        <f>CHOOSE(IF(OR($D$4="Expert input",$J$178=0),4,IF($D$4="+25%",2,IF($D$4="+50%",3,1))),H178,H179,H180,H181)</f>
        <v>0</v>
      </c>
      <c r="I182" s="88">
        <f>CHOOSE(IF(OR($D$4="Expert input",$J$178=0),4,IF($D$4="+25%",2,IF($D$4="+50%",3,1))),I178,I179,I180,I181)</f>
        <v>0</v>
      </c>
      <c r="J182" s="88">
        <f t="shared" si="21"/>
        <v>0</v>
      </c>
      <c r="K182" s="54">
        <f>K178</f>
        <v>0</v>
      </c>
      <c r="L182" s="53">
        <f>CHOOSE(IF(OR($D$4="Expert input",$J$178=0),4,IF($D$4="+25%",2,IF($D$4="+50%",3,1))),L178,L179,L180,L181)</f>
        <v>1</v>
      </c>
      <c r="M182" s="54">
        <f t="shared" si="22"/>
        <v>0</v>
      </c>
      <c r="N182" s="53">
        <f t="shared" si="23"/>
        <v>0</v>
      </c>
      <c r="O182" s="54">
        <f t="shared" si="20"/>
        <v>0</v>
      </c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89">
        <f>P182*$N182</f>
        <v>0</v>
      </c>
      <c r="AC182" s="90">
        <f>P182*$O182</f>
        <v>0</v>
      </c>
      <c r="AD182" s="89">
        <f>Q182*$N182</f>
        <v>0</v>
      </c>
      <c r="AE182" s="90">
        <f>Q182*$O182</f>
        <v>0</v>
      </c>
      <c r="AF182" s="89">
        <f>R182*$N182</f>
        <v>0</v>
      </c>
      <c r="AG182" s="90">
        <f>R182*$O182</f>
        <v>0</v>
      </c>
      <c r="AH182" s="89">
        <f>S182*$N182</f>
        <v>0</v>
      </c>
      <c r="AI182" s="90">
        <f>S182*$O182</f>
        <v>0</v>
      </c>
      <c r="AJ182" s="89">
        <f>T182*$N182</f>
        <v>0</v>
      </c>
      <c r="AK182" s="90">
        <f>T182*$O182</f>
        <v>0</v>
      </c>
      <c r="AL182" s="89">
        <f>U182*$N182</f>
        <v>0</v>
      </c>
      <c r="AM182" s="90">
        <f>U182*$O182</f>
        <v>0</v>
      </c>
      <c r="AN182" s="89">
        <f>V182*$N182</f>
        <v>0</v>
      </c>
      <c r="AO182" s="90">
        <f>V182*$O182</f>
        <v>0</v>
      </c>
      <c r="AP182" s="89">
        <f>W182*$N182</f>
        <v>0</v>
      </c>
      <c r="AQ182" s="90">
        <f>W182*$O182</f>
        <v>0</v>
      </c>
      <c r="AR182" s="89">
        <f>X182*$N182</f>
        <v>0</v>
      </c>
      <c r="AS182" s="90">
        <f>X182*$O182</f>
        <v>0</v>
      </c>
      <c r="AT182" s="89">
        <f>Y182*$N182</f>
        <v>0</v>
      </c>
      <c r="AU182" s="90">
        <f>Y182*$O182</f>
        <v>0</v>
      </c>
      <c r="AV182" s="89">
        <f>Z182*$N182</f>
        <v>0</v>
      </c>
      <c r="AW182" s="90">
        <f>Z182*$O182</f>
        <v>0</v>
      </c>
      <c r="AX182" s="89">
        <f>AA182*$N182</f>
        <v>0</v>
      </c>
      <c r="AY182" s="90">
        <f>AA182*$O182</f>
        <v>0</v>
      </c>
    </row>
  </sheetData>
  <autoFilter ref="B17:O182" xr:uid="{00000000-0009-0000-0000-000003000000}"/>
  <mergeCells count="9">
    <mergeCell ref="E4:O4"/>
    <mergeCell ref="P7:AA7"/>
    <mergeCell ref="AB7:AY7"/>
    <mergeCell ref="B16:F16"/>
    <mergeCell ref="G16:J16"/>
    <mergeCell ref="K16:L16"/>
    <mergeCell ref="M16:O16"/>
    <mergeCell ref="P16:AA16"/>
    <mergeCell ref="AB16:AY16"/>
  </mergeCells>
  <conditionalFormatting sqref="P22:AA22">
    <cfRule type="expression" dxfId="124" priority="2">
      <formula>AND($M$22&gt;0,ABS(SUM($P$22:$AA$22)-1)&gt;0.001)</formula>
    </cfRule>
  </conditionalFormatting>
  <conditionalFormatting sqref="P27:AA27">
    <cfRule type="expression" dxfId="123" priority="3">
      <formula>AND($M$27&gt;0,ABS(SUM($P$27:$AA$27)-1)&gt;0.001)</formula>
    </cfRule>
  </conditionalFormatting>
  <conditionalFormatting sqref="P32:AA32">
    <cfRule type="expression" dxfId="122" priority="4">
      <formula>AND($M$32&gt;0,ABS(SUM($P$32:$AA$32)-1)&gt;0.001)</formula>
    </cfRule>
  </conditionalFormatting>
  <conditionalFormatting sqref="P37:AA37">
    <cfRule type="expression" dxfId="121" priority="5">
      <formula>AND($M$37&gt;0,ABS(SUM($P$37:$AA$37)-1)&gt;0.001)</formula>
    </cfRule>
  </conditionalFormatting>
  <conditionalFormatting sqref="P42:AA42">
    <cfRule type="expression" dxfId="120" priority="6">
      <formula>AND($M$42&gt;0,ABS(SUM($P$42:$AA$42)-1)&gt;0.001)</formula>
    </cfRule>
  </conditionalFormatting>
  <conditionalFormatting sqref="P47:AA47">
    <cfRule type="expression" dxfId="119" priority="7">
      <formula>AND($M$47&gt;0,ABS(SUM($P$47:$AA$47)-1)&gt;0.001)</formula>
    </cfRule>
  </conditionalFormatting>
  <conditionalFormatting sqref="P52:AA52">
    <cfRule type="expression" dxfId="118" priority="8">
      <formula>AND($M$52&gt;0,ABS(SUM($P$52:$AA$52)-1)&gt;0.001)</formula>
    </cfRule>
  </conditionalFormatting>
  <conditionalFormatting sqref="P57:AA57">
    <cfRule type="expression" dxfId="117" priority="9">
      <formula>AND($M$57&gt;0,ABS(SUM($P$57:$AA$57)-1)&gt;0.001)</formula>
    </cfRule>
  </conditionalFormatting>
  <conditionalFormatting sqref="P62:AA62">
    <cfRule type="expression" dxfId="116" priority="10">
      <formula>AND($M$62&gt;0,ABS(SUM($P$62:$AA$62)-1)&gt;0.001)</formula>
    </cfRule>
  </conditionalFormatting>
  <conditionalFormatting sqref="P67:AA67">
    <cfRule type="expression" dxfId="115" priority="11">
      <formula>AND($M$67&gt;0,ABS(SUM($P$67:$AA$67)-1)&gt;0.001)</formula>
    </cfRule>
  </conditionalFormatting>
  <conditionalFormatting sqref="P72:AA72">
    <cfRule type="expression" dxfId="114" priority="12">
      <formula>AND($M$72&gt;0,ABS(SUM($P$72:$AA$72)-1)&gt;0.001)</formula>
    </cfRule>
  </conditionalFormatting>
  <conditionalFormatting sqref="P77:AA77">
    <cfRule type="expression" dxfId="113" priority="13">
      <formula>AND($M$77&gt;0,ABS(SUM($P$77:$AA$77)-1)&gt;0.001)</formula>
    </cfRule>
  </conditionalFormatting>
  <conditionalFormatting sqref="P82:AA82">
    <cfRule type="expression" dxfId="112" priority="14">
      <formula>AND($M$82&gt;0,ABS(SUM($P$82:$AA$82)-1)&gt;0.001)</formula>
    </cfRule>
  </conditionalFormatting>
  <conditionalFormatting sqref="P87:AA87">
    <cfRule type="expression" dxfId="111" priority="15">
      <formula>AND($M$87&gt;0,ABS(SUM($P$87:$AA$87)-1)&gt;0.001)</formula>
    </cfRule>
  </conditionalFormatting>
  <conditionalFormatting sqref="P92:AA92">
    <cfRule type="expression" dxfId="110" priority="16">
      <formula>AND($M$92&gt;0,ABS(SUM($P$92:$AA$92)-1)&gt;0.001)</formula>
    </cfRule>
  </conditionalFormatting>
  <conditionalFormatting sqref="P97:AA97">
    <cfRule type="expression" dxfId="109" priority="17">
      <formula>AND($M$97&gt;0,ABS(SUM($P$97:$AA$97)-1)&gt;0.001)</formula>
    </cfRule>
  </conditionalFormatting>
  <conditionalFormatting sqref="P102:AA102">
    <cfRule type="expression" dxfId="108" priority="18">
      <formula>AND($M$102&gt;0,ABS(SUM($P$102:$AA$102)-1)&gt;0.001)</formula>
    </cfRule>
  </conditionalFormatting>
  <conditionalFormatting sqref="P107:AA107">
    <cfRule type="expression" dxfId="107" priority="19">
      <formula>AND($M$107&gt;0,ABS(SUM($P$107:$AA$107)-1)&gt;0.001)</formula>
    </cfRule>
  </conditionalFormatting>
  <conditionalFormatting sqref="P112:AA112">
    <cfRule type="expression" dxfId="106" priority="20">
      <formula>AND($M$112&gt;0,ABS(SUM($P$112:$AA$112)-1)&gt;0.001)</formula>
    </cfRule>
  </conditionalFormatting>
  <conditionalFormatting sqref="P117:AA117">
    <cfRule type="expression" dxfId="105" priority="21">
      <formula>AND($M$117&gt;0,ABS(SUM($P$117:$AA$117)-1)&gt;0.001)</formula>
    </cfRule>
  </conditionalFormatting>
  <conditionalFormatting sqref="P122:AA122">
    <cfRule type="expression" dxfId="104" priority="22">
      <formula>AND($M$122&gt;0,ABS(SUM($P$122:$AA$122)-1)&gt;0.001)</formula>
    </cfRule>
  </conditionalFormatting>
  <conditionalFormatting sqref="P127:AA127">
    <cfRule type="expression" dxfId="103" priority="23">
      <formula>AND($M$127&gt;0,ABS(SUM($P$127:$AA$127)-1)&gt;0.001)</formula>
    </cfRule>
  </conditionalFormatting>
  <conditionalFormatting sqref="P132:AA132">
    <cfRule type="expression" dxfId="102" priority="24">
      <formula>AND($M$132&gt;0,ABS(SUM($P$132:$AA$132)-1)&gt;0.001)</formula>
    </cfRule>
  </conditionalFormatting>
  <conditionalFormatting sqref="P137:AA137">
    <cfRule type="expression" dxfId="101" priority="25">
      <formula>AND($M$137&gt;0,ABS(SUM($P$137:$AA$137)-1)&gt;0.001)</formula>
    </cfRule>
  </conditionalFormatting>
  <conditionalFormatting sqref="P142:AA142">
    <cfRule type="expression" dxfId="100" priority="26">
      <formula>AND($M$142&gt;0,ABS(SUM($P$142:$AA$142)-1)&gt;0.001)</formula>
    </cfRule>
  </conditionalFormatting>
  <conditionalFormatting sqref="P147:AA147">
    <cfRule type="expression" dxfId="99" priority="27">
      <formula>AND($M$147&gt;0,ABS(SUM($P$147:$AA$147)-1)&gt;0.001)</formula>
    </cfRule>
  </conditionalFormatting>
  <conditionalFormatting sqref="P152:AA152">
    <cfRule type="expression" dxfId="98" priority="28">
      <formula>AND($M$152&gt;0,ABS(SUM($P$152:$AA$152)-1)&gt;0.001)</formula>
    </cfRule>
  </conditionalFormatting>
  <conditionalFormatting sqref="P157:AA157">
    <cfRule type="expression" dxfId="97" priority="29">
      <formula>AND($M$157&gt;0,ABS(SUM($P$157:$AA$157)-1)&gt;0.001)</formula>
    </cfRule>
  </conditionalFormatting>
  <conditionalFormatting sqref="P162:AA162">
    <cfRule type="expression" dxfId="96" priority="30">
      <formula>AND($M$162&gt;0,ABS(SUM($P$162:$AA$162)-1)&gt;0.001)</formula>
    </cfRule>
  </conditionalFormatting>
  <conditionalFormatting sqref="P167:AA167">
    <cfRule type="expression" dxfId="95" priority="31">
      <formula>AND($M$167&gt;0,ABS(SUM($P$167:$AA$167)-1)&gt;0.001)</formula>
    </cfRule>
  </conditionalFormatting>
  <conditionalFormatting sqref="P172:AA172">
    <cfRule type="expression" dxfId="94" priority="32">
      <formula>AND($M$172&gt;0,ABS(SUM($P$172:$AA$172)-1)&gt;0.001)</formula>
    </cfRule>
  </conditionalFormatting>
  <conditionalFormatting sqref="P177:AA177">
    <cfRule type="expression" dxfId="93" priority="33">
      <formula>AND($M$177&gt;0,ABS(SUM($P$177:$AA$177)-1)&gt;0.001)</formula>
    </cfRule>
  </conditionalFormatting>
  <conditionalFormatting sqref="P182:AA182">
    <cfRule type="expression" dxfId="92" priority="34">
      <formula>AND($M$182&gt;0,ABS(SUM($P$182:$AA$182)-1)&gt;0.001)</formula>
    </cfRule>
  </conditionalFormatting>
  <dataValidations count="1">
    <dataValidation type="list" sqref="D4" xr:uid="{00000000-0002-0000-0300-000000000000}">
      <formula1>"Industry average,+25%,+50%,Expert input"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  <pageSetUpPr fitToPage="1"/>
  </sheetPr>
  <dimension ref="A1:AX91"/>
  <sheetViews>
    <sheetView showGridLines="0" zoomScale="90" zoomScaleNormal="9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/>
    </sheetView>
  </sheetViews>
  <sheetFormatPr defaultColWidth="8.6640625" defaultRowHeight="14.4" outlineLevelRow="1"/>
  <cols>
    <col min="1" max="1" width="7" customWidth="1"/>
    <col min="2" max="2" width="36" customWidth="1"/>
    <col min="3" max="3" width="24" customWidth="1"/>
    <col min="4" max="4" width="17" customWidth="1"/>
    <col min="5" max="5" width="11" customWidth="1"/>
    <col min="6" max="6" width="26" customWidth="1"/>
    <col min="7" max="9" width="10" customWidth="1"/>
    <col min="10" max="10" width="12" customWidth="1"/>
    <col min="11" max="11" width="10" customWidth="1"/>
    <col min="12" max="13" width="11" customWidth="1"/>
    <col min="14" max="14" width="13" customWidth="1"/>
    <col min="15" max="26" width="7.44140625" customWidth="1"/>
    <col min="27" max="50" width="10" customWidth="1"/>
  </cols>
  <sheetData>
    <row r="1" spans="1:50" ht="17.399999999999999">
      <c r="A1" s="8" t="s">
        <v>293</v>
      </c>
    </row>
    <row r="2" spans="1:50">
      <c r="A2" s="9" t="str">
        <f>"Farm: "&amp;Settings!$C$6&amp;"     |     Plan year: "&amp;Settings!$C$7</f>
        <v>Farm: Chaka Buna Estate (Silva Forest Coffee)     |     Plan year: 2019 EFY (2026/27) – confirm</v>
      </c>
    </row>
    <row r="3" spans="1:50" ht="21.75" customHeight="1">
      <c r="B3" s="46" t="s">
        <v>99</v>
      </c>
      <c r="C3" s="47" t="s">
        <v>62</v>
      </c>
      <c r="D3" s="3" t="s">
        <v>100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5" spans="1:50">
      <c r="B5" s="48" t="s">
        <v>101</v>
      </c>
      <c r="F5" s="48" t="s">
        <v>102</v>
      </c>
    </row>
    <row r="6" spans="1:50" ht="23.85" customHeight="1">
      <c r="B6" s="18" t="s">
        <v>56</v>
      </c>
      <c r="C6" s="18" t="s">
        <v>55</v>
      </c>
      <c r="D6" s="18" t="s">
        <v>57</v>
      </c>
      <c r="E6" s="18" t="s">
        <v>58</v>
      </c>
      <c r="F6" s="18" t="s">
        <v>103</v>
      </c>
      <c r="M6" s="18" t="s">
        <v>60</v>
      </c>
      <c r="N6" s="18" t="s">
        <v>104</v>
      </c>
      <c r="O6" s="2" t="s">
        <v>105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 t="s">
        <v>106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0">
      <c r="B7" s="17" t="s">
        <v>294</v>
      </c>
      <c r="C7" s="49" t="s">
        <v>295</v>
      </c>
      <c r="D7" s="50" t="s">
        <v>112</v>
      </c>
      <c r="E7" s="44"/>
      <c r="F7" s="17" t="s">
        <v>62</v>
      </c>
      <c r="M7" s="51">
        <f>SUMIF($F$17:$F$91,"Industry average",M$17:M$91)</f>
        <v>0</v>
      </c>
      <c r="N7" s="52">
        <f>SUMIF($F$17:$F$91,"Industry average",N$17:N$91)</f>
        <v>0</v>
      </c>
    </row>
    <row r="8" spans="1:50">
      <c r="B8" s="17" t="s">
        <v>296</v>
      </c>
      <c r="C8" s="49" t="s">
        <v>297</v>
      </c>
      <c r="D8" s="50" t="s">
        <v>109</v>
      </c>
      <c r="E8" s="45"/>
      <c r="F8" s="17" t="s">
        <v>63</v>
      </c>
      <c r="M8" s="51">
        <f>SUMIF($F$17:$F$91,"+25%",M$17:M$91)</f>
        <v>0</v>
      </c>
      <c r="N8" s="52">
        <f>SUMIF($F$17:$F$91,"+25%",N$17:N$91)</f>
        <v>0</v>
      </c>
    </row>
    <row r="9" spans="1:50">
      <c r="B9" s="17" t="s">
        <v>298</v>
      </c>
      <c r="C9" s="49" t="s">
        <v>299</v>
      </c>
      <c r="D9" s="50" t="s">
        <v>300</v>
      </c>
      <c r="E9" s="52">
        <f>IFERROR($E$7/$E$8,0)</f>
        <v>0</v>
      </c>
      <c r="F9" s="17" t="s">
        <v>64</v>
      </c>
      <c r="M9" s="51">
        <f>SUMIF($F$17:$F$91,"+50%",M$17:M$91)</f>
        <v>0</v>
      </c>
      <c r="N9" s="52">
        <f>SUMIF($F$17:$F$91,"+50%",N$17:N$91)</f>
        <v>0</v>
      </c>
    </row>
    <row r="10" spans="1:50">
      <c r="F10" s="17" t="s">
        <v>65</v>
      </c>
      <c r="M10" s="51">
        <f>SUMIF($F$17:$F$91,"Expert input",M$17:M$91)</f>
        <v>0</v>
      </c>
      <c r="N10" s="52">
        <f>SUMIF($F$17:$F$91,"Expert input",N$17:N$91)</f>
        <v>0</v>
      </c>
    </row>
    <row r="11" spans="1:50">
      <c r="F11" s="16" t="s">
        <v>120</v>
      </c>
      <c r="M11" s="53">
        <f>SUMIF($F$17:$F$91,"Chaka Buna plan",M$17:M$91)</f>
        <v>0</v>
      </c>
      <c r="N11" s="54">
        <f>SUMIF($F$17:$F$91,"Chaka Buna plan",N$17:N$91)</f>
        <v>0</v>
      </c>
      <c r="O11" s="55">
        <f>IFERROR(AB11/$N$11,0)</f>
        <v>0</v>
      </c>
      <c r="P11" s="55">
        <f>IFERROR(AD11/$N$11,0)</f>
        <v>0</v>
      </c>
      <c r="Q11" s="55">
        <f>IFERROR(AF11/$N$11,0)</f>
        <v>0</v>
      </c>
      <c r="R11" s="55">
        <f>IFERROR(AH11/$N$11,0)</f>
        <v>0</v>
      </c>
      <c r="S11" s="55">
        <f>IFERROR(AJ11/$N$11,0)</f>
        <v>0</v>
      </c>
      <c r="T11" s="55">
        <f>IFERROR(AL11/$N$11,0)</f>
        <v>0</v>
      </c>
      <c r="U11" s="55">
        <f>IFERROR(AN11/$N$11,0)</f>
        <v>0</v>
      </c>
      <c r="V11" s="55">
        <f>IFERROR(AP11/$N$11,0)</f>
        <v>0</v>
      </c>
      <c r="W11" s="55">
        <f>IFERROR(AR11/$N$11,0)</f>
        <v>0</v>
      </c>
      <c r="X11" s="55">
        <f>IFERROR(AT11/$N$11,0)</f>
        <v>0</v>
      </c>
      <c r="Y11" s="55">
        <f>IFERROR(AV11/$N$11,0)</f>
        <v>0</v>
      </c>
      <c r="Z11" s="55">
        <f>IFERROR(AX11/$N$11,0)</f>
        <v>0</v>
      </c>
      <c r="AA11" s="53">
        <f t="shared" ref="AA11:AX11" si="0">SUM(AA17:AA91)</f>
        <v>0</v>
      </c>
      <c r="AB11" s="54">
        <f t="shared" si="0"/>
        <v>0</v>
      </c>
      <c r="AC11" s="53">
        <f t="shared" si="0"/>
        <v>0</v>
      </c>
      <c r="AD11" s="54">
        <f t="shared" si="0"/>
        <v>0</v>
      </c>
      <c r="AE11" s="53">
        <f t="shared" si="0"/>
        <v>0</v>
      </c>
      <c r="AF11" s="54">
        <f t="shared" si="0"/>
        <v>0</v>
      </c>
      <c r="AG11" s="53">
        <f t="shared" si="0"/>
        <v>0</v>
      </c>
      <c r="AH11" s="54">
        <f t="shared" si="0"/>
        <v>0</v>
      </c>
      <c r="AI11" s="53">
        <f t="shared" si="0"/>
        <v>0</v>
      </c>
      <c r="AJ11" s="54">
        <f t="shared" si="0"/>
        <v>0</v>
      </c>
      <c r="AK11" s="53">
        <f t="shared" si="0"/>
        <v>0</v>
      </c>
      <c r="AL11" s="54">
        <f t="shared" si="0"/>
        <v>0</v>
      </c>
      <c r="AM11" s="53">
        <f t="shared" si="0"/>
        <v>0</v>
      </c>
      <c r="AN11" s="54">
        <f t="shared" si="0"/>
        <v>0</v>
      </c>
      <c r="AO11" s="53">
        <f t="shared" si="0"/>
        <v>0</v>
      </c>
      <c r="AP11" s="54">
        <f t="shared" si="0"/>
        <v>0</v>
      </c>
      <c r="AQ11" s="53">
        <f t="shared" si="0"/>
        <v>0</v>
      </c>
      <c r="AR11" s="54">
        <f t="shared" si="0"/>
        <v>0</v>
      </c>
      <c r="AS11" s="53">
        <f t="shared" si="0"/>
        <v>0</v>
      </c>
      <c r="AT11" s="54">
        <f t="shared" si="0"/>
        <v>0</v>
      </c>
      <c r="AU11" s="53">
        <f t="shared" si="0"/>
        <v>0</v>
      </c>
      <c r="AV11" s="54">
        <f t="shared" si="0"/>
        <v>0</v>
      </c>
      <c r="AW11" s="53">
        <f t="shared" si="0"/>
        <v>0</v>
      </c>
      <c r="AX11" s="54">
        <f t="shared" si="0"/>
        <v>0</v>
      </c>
    </row>
    <row r="15" spans="1:50">
      <c r="A15" s="6" t="s">
        <v>121</v>
      </c>
      <c r="B15" s="6"/>
      <c r="C15" s="6"/>
      <c r="D15" s="6"/>
      <c r="E15" s="6"/>
      <c r="F15" s="5" t="s">
        <v>122</v>
      </c>
      <c r="G15" s="5"/>
      <c r="H15" s="5"/>
      <c r="I15" s="5"/>
      <c r="J15" s="1" t="s">
        <v>123</v>
      </c>
      <c r="K15" s="1"/>
      <c r="L15" s="4" t="s">
        <v>124</v>
      </c>
      <c r="M15" s="4"/>
      <c r="N15" s="4"/>
      <c r="O15" s="1" t="s">
        <v>125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4" t="s">
        <v>126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ht="57.75" customHeight="1">
      <c r="A16" s="56" t="s">
        <v>127</v>
      </c>
      <c r="B16" s="56" t="s">
        <v>128</v>
      </c>
      <c r="C16" s="56" t="s">
        <v>129</v>
      </c>
      <c r="D16" s="56" t="s">
        <v>130</v>
      </c>
      <c r="E16" s="56" t="s">
        <v>57</v>
      </c>
      <c r="F16" s="23" t="s">
        <v>103</v>
      </c>
      <c r="G16" s="23" t="s">
        <v>131</v>
      </c>
      <c r="H16" s="23" t="s">
        <v>132</v>
      </c>
      <c r="I16" s="23" t="s">
        <v>133</v>
      </c>
      <c r="J16" s="57" t="s">
        <v>134</v>
      </c>
      <c r="K16" s="57" t="s">
        <v>135</v>
      </c>
      <c r="L16" s="24" t="s">
        <v>136</v>
      </c>
      <c r="M16" s="24" t="s">
        <v>137</v>
      </c>
      <c r="N16" s="24" t="s">
        <v>138</v>
      </c>
      <c r="O16" s="57" t="s">
        <v>139</v>
      </c>
      <c r="P16" s="57" t="s">
        <v>140</v>
      </c>
      <c r="Q16" s="57" t="s">
        <v>141</v>
      </c>
      <c r="R16" s="57" t="s">
        <v>142</v>
      </c>
      <c r="S16" s="57" t="s">
        <v>143</v>
      </c>
      <c r="T16" s="57" t="s">
        <v>144</v>
      </c>
      <c r="U16" s="57" t="s">
        <v>145</v>
      </c>
      <c r="V16" s="57" t="s">
        <v>146</v>
      </c>
      <c r="W16" s="57" t="s">
        <v>147</v>
      </c>
      <c r="X16" s="57" t="s">
        <v>148</v>
      </c>
      <c r="Y16" s="57" t="s">
        <v>149</v>
      </c>
      <c r="Z16" s="57" t="s">
        <v>150</v>
      </c>
      <c r="AA16" s="24" t="s">
        <v>151</v>
      </c>
      <c r="AB16" s="24" t="s">
        <v>152</v>
      </c>
      <c r="AC16" s="24" t="s">
        <v>153</v>
      </c>
      <c r="AD16" s="24" t="s">
        <v>154</v>
      </c>
      <c r="AE16" s="24" t="s">
        <v>155</v>
      </c>
      <c r="AF16" s="24" t="s">
        <v>156</v>
      </c>
      <c r="AG16" s="24" t="s">
        <v>157</v>
      </c>
      <c r="AH16" s="24" t="s">
        <v>158</v>
      </c>
      <c r="AI16" s="24" t="s">
        <v>159</v>
      </c>
      <c r="AJ16" s="24" t="s">
        <v>160</v>
      </c>
      <c r="AK16" s="24" t="s">
        <v>161</v>
      </c>
      <c r="AL16" s="24" t="s">
        <v>162</v>
      </c>
      <c r="AM16" s="24" t="s">
        <v>163</v>
      </c>
      <c r="AN16" s="24" t="s">
        <v>164</v>
      </c>
      <c r="AO16" s="24" t="s">
        <v>165</v>
      </c>
      <c r="AP16" s="24" t="s">
        <v>166</v>
      </c>
      <c r="AQ16" s="24" t="s">
        <v>167</v>
      </c>
      <c r="AR16" s="24" t="s">
        <v>168</v>
      </c>
      <c r="AS16" s="24" t="s">
        <v>169</v>
      </c>
      <c r="AT16" s="24" t="s">
        <v>170</v>
      </c>
      <c r="AU16" s="24" t="s">
        <v>171</v>
      </c>
      <c r="AV16" s="24" t="s">
        <v>172</v>
      </c>
      <c r="AW16" s="24" t="s">
        <v>173</v>
      </c>
      <c r="AX16" s="24" t="s">
        <v>174</v>
      </c>
    </row>
    <row r="17" spans="1:50" outlineLevel="1">
      <c r="A17" s="58" t="s">
        <v>301</v>
      </c>
      <c r="B17" s="59" t="s">
        <v>302</v>
      </c>
      <c r="C17" s="60" t="s">
        <v>303</v>
      </c>
      <c r="D17" s="61" t="s">
        <v>304</v>
      </c>
      <c r="E17" s="62" t="s">
        <v>109</v>
      </c>
      <c r="F17" s="59" t="s">
        <v>62</v>
      </c>
      <c r="G17" s="63">
        <f>IFERROR(INDEX('Benchmark Data'!$AC$7:$AC$130,MATCH($A17,'Benchmark Data'!$A$7:$A$130,0)),0)</f>
        <v>20</v>
      </c>
      <c r="H17" s="64">
        <f>IFERROR(INDEX('Benchmark Data'!$AD$7:$AD$130,MATCH($A17,'Benchmark Data'!$A$7:$A$130,0)),0)</f>
        <v>200</v>
      </c>
      <c r="I17" s="65">
        <f t="shared" ref="I17:I48" si="1">G17*H17</f>
        <v>4000</v>
      </c>
      <c r="J17" s="66">
        <f>$E$8</f>
        <v>0</v>
      </c>
      <c r="K17" s="29">
        <f>IFERROR(INDEX('Benchmark Data'!$AE$7:$AE$130,MATCH($A17,'Benchmark Data'!$A$7:$A$130,0)),0)</f>
        <v>4</v>
      </c>
      <c r="L17" s="67">
        <f t="shared" ref="L17:L48" si="2">J17*K17</f>
        <v>0</v>
      </c>
      <c r="M17" s="68">
        <f t="shared" ref="M17:M48" si="3">L17*G17</f>
        <v>0</v>
      </c>
      <c r="N17" s="69">
        <f t="shared" ref="N17:N48" si="4">L17*I17</f>
        <v>0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</row>
    <row r="18" spans="1:50" outlineLevel="1">
      <c r="A18" s="71" t="s">
        <v>301</v>
      </c>
      <c r="B18" s="72" t="s">
        <v>302</v>
      </c>
      <c r="C18" s="73" t="s">
        <v>303</v>
      </c>
      <c r="D18" s="71" t="s">
        <v>304</v>
      </c>
      <c r="E18" s="74" t="s">
        <v>109</v>
      </c>
      <c r="F18" s="17" t="s">
        <v>63</v>
      </c>
      <c r="G18" s="75">
        <f>G17</f>
        <v>20</v>
      </c>
      <c r="H18" s="76">
        <f>H17*(1+Settings!$C$8)</f>
        <v>250</v>
      </c>
      <c r="I18" s="76">
        <f t="shared" si="1"/>
        <v>5000</v>
      </c>
      <c r="J18" s="77">
        <f>J17</f>
        <v>0</v>
      </c>
      <c r="K18" s="51">
        <f>K17</f>
        <v>4</v>
      </c>
      <c r="L18" s="52">
        <f t="shared" si="2"/>
        <v>0</v>
      </c>
      <c r="M18" s="51">
        <f t="shared" si="3"/>
        <v>0</v>
      </c>
      <c r="N18" s="78">
        <f t="shared" si="4"/>
        <v>0</v>
      </c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</row>
    <row r="19" spans="1:50" outlineLevel="1">
      <c r="A19" s="71" t="s">
        <v>301</v>
      </c>
      <c r="B19" s="72" t="s">
        <v>302</v>
      </c>
      <c r="C19" s="73" t="s">
        <v>303</v>
      </c>
      <c r="D19" s="71" t="s">
        <v>304</v>
      </c>
      <c r="E19" s="74" t="s">
        <v>109</v>
      </c>
      <c r="F19" s="17" t="s">
        <v>64</v>
      </c>
      <c r="G19" s="75">
        <f>G17</f>
        <v>20</v>
      </c>
      <c r="H19" s="76">
        <f>H17*(1+Settings!$C$9)</f>
        <v>300</v>
      </c>
      <c r="I19" s="76">
        <f t="shared" si="1"/>
        <v>6000</v>
      </c>
      <c r="J19" s="77">
        <f>J17</f>
        <v>0</v>
      </c>
      <c r="K19" s="51">
        <f>K17</f>
        <v>4</v>
      </c>
      <c r="L19" s="52">
        <f t="shared" si="2"/>
        <v>0</v>
      </c>
      <c r="M19" s="51">
        <f t="shared" si="3"/>
        <v>0</v>
      </c>
      <c r="N19" s="78">
        <f t="shared" si="4"/>
        <v>0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</row>
    <row r="20" spans="1:50" outlineLevel="1">
      <c r="A20" s="71" t="s">
        <v>301</v>
      </c>
      <c r="B20" s="72" t="s">
        <v>302</v>
      </c>
      <c r="C20" s="73" t="s">
        <v>303</v>
      </c>
      <c r="D20" s="71" t="s">
        <v>304</v>
      </c>
      <c r="E20" s="74" t="s">
        <v>109</v>
      </c>
      <c r="F20" s="17" t="s">
        <v>65</v>
      </c>
      <c r="G20" s="80">
        <f>G17</f>
        <v>20</v>
      </c>
      <c r="H20" s="81">
        <f>H17</f>
        <v>200</v>
      </c>
      <c r="I20" s="76">
        <f t="shared" si="1"/>
        <v>4000</v>
      </c>
      <c r="J20" s="77">
        <f>J17</f>
        <v>0</v>
      </c>
      <c r="K20" s="82">
        <f>K17</f>
        <v>4</v>
      </c>
      <c r="L20" s="52">
        <f t="shared" si="2"/>
        <v>0</v>
      </c>
      <c r="M20" s="51">
        <f t="shared" si="3"/>
        <v>0</v>
      </c>
      <c r="N20" s="78">
        <f t="shared" si="4"/>
        <v>0</v>
      </c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</row>
    <row r="21" spans="1:50">
      <c r="A21" s="83" t="s">
        <v>301</v>
      </c>
      <c r="B21" s="16" t="s">
        <v>302</v>
      </c>
      <c r="C21" s="84" t="s">
        <v>303</v>
      </c>
      <c r="D21" s="85" t="s">
        <v>304</v>
      </c>
      <c r="E21" s="86" t="s">
        <v>109</v>
      </c>
      <c r="F21" s="16" t="s">
        <v>179</v>
      </c>
      <c r="G21" s="87">
        <f>CHOOSE(IF(OR($C$3="Expert input",$I$17=0),4,IF($C$3="+25%",2,IF($C$3="+50%",3,1))),G17,G18,G19,G20)</f>
        <v>20</v>
      </c>
      <c r="H21" s="88">
        <f>CHOOSE(IF(OR($C$3="Expert input",$I$17=0),4,IF($C$3="+25%",2,IF($C$3="+50%",3,1))),H17,H18,H19,H20)</f>
        <v>200</v>
      </c>
      <c r="I21" s="88">
        <f t="shared" si="1"/>
        <v>4000</v>
      </c>
      <c r="J21" s="54">
        <f>J17</f>
        <v>0</v>
      </c>
      <c r="K21" s="53">
        <f>CHOOSE(IF(OR($C$3="Expert input",$I$17=0),4,IF($C$3="+25%",2,IF($C$3="+50%",3,1))),K17,K18,K19,K20)</f>
        <v>4</v>
      </c>
      <c r="L21" s="54">
        <f t="shared" si="2"/>
        <v>0</v>
      </c>
      <c r="M21" s="53">
        <f t="shared" si="3"/>
        <v>0</v>
      </c>
      <c r="N21" s="54">
        <f t="shared" si="4"/>
        <v>0</v>
      </c>
      <c r="O21" s="43">
        <v>0.25</v>
      </c>
      <c r="P21" s="43"/>
      <c r="Q21" s="43"/>
      <c r="R21" s="43">
        <v>0.25</v>
      </c>
      <c r="S21" s="43"/>
      <c r="T21" s="43"/>
      <c r="U21" s="43"/>
      <c r="V21" s="43">
        <v>0.25</v>
      </c>
      <c r="W21" s="43"/>
      <c r="X21" s="43"/>
      <c r="Y21" s="43">
        <v>0.25</v>
      </c>
      <c r="Z21" s="43"/>
      <c r="AA21" s="89">
        <f>O21*$M21</f>
        <v>0</v>
      </c>
      <c r="AB21" s="90">
        <f>O21*$N21</f>
        <v>0</v>
      </c>
      <c r="AC21" s="89">
        <f>P21*$M21</f>
        <v>0</v>
      </c>
      <c r="AD21" s="90">
        <f>P21*$N21</f>
        <v>0</v>
      </c>
      <c r="AE21" s="89">
        <f>Q21*$M21</f>
        <v>0</v>
      </c>
      <c r="AF21" s="90">
        <f>Q21*$N21</f>
        <v>0</v>
      </c>
      <c r="AG21" s="89">
        <f>R21*$M21</f>
        <v>0</v>
      </c>
      <c r="AH21" s="90">
        <f>R21*$N21</f>
        <v>0</v>
      </c>
      <c r="AI21" s="89">
        <f>S21*$M21</f>
        <v>0</v>
      </c>
      <c r="AJ21" s="90">
        <f>S21*$N21</f>
        <v>0</v>
      </c>
      <c r="AK21" s="89">
        <f>T21*$M21</f>
        <v>0</v>
      </c>
      <c r="AL21" s="90">
        <f>T21*$N21</f>
        <v>0</v>
      </c>
      <c r="AM21" s="89">
        <f>U21*$M21</f>
        <v>0</v>
      </c>
      <c r="AN21" s="90">
        <f>U21*$N21</f>
        <v>0</v>
      </c>
      <c r="AO21" s="89">
        <f>V21*$M21</f>
        <v>0</v>
      </c>
      <c r="AP21" s="90">
        <f>V21*$N21</f>
        <v>0</v>
      </c>
      <c r="AQ21" s="89">
        <f>W21*$M21</f>
        <v>0</v>
      </c>
      <c r="AR21" s="90">
        <f>W21*$N21</f>
        <v>0</v>
      </c>
      <c r="AS21" s="89">
        <f>X21*$M21</f>
        <v>0</v>
      </c>
      <c r="AT21" s="90">
        <f>X21*$N21</f>
        <v>0</v>
      </c>
      <c r="AU21" s="89">
        <f>Y21*$M21</f>
        <v>0</v>
      </c>
      <c r="AV21" s="90">
        <f>Y21*$N21</f>
        <v>0</v>
      </c>
      <c r="AW21" s="89">
        <f>Z21*$M21</f>
        <v>0</v>
      </c>
      <c r="AX21" s="90">
        <f>Z21*$N21</f>
        <v>0</v>
      </c>
    </row>
    <row r="22" spans="1:50" outlineLevel="1">
      <c r="A22" s="58" t="s">
        <v>305</v>
      </c>
      <c r="B22" s="59" t="s">
        <v>306</v>
      </c>
      <c r="C22" s="60" t="s">
        <v>307</v>
      </c>
      <c r="D22" s="61" t="s">
        <v>304</v>
      </c>
      <c r="E22" s="62" t="s">
        <v>308</v>
      </c>
      <c r="F22" s="59" t="s">
        <v>62</v>
      </c>
      <c r="G22" s="63">
        <f>IFERROR(INDEX('Benchmark Data'!$AC$7:$AC$130,MATCH($A22,'Benchmark Data'!$A$7:$A$130,0)),0)</f>
        <v>9.6666666666666654E-3</v>
      </c>
      <c r="H22" s="64">
        <f>IFERROR(INDEX('Benchmark Data'!$AD$7:$AD$130,MATCH($A22,'Benchmark Data'!$A$7:$A$130,0)),0)</f>
        <v>168.96551724137936</v>
      </c>
      <c r="I22" s="65">
        <f t="shared" si="1"/>
        <v>1.6333333333333335</v>
      </c>
      <c r="J22" s="66">
        <f>$E$7</f>
        <v>0</v>
      </c>
      <c r="K22" s="29">
        <f>IFERROR(INDEX('Benchmark Data'!$AE$7:$AE$130,MATCH($A22,'Benchmark Data'!$A$7:$A$130,0)),0)</f>
        <v>1</v>
      </c>
      <c r="L22" s="67">
        <f t="shared" si="2"/>
        <v>0</v>
      </c>
      <c r="M22" s="68">
        <f t="shared" si="3"/>
        <v>0</v>
      </c>
      <c r="N22" s="69">
        <f t="shared" si="4"/>
        <v>0</v>
      </c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</row>
    <row r="23" spans="1:50" outlineLevel="1">
      <c r="A23" s="71" t="s">
        <v>305</v>
      </c>
      <c r="B23" s="72" t="s">
        <v>306</v>
      </c>
      <c r="C23" s="73" t="s">
        <v>307</v>
      </c>
      <c r="D23" s="71" t="s">
        <v>304</v>
      </c>
      <c r="E23" s="74" t="s">
        <v>308</v>
      </c>
      <c r="F23" s="17" t="s">
        <v>63</v>
      </c>
      <c r="G23" s="75">
        <f>G22</f>
        <v>9.6666666666666654E-3</v>
      </c>
      <c r="H23" s="76">
        <f>H22*(1+Settings!$C$8)</f>
        <v>211.20689655172418</v>
      </c>
      <c r="I23" s="76">
        <f t="shared" si="1"/>
        <v>2.041666666666667</v>
      </c>
      <c r="J23" s="77">
        <f>J22</f>
        <v>0</v>
      </c>
      <c r="K23" s="51">
        <f>K22</f>
        <v>1</v>
      </c>
      <c r="L23" s="52">
        <f t="shared" si="2"/>
        <v>0</v>
      </c>
      <c r="M23" s="51">
        <f t="shared" si="3"/>
        <v>0</v>
      </c>
      <c r="N23" s="78">
        <f t="shared" si="4"/>
        <v>0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</row>
    <row r="24" spans="1:50" outlineLevel="1">
      <c r="A24" s="71" t="s">
        <v>305</v>
      </c>
      <c r="B24" s="72" t="s">
        <v>306</v>
      </c>
      <c r="C24" s="73" t="s">
        <v>307</v>
      </c>
      <c r="D24" s="71" t="s">
        <v>304</v>
      </c>
      <c r="E24" s="74" t="s">
        <v>308</v>
      </c>
      <c r="F24" s="17" t="s">
        <v>64</v>
      </c>
      <c r="G24" s="75">
        <f>G22</f>
        <v>9.6666666666666654E-3</v>
      </c>
      <c r="H24" s="76">
        <f>H22*(1+Settings!$C$9)</f>
        <v>253.44827586206904</v>
      </c>
      <c r="I24" s="76">
        <f t="shared" si="1"/>
        <v>2.4500000000000002</v>
      </c>
      <c r="J24" s="77">
        <f>J22</f>
        <v>0</v>
      </c>
      <c r="K24" s="51">
        <f>K22</f>
        <v>1</v>
      </c>
      <c r="L24" s="52">
        <f t="shared" si="2"/>
        <v>0</v>
      </c>
      <c r="M24" s="51">
        <f t="shared" si="3"/>
        <v>0</v>
      </c>
      <c r="N24" s="78">
        <f t="shared" si="4"/>
        <v>0</v>
      </c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</row>
    <row r="25" spans="1:50" outlineLevel="1">
      <c r="A25" s="71" t="s">
        <v>305</v>
      </c>
      <c r="B25" s="72" t="s">
        <v>306</v>
      </c>
      <c r="C25" s="73" t="s">
        <v>307</v>
      </c>
      <c r="D25" s="71" t="s">
        <v>304</v>
      </c>
      <c r="E25" s="74" t="s">
        <v>308</v>
      </c>
      <c r="F25" s="17" t="s">
        <v>65</v>
      </c>
      <c r="G25" s="80">
        <f>G22</f>
        <v>9.6666666666666654E-3</v>
      </c>
      <c r="H25" s="81">
        <f>H22</f>
        <v>168.96551724137936</v>
      </c>
      <c r="I25" s="76">
        <f t="shared" si="1"/>
        <v>1.6333333333333335</v>
      </c>
      <c r="J25" s="77">
        <f>J22</f>
        <v>0</v>
      </c>
      <c r="K25" s="82">
        <f>K22</f>
        <v>1</v>
      </c>
      <c r="L25" s="52">
        <f t="shared" si="2"/>
        <v>0</v>
      </c>
      <c r="M25" s="51">
        <f t="shared" si="3"/>
        <v>0</v>
      </c>
      <c r="N25" s="78">
        <f t="shared" si="4"/>
        <v>0</v>
      </c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</row>
    <row r="26" spans="1:50">
      <c r="A26" s="83" t="s">
        <v>305</v>
      </c>
      <c r="B26" s="16" t="s">
        <v>306</v>
      </c>
      <c r="C26" s="84" t="s">
        <v>307</v>
      </c>
      <c r="D26" s="85" t="s">
        <v>304</v>
      </c>
      <c r="E26" s="86" t="s">
        <v>308</v>
      </c>
      <c r="F26" s="16" t="s">
        <v>179</v>
      </c>
      <c r="G26" s="87">
        <f>CHOOSE(IF(OR($C$3="Expert input",$I$22=0),4,IF($C$3="+25%",2,IF($C$3="+50%",3,1))),G22,G23,G24,G25)</f>
        <v>9.6666666666666654E-3</v>
      </c>
      <c r="H26" s="88">
        <f>CHOOSE(IF(OR($C$3="Expert input",$I$22=0),4,IF($C$3="+25%",2,IF($C$3="+50%",3,1))),H22,H23,H24,H25)</f>
        <v>168.96551724137936</v>
      </c>
      <c r="I26" s="88">
        <f t="shared" si="1"/>
        <v>1.6333333333333335</v>
      </c>
      <c r="J26" s="54">
        <f>J22</f>
        <v>0</v>
      </c>
      <c r="K26" s="53">
        <f>CHOOSE(IF(OR($C$3="Expert input",$I$22=0),4,IF($C$3="+25%",2,IF($C$3="+50%",3,1))),K22,K23,K24,K25)</f>
        <v>1</v>
      </c>
      <c r="L26" s="54">
        <f t="shared" si="2"/>
        <v>0</v>
      </c>
      <c r="M26" s="53">
        <f t="shared" si="3"/>
        <v>0</v>
      </c>
      <c r="N26" s="54">
        <f t="shared" si="4"/>
        <v>0</v>
      </c>
      <c r="O26" s="43"/>
      <c r="P26" s="43">
        <v>0.17</v>
      </c>
      <c r="Q26" s="43">
        <v>0.17</v>
      </c>
      <c r="R26" s="43"/>
      <c r="S26" s="43"/>
      <c r="T26" s="43"/>
      <c r="U26" s="43"/>
      <c r="V26" s="43">
        <v>0.33</v>
      </c>
      <c r="W26" s="43"/>
      <c r="X26" s="43">
        <v>0.33</v>
      </c>
      <c r="Y26" s="43"/>
      <c r="Z26" s="43"/>
      <c r="AA26" s="89">
        <f>O26*$M26</f>
        <v>0</v>
      </c>
      <c r="AB26" s="90">
        <f>O26*$N26</f>
        <v>0</v>
      </c>
      <c r="AC26" s="89">
        <f>P26*$M26</f>
        <v>0</v>
      </c>
      <c r="AD26" s="90">
        <f>P26*$N26</f>
        <v>0</v>
      </c>
      <c r="AE26" s="89">
        <f>Q26*$M26</f>
        <v>0</v>
      </c>
      <c r="AF26" s="90">
        <f>Q26*$N26</f>
        <v>0</v>
      </c>
      <c r="AG26" s="89">
        <f>R26*$M26</f>
        <v>0</v>
      </c>
      <c r="AH26" s="90">
        <f>R26*$N26</f>
        <v>0</v>
      </c>
      <c r="AI26" s="89">
        <f>S26*$M26</f>
        <v>0</v>
      </c>
      <c r="AJ26" s="90">
        <f>S26*$N26</f>
        <v>0</v>
      </c>
      <c r="AK26" s="89">
        <f>T26*$M26</f>
        <v>0</v>
      </c>
      <c r="AL26" s="90">
        <f>T26*$N26</f>
        <v>0</v>
      </c>
      <c r="AM26" s="89">
        <f>U26*$M26</f>
        <v>0</v>
      </c>
      <c r="AN26" s="90">
        <f>U26*$N26</f>
        <v>0</v>
      </c>
      <c r="AO26" s="89">
        <f>V26*$M26</f>
        <v>0</v>
      </c>
      <c r="AP26" s="90">
        <f>V26*$N26</f>
        <v>0</v>
      </c>
      <c r="AQ26" s="89">
        <f>W26*$M26</f>
        <v>0</v>
      </c>
      <c r="AR26" s="90">
        <f>W26*$N26</f>
        <v>0</v>
      </c>
      <c r="AS26" s="89">
        <f>X26*$M26</f>
        <v>0</v>
      </c>
      <c r="AT26" s="90">
        <f>X26*$N26</f>
        <v>0</v>
      </c>
      <c r="AU26" s="89">
        <f>Y26*$M26</f>
        <v>0</v>
      </c>
      <c r="AV26" s="90">
        <f>Y26*$N26</f>
        <v>0</v>
      </c>
      <c r="AW26" s="89">
        <f>Z26*$M26</f>
        <v>0</v>
      </c>
      <c r="AX26" s="90">
        <f>Z26*$N26</f>
        <v>0</v>
      </c>
    </row>
    <row r="27" spans="1:50" outlineLevel="1">
      <c r="A27" s="58" t="s">
        <v>309</v>
      </c>
      <c r="B27" s="59" t="s">
        <v>310</v>
      </c>
      <c r="C27" s="60" t="s">
        <v>311</v>
      </c>
      <c r="D27" s="61" t="s">
        <v>304</v>
      </c>
      <c r="E27" s="62" t="s">
        <v>308</v>
      </c>
      <c r="F27" s="59" t="s">
        <v>62</v>
      </c>
      <c r="G27" s="63">
        <f>IFERROR(INDEX('Benchmark Data'!$AC$7:$AC$130,MATCH($A27,'Benchmark Data'!$A$7:$A$130,0)),0)</f>
        <v>9.6666666666666654E-3</v>
      </c>
      <c r="H27" s="64">
        <f>IFERROR(INDEX('Benchmark Data'!$AD$7:$AD$130,MATCH($A27,'Benchmark Data'!$A$7:$A$130,0)),0)</f>
        <v>134.48275862068968</v>
      </c>
      <c r="I27" s="65">
        <f t="shared" si="1"/>
        <v>1.3</v>
      </c>
      <c r="J27" s="66">
        <f>$E$7</f>
        <v>0</v>
      </c>
      <c r="K27" s="29">
        <f>IFERROR(INDEX('Benchmark Data'!$AE$7:$AE$130,MATCH($A27,'Benchmark Data'!$A$7:$A$130,0)),0)</f>
        <v>2</v>
      </c>
      <c r="L27" s="67">
        <f t="shared" si="2"/>
        <v>0</v>
      </c>
      <c r="M27" s="68">
        <f t="shared" si="3"/>
        <v>0</v>
      </c>
      <c r="N27" s="69">
        <f t="shared" si="4"/>
        <v>0</v>
      </c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</row>
    <row r="28" spans="1:50" outlineLevel="1">
      <c r="A28" s="71" t="s">
        <v>309</v>
      </c>
      <c r="B28" s="72" t="s">
        <v>310</v>
      </c>
      <c r="C28" s="73" t="s">
        <v>311</v>
      </c>
      <c r="D28" s="71" t="s">
        <v>304</v>
      </c>
      <c r="E28" s="74" t="s">
        <v>308</v>
      </c>
      <c r="F28" s="17" t="s">
        <v>63</v>
      </c>
      <c r="G28" s="75">
        <f>G27</f>
        <v>9.6666666666666654E-3</v>
      </c>
      <c r="H28" s="76">
        <f>H27*(1+Settings!$C$8)</f>
        <v>168.10344827586209</v>
      </c>
      <c r="I28" s="76">
        <f t="shared" si="1"/>
        <v>1.625</v>
      </c>
      <c r="J28" s="77">
        <f>J27</f>
        <v>0</v>
      </c>
      <c r="K28" s="51">
        <f>K27</f>
        <v>2</v>
      </c>
      <c r="L28" s="52">
        <f t="shared" si="2"/>
        <v>0</v>
      </c>
      <c r="M28" s="51">
        <f t="shared" si="3"/>
        <v>0</v>
      </c>
      <c r="N28" s="78">
        <f t="shared" si="4"/>
        <v>0</v>
      </c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</row>
    <row r="29" spans="1:50" outlineLevel="1">
      <c r="A29" s="71" t="s">
        <v>309</v>
      </c>
      <c r="B29" s="72" t="s">
        <v>310</v>
      </c>
      <c r="C29" s="73" t="s">
        <v>311</v>
      </c>
      <c r="D29" s="71" t="s">
        <v>304</v>
      </c>
      <c r="E29" s="74" t="s">
        <v>308</v>
      </c>
      <c r="F29" s="17" t="s">
        <v>64</v>
      </c>
      <c r="G29" s="75">
        <f>G27</f>
        <v>9.6666666666666654E-3</v>
      </c>
      <c r="H29" s="76">
        <f>H27*(1+Settings!$C$9)</f>
        <v>201.72413793103453</v>
      </c>
      <c r="I29" s="76">
        <f t="shared" si="1"/>
        <v>1.9500000000000002</v>
      </c>
      <c r="J29" s="77">
        <f>J27</f>
        <v>0</v>
      </c>
      <c r="K29" s="51">
        <f>K27</f>
        <v>2</v>
      </c>
      <c r="L29" s="52">
        <f t="shared" si="2"/>
        <v>0</v>
      </c>
      <c r="M29" s="51">
        <f t="shared" si="3"/>
        <v>0</v>
      </c>
      <c r="N29" s="78">
        <f t="shared" si="4"/>
        <v>0</v>
      </c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</row>
    <row r="30" spans="1:50" outlineLevel="1">
      <c r="A30" s="71" t="s">
        <v>309</v>
      </c>
      <c r="B30" s="72" t="s">
        <v>310</v>
      </c>
      <c r="C30" s="73" t="s">
        <v>311</v>
      </c>
      <c r="D30" s="71" t="s">
        <v>304</v>
      </c>
      <c r="E30" s="74" t="s">
        <v>308</v>
      </c>
      <c r="F30" s="17" t="s">
        <v>65</v>
      </c>
      <c r="G30" s="80">
        <f>G27</f>
        <v>9.6666666666666654E-3</v>
      </c>
      <c r="H30" s="81">
        <f>H27</f>
        <v>134.48275862068968</v>
      </c>
      <c r="I30" s="76">
        <f t="shared" si="1"/>
        <v>1.3</v>
      </c>
      <c r="J30" s="77">
        <f>J27</f>
        <v>0</v>
      </c>
      <c r="K30" s="82">
        <f>K27</f>
        <v>2</v>
      </c>
      <c r="L30" s="52">
        <f t="shared" si="2"/>
        <v>0</v>
      </c>
      <c r="M30" s="51">
        <f t="shared" si="3"/>
        <v>0</v>
      </c>
      <c r="N30" s="78">
        <f t="shared" si="4"/>
        <v>0</v>
      </c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</row>
    <row r="31" spans="1:50">
      <c r="A31" s="83" t="s">
        <v>309</v>
      </c>
      <c r="B31" s="16" t="s">
        <v>310</v>
      </c>
      <c r="C31" s="84" t="s">
        <v>311</v>
      </c>
      <c r="D31" s="85" t="s">
        <v>304</v>
      </c>
      <c r="E31" s="86" t="s">
        <v>308</v>
      </c>
      <c r="F31" s="16" t="s">
        <v>179</v>
      </c>
      <c r="G31" s="87">
        <f>CHOOSE(IF(OR($C$3="Expert input",$I$27=0),4,IF($C$3="+25%",2,IF($C$3="+50%",3,1))),G27,G28,G29,G30)</f>
        <v>9.6666666666666654E-3</v>
      </c>
      <c r="H31" s="88">
        <f>CHOOSE(IF(OR($C$3="Expert input",$I$27=0),4,IF($C$3="+25%",2,IF($C$3="+50%",3,1))),H27,H28,H29,H30)</f>
        <v>134.48275862068968</v>
      </c>
      <c r="I31" s="88">
        <f t="shared" si="1"/>
        <v>1.3</v>
      </c>
      <c r="J31" s="54">
        <f>J27</f>
        <v>0</v>
      </c>
      <c r="K31" s="53">
        <f>CHOOSE(IF(OR($C$3="Expert input",$I$27=0),4,IF($C$3="+25%",2,IF($C$3="+50%",3,1))),K27,K28,K29,K30)</f>
        <v>2</v>
      </c>
      <c r="L31" s="54">
        <f t="shared" si="2"/>
        <v>0</v>
      </c>
      <c r="M31" s="53">
        <f t="shared" si="3"/>
        <v>0</v>
      </c>
      <c r="N31" s="54">
        <f t="shared" si="4"/>
        <v>0</v>
      </c>
      <c r="O31" s="43">
        <v>0.17</v>
      </c>
      <c r="P31" s="43"/>
      <c r="Q31" s="43">
        <v>0.17</v>
      </c>
      <c r="R31" s="43"/>
      <c r="S31" s="43"/>
      <c r="T31" s="43">
        <v>0.17</v>
      </c>
      <c r="U31" s="43"/>
      <c r="V31" s="43"/>
      <c r="W31" s="43"/>
      <c r="X31" s="43">
        <v>0.17</v>
      </c>
      <c r="Y31" s="43"/>
      <c r="Z31" s="43">
        <v>0.32</v>
      </c>
      <c r="AA31" s="89">
        <f>O31*$M31</f>
        <v>0</v>
      </c>
      <c r="AB31" s="90">
        <f>O31*$N31</f>
        <v>0</v>
      </c>
      <c r="AC31" s="89">
        <f>P31*$M31</f>
        <v>0</v>
      </c>
      <c r="AD31" s="90">
        <f>P31*$N31</f>
        <v>0</v>
      </c>
      <c r="AE31" s="89">
        <f>Q31*$M31</f>
        <v>0</v>
      </c>
      <c r="AF31" s="90">
        <f>Q31*$N31</f>
        <v>0</v>
      </c>
      <c r="AG31" s="89">
        <f>R31*$M31</f>
        <v>0</v>
      </c>
      <c r="AH31" s="90">
        <f>R31*$N31</f>
        <v>0</v>
      </c>
      <c r="AI31" s="89">
        <f>S31*$M31</f>
        <v>0</v>
      </c>
      <c r="AJ31" s="90">
        <f>S31*$N31</f>
        <v>0</v>
      </c>
      <c r="AK31" s="89">
        <f>T31*$M31</f>
        <v>0</v>
      </c>
      <c r="AL31" s="90">
        <f>T31*$N31</f>
        <v>0</v>
      </c>
      <c r="AM31" s="89">
        <f>U31*$M31</f>
        <v>0</v>
      </c>
      <c r="AN31" s="90">
        <f>U31*$N31</f>
        <v>0</v>
      </c>
      <c r="AO31" s="89">
        <f>V31*$M31</f>
        <v>0</v>
      </c>
      <c r="AP31" s="90">
        <f>V31*$N31</f>
        <v>0</v>
      </c>
      <c r="AQ31" s="89">
        <f>W31*$M31</f>
        <v>0</v>
      </c>
      <c r="AR31" s="90">
        <f>W31*$N31</f>
        <v>0</v>
      </c>
      <c r="AS31" s="89">
        <f>X31*$M31</f>
        <v>0</v>
      </c>
      <c r="AT31" s="90">
        <f>X31*$N31</f>
        <v>0</v>
      </c>
      <c r="AU31" s="89">
        <f>Y31*$M31</f>
        <v>0</v>
      </c>
      <c r="AV31" s="90">
        <f>Y31*$N31</f>
        <v>0</v>
      </c>
      <c r="AW31" s="89">
        <f>Z31*$M31</f>
        <v>0</v>
      </c>
      <c r="AX31" s="90">
        <f>Z31*$N31</f>
        <v>0</v>
      </c>
    </row>
    <row r="32" spans="1:50" outlineLevel="1">
      <c r="A32" s="58" t="s">
        <v>312</v>
      </c>
      <c r="B32" s="59" t="s">
        <v>228</v>
      </c>
      <c r="C32" s="60" t="s">
        <v>313</v>
      </c>
      <c r="D32" s="61" t="s">
        <v>304</v>
      </c>
      <c r="E32" s="62" t="s">
        <v>308</v>
      </c>
      <c r="F32" s="59" t="s">
        <v>62</v>
      </c>
      <c r="G32" s="63">
        <f>IFERROR(INDEX('Benchmark Data'!$AC$7:$AC$130,MATCH($A32,'Benchmark Data'!$A$7:$A$130,0)),0)</f>
        <v>0.01</v>
      </c>
      <c r="H32" s="64">
        <f>IFERROR(INDEX('Benchmark Data'!$AD$7:$AD$130,MATCH($A32,'Benchmark Data'!$A$7:$A$130,0)),0)</f>
        <v>120</v>
      </c>
      <c r="I32" s="65">
        <f t="shared" si="1"/>
        <v>1.2</v>
      </c>
      <c r="J32" s="66">
        <f>$E$7</f>
        <v>0</v>
      </c>
      <c r="K32" s="29">
        <f>IFERROR(INDEX('Benchmark Data'!$AE$7:$AE$130,MATCH($A32,'Benchmark Data'!$A$7:$A$130,0)),0)</f>
        <v>1</v>
      </c>
      <c r="L32" s="67">
        <f t="shared" si="2"/>
        <v>0</v>
      </c>
      <c r="M32" s="68">
        <f t="shared" si="3"/>
        <v>0</v>
      </c>
      <c r="N32" s="69">
        <f t="shared" si="4"/>
        <v>0</v>
      </c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</row>
    <row r="33" spans="1:50" outlineLevel="1">
      <c r="A33" s="71" t="s">
        <v>312</v>
      </c>
      <c r="B33" s="72" t="s">
        <v>228</v>
      </c>
      <c r="C33" s="73" t="s">
        <v>313</v>
      </c>
      <c r="D33" s="71" t="s">
        <v>304</v>
      </c>
      <c r="E33" s="74" t="s">
        <v>308</v>
      </c>
      <c r="F33" s="17" t="s">
        <v>63</v>
      </c>
      <c r="G33" s="75">
        <f>G32</f>
        <v>0.01</v>
      </c>
      <c r="H33" s="76">
        <f>H32*(1+Settings!$C$8)</f>
        <v>150</v>
      </c>
      <c r="I33" s="76">
        <f t="shared" si="1"/>
        <v>1.5</v>
      </c>
      <c r="J33" s="77">
        <f>J32</f>
        <v>0</v>
      </c>
      <c r="K33" s="51">
        <f>K32</f>
        <v>1</v>
      </c>
      <c r="L33" s="52">
        <f t="shared" si="2"/>
        <v>0</v>
      </c>
      <c r="M33" s="51">
        <f t="shared" si="3"/>
        <v>0</v>
      </c>
      <c r="N33" s="78">
        <f t="shared" si="4"/>
        <v>0</v>
      </c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</row>
    <row r="34" spans="1:50" outlineLevel="1">
      <c r="A34" s="71" t="s">
        <v>312</v>
      </c>
      <c r="B34" s="72" t="s">
        <v>228</v>
      </c>
      <c r="C34" s="73" t="s">
        <v>313</v>
      </c>
      <c r="D34" s="71" t="s">
        <v>304</v>
      </c>
      <c r="E34" s="74" t="s">
        <v>308</v>
      </c>
      <c r="F34" s="17" t="s">
        <v>64</v>
      </c>
      <c r="G34" s="75">
        <f>G32</f>
        <v>0.01</v>
      </c>
      <c r="H34" s="76">
        <f>H32*(1+Settings!$C$9)</f>
        <v>180</v>
      </c>
      <c r="I34" s="76">
        <f t="shared" si="1"/>
        <v>1.8</v>
      </c>
      <c r="J34" s="77">
        <f>J32</f>
        <v>0</v>
      </c>
      <c r="K34" s="51">
        <f>K32</f>
        <v>1</v>
      </c>
      <c r="L34" s="52">
        <f t="shared" si="2"/>
        <v>0</v>
      </c>
      <c r="M34" s="51">
        <f t="shared" si="3"/>
        <v>0</v>
      </c>
      <c r="N34" s="78">
        <f t="shared" si="4"/>
        <v>0</v>
      </c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</row>
    <row r="35" spans="1:50" outlineLevel="1">
      <c r="A35" s="71" t="s">
        <v>312</v>
      </c>
      <c r="B35" s="72" t="s">
        <v>228</v>
      </c>
      <c r="C35" s="73" t="s">
        <v>313</v>
      </c>
      <c r="D35" s="71" t="s">
        <v>304</v>
      </c>
      <c r="E35" s="74" t="s">
        <v>308</v>
      </c>
      <c r="F35" s="17" t="s">
        <v>65</v>
      </c>
      <c r="G35" s="80">
        <f>G32</f>
        <v>0.01</v>
      </c>
      <c r="H35" s="81">
        <f>H32</f>
        <v>120</v>
      </c>
      <c r="I35" s="76">
        <f t="shared" si="1"/>
        <v>1.2</v>
      </c>
      <c r="J35" s="77">
        <f>J32</f>
        <v>0</v>
      </c>
      <c r="K35" s="82">
        <f>K32</f>
        <v>1</v>
      </c>
      <c r="L35" s="52">
        <f t="shared" si="2"/>
        <v>0</v>
      </c>
      <c r="M35" s="51">
        <f t="shared" si="3"/>
        <v>0</v>
      </c>
      <c r="N35" s="78">
        <f t="shared" si="4"/>
        <v>0</v>
      </c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</row>
    <row r="36" spans="1:50">
      <c r="A36" s="83" t="s">
        <v>312</v>
      </c>
      <c r="B36" s="16" t="s">
        <v>228</v>
      </c>
      <c r="C36" s="84" t="s">
        <v>313</v>
      </c>
      <c r="D36" s="85" t="s">
        <v>304</v>
      </c>
      <c r="E36" s="86" t="s">
        <v>308</v>
      </c>
      <c r="F36" s="16" t="s">
        <v>179</v>
      </c>
      <c r="G36" s="87">
        <f>CHOOSE(IF(OR($C$3="Expert input",$I$32=0),4,IF($C$3="+25%",2,IF($C$3="+50%",3,1))),G32,G33,G34,G35)</f>
        <v>0.01</v>
      </c>
      <c r="H36" s="88">
        <f>CHOOSE(IF(OR($C$3="Expert input",$I$32=0),4,IF($C$3="+25%",2,IF($C$3="+50%",3,1))),H32,H33,H34,H35)</f>
        <v>120</v>
      </c>
      <c r="I36" s="88">
        <f t="shared" si="1"/>
        <v>1.2</v>
      </c>
      <c r="J36" s="54">
        <f>J32</f>
        <v>0</v>
      </c>
      <c r="K36" s="53">
        <f>CHOOSE(IF(OR($C$3="Expert input",$I$32=0),4,IF($C$3="+25%",2,IF($C$3="+50%",3,1))),K32,K33,K34,K35)</f>
        <v>1</v>
      </c>
      <c r="L36" s="54">
        <f t="shared" si="2"/>
        <v>0</v>
      </c>
      <c r="M36" s="53">
        <f t="shared" si="3"/>
        <v>0</v>
      </c>
      <c r="N36" s="54">
        <f t="shared" si="4"/>
        <v>0</v>
      </c>
      <c r="O36" s="43"/>
      <c r="P36" s="43"/>
      <c r="Q36" s="43"/>
      <c r="R36" s="43">
        <v>1</v>
      </c>
      <c r="S36" s="43"/>
      <c r="T36" s="43"/>
      <c r="U36" s="43"/>
      <c r="V36" s="43"/>
      <c r="W36" s="43"/>
      <c r="X36" s="43"/>
      <c r="Y36" s="43"/>
      <c r="Z36" s="43"/>
      <c r="AA36" s="89">
        <f>O36*$M36</f>
        <v>0</v>
      </c>
      <c r="AB36" s="90">
        <f>O36*$N36</f>
        <v>0</v>
      </c>
      <c r="AC36" s="89">
        <f>P36*$M36</f>
        <v>0</v>
      </c>
      <c r="AD36" s="90">
        <f>P36*$N36</f>
        <v>0</v>
      </c>
      <c r="AE36" s="89">
        <f>Q36*$M36</f>
        <v>0</v>
      </c>
      <c r="AF36" s="90">
        <f>Q36*$N36</f>
        <v>0</v>
      </c>
      <c r="AG36" s="89">
        <f>R36*$M36</f>
        <v>0</v>
      </c>
      <c r="AH36" s="90">
        <f>R36*$N36</f>
        <v>0</v>
      </c>
      <c r="AI36" s="89">
        <f>S36*$M36</f>
        <v>0</v>
      </c>
      <c r="AJ36" s="90">
        <f>S36*$N36</f>
        <v>0</v>
      </c>
      <c r="AK36" s="89">
        <f>T36*$M36</f>
        <v>0</v>
      </c>
      <c r="AL36" s="90">
        <f>T36*$N36</f>
        <v>0</v>
      </c>
      <c r="AM36" s="89">
        <f>U36*$M36</f>
        <v>0</v>
      </c>
      <c r="AN36" s="90">
        <f>U36*$N36</f>
        <v>0</v>
      </c>
      <c r="AO36" s="89">
        <f>V36*$M36</f>
        <v>0</v>
      </c>
      <c r="AP36" s="90">
        <f>V36*$N36</f>
        <v>0</v>
      </c>
      <c r="AQ36" s="89">
        <f>W36*$M36</f>
        <v>0</v>
      </c>
      <c r="AR36" s="90">
        <f>W36*$N36</f>
        <v>0</v>
      </c>
      <c r="AS36" s="89">
        <f>X36*$M36</f>
        <v>0</v>
      </c>
      <c r="AT36" s="90">
        <f>X36*$N36</f>
        <v>0</v>
      </c>
      <c r="AU36" s="89">
        <f>Y36*$M36</f>
        <v>0</v>
      </c>
      <c r="AV36" s="90">
        <f>Y36*$N36</f>
        <v>0</v>
      </c>
      <c r="AW36" s="89">
        <f>Z36*$M36</f>
        <v>0</v>
      </c>
      <c r="AX36" s="90">
        <f>Z36*$N36</f>
        <v>0</v>
      </c>
    </row>
    <row r="37" spans="1:50" outlineLevel="1">
      <c r="A37" s="58" t="s">
        <v>314</v>
      </c>
      <c r="B37" s="59" t="s">
        <v>315</v>
      </c>
      <c r="C37" s="60" t="s">
        <v>316</v>
      </c>
      <c r="D37" s="61" t="s">
        <v>304</v>
      </c>
      <c r="E37" s="62" t="s">
        <v>109</v>
      </c>
      <c r="F37" s="59" t="s">
        <v>62</v>
      </c>
      <c r="G37" s="63">
        <f>IFERROR(INDEX('Benchmark Data'!$AC$7:$AC$130,MATCH($A37,'Benchmark Data'!$A$7:$A$130,0)),0)</f>
        <v>0</v>
      </c>
      <c r="H37" s="64">
        <f>IFERROR(INDEX('Benchmark Data'!$AD$7:$AD$130,MATCH($A37,'Benchmark Data'!$A$7:$A$130,0)),0)</f>
        <v>0</v>
      </c>
      <c r="I37" s="65">
        <f t="shared" si="1"/>
        <v>0</v>
      </c>
      <c r="J37" s="91"/>
      <c r="K37" s="29">
        <f>IFERROR(INDEX('Benchmark Data'!$AE$7:$AE$130,MATCH($A37,'Benchmark Data'!$A$7:$A$130,0)),0)</f>
        <v>1</v>
      </c>
      <c r="L37" s="67">
        <f t="shared" si="2"/>
        <v>0</v>
      </c>
      <c r="M37" s="68">
        <f t="shared" si="3"/>
        <v>0</v>
      </c>
      <c r="N37" s="69">
        <f t="shared" si="4"/>
        <v>0</v>
      </c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</row>
    <row r="38" spans="1:50" outlineLevel="1">
      <c r="A38" s="71" t="s">
        <v>314</v>
      </c>
      <c r="B38" s="72" t="s">
        <v>315</v>
      </c>
      <c r="C38" s="73" t="s">
        <v>316</v>
      </c>
      <c r="D38" s="71" t="s">
        <v>304</v>
      </c>
      <c r="E38" s="74" t="s">
        <v>109</v>
      </c>
      <c r="F38" s="17" t="s">
        <v>63</v>
      </c>
      <c r="G38" s="75">
        <f>G37</f>
        <v>0</v>
      </c>
      <c r="H38" s="76">
        <f>H37*(1+Settings!$C$8)</f>
        <v>0</v>
      </c>
      <c r="I38" s="76">
        <f t="shared" si="1"/>
        <v>0</v>
      </c>
      <c r="J38" s="77">
        <f>J37</f>
        <v>0</v>
      </c>
      <c r="K38" s="51">
        <f>K37</f>
        <v>1</v>
      </c>
      <c r="L38" s="52">
        <f t="shared" si="2"/>
        <v>0</v>
      </c>
      <c r="M38" s="51">
        <f t="shared" si="3"/>
        <v>0</v>
      </c>
      <c r="N38" s="78">
        <f t="shared" si="4"/>
        <v>0</v>
      </c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</row>
    <row r="39" spans="1:50" outlineLevel="1">
      <c r="A39" s="71" t="s">
        <v>314</v>
      </c>
      <c r="B39" s="72" t="s">
        <v>315</v>
      </c>
      <c r="C39" s="73" t="s">
        <v>316</v>
      </c>
      <c r="D39" s="71" t="s">
        <v>304</v>
      </c>
      <c r="E39" s="74" t="s">
        <v>109</v>
      </c>
      <c r="F39" s="17" t="s">
        <v>64</v>
      </c>
      <c r="G39" s="75">
        <f>G37</f>
        <v>0</v>
      </c>
      <c r="H39" s="76">
        <f>H37*(1+Settings!$C$9)</f>
        <v>0</v>
      </c>
      <c r="I39" s="76">
        <f t="shared" si="1"/>
        <v>0</v>
      </c>
      <c r="J39" s="77">
        <f>J37</f>
        <v>0</v>
      </c>
      <c r="K39" s="51">
        <f>K37</f>
        <v>1</v>
      </c>
      <c r="L39" s="52">
        <f t="shared" si="2"/>
        <v>0</v>
      </c>
      <c r="M39" s="51">
        <f t="shared" si="3"/>
        <v>0</v>
      </c>
      <c r="N39" s="78">
        <f t="shared" si="4"/>
        <v>0</v>
      </c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</row>
    <row r="40" spans="1:50" outlineLevel="1">
      <c r="A40" s="71" t="s">
        <v>314</v>
      </c>
      <c r="B40" s="72" t="s">
        <v>315</v>
      </c>
      <c r="C40" s="73" t="s">
        <v>316</v>
      </c>
      <c r="D40" s="71" t="s">
        <v>304</v>
      </c>
      <c r="E40" s="74" t="s">
        <v>109</v>
      </c>
      <c r="F40" s="17" t="s">
        <v>65</v>
      </c>
      <c r="G40" s="80">
        <f>IFERROR(INDEX('Benchmark Data'!$AH$7:$AH$130,MATCH($A40,'Benchmark Data'!$A$7:$A$130,0)),0)</f>
        <v>10</v>
      </c>
      <c r="H40" s="81">
        <f>IFERROR(INDEX('Benchmark Data'!$AI$7:$AI$130,MATCH($A40,'Benchmark Data'!$A$7:$A$130,0)),0)</f>
        <v>800</v>
      </c>
      <c r="I40" s="76">
        <f t="shared" si="1"/>
        <v>8000</v>
      </c>
      <c r="J40" s="77">
        <f>J37</f>
        <v>0</v>
      </c>
      <c r="K40" s="82">
        <f>IFERROR(INDEX('Benchmark Data'!$AJ$7:$AJ$130,MATCH($A40,'Benchmark Data'!$A$7:$A$130,0)),0)</f>
        <v>1</v>
      </c>
      <c r="L40" s="52">
        <f t="shared" si="2"/>
        <v>0</v>
      </c>
      <c r="M40" s="51">
        <f t="shared" si="3"/>
        <v>0</v>
      </c>
      <c r="N40" s="78">
        <f t="shared" si="4"/>
        <v>0</v>
      </c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</row>
    <row r="41" spans="1:50">
      <c r="A41" s="83" t="s">
        <v>314</v>
      </c>
      <c r="B41" s="16" t="s">
        <v>315</v>
      </c>
      <c r="C41" s="84" t="s">
        <v>316</v>
      </c>
      <c r="D41" s="85" t="s">
        <v>304</v>
      </c>
      <c r="E41" s="86" t="s">
        <v>109</v>
      </c>
      <c r="F41" s="16" t="s">
        <v>179</v>
      </c>
      <c r="G41" s="87">
        <f>CHOOSE(IF(OR($C$3="Expert input",$I$37=0),4,IF($C$3="+25%",2,IF($C$3="+50%",3,1))),G37,G38,G39,G40)</f>
        <v>10</v>
      </c>
      <c r="H41" s="88">
        <f>CHOOSE(IF(OR($C$3="Expert input",$I$37=0),4,IF($C$3="+25%",2,IF($C$3="+50%",3,1))),H37,H38,H39,H40)</f>
        <v>800</v>
      </c>
      <c r="I41" s="88">
        <f t="shared" si="1"/>
        <v>8000</v>
      </c>
      <c r="J41" s="54">
        <f>J37</f>
        <v>0</v>
      </c>
      <c r="K41" s="53">
        <f>CHOOSE(IF(OR($C$3="Expert input",$I$37=0),4,IF($C$3="+25%",2,IF($C$3="+50%",3,1))),K37,K38,K39,K40)</f>
        <v>1</v>
      </c>
      <c r="L41" s="54">
        <f t="shared" si="2"/>
        <v>0</v>
      </c>
      <c r="M41" s="53">
        <f t="shared" si="3"/>
        <v>0</v>
      </c>
      <c r="N41" s="54">
        <f t="shared" si="4"/>
        <v>0</v>
      </c>
      <c r="O41" s="43"/>
      <c r="P41" s="43"/>
      <c r="Q41" s="43"/>
      <c r="R41" s="43">
        <v>0.34</v>
      </c>
      <c r="S41" s="43">
        <v>0.33</v>
      </c>
      <c r="T41" s="43">
        <v>0.33</v>
      </c>
      <c r="U41" s="43"/>
      <c r="V41" s="43"/>
      <c r="W41" s="43"/>
      <c r="X41" s="43"/>
      <c r="Y41" s="43"/>
      <c r="Z41" s="43"/>
      <c r="AA41" s="89">
        <f>O41*$M41</f>
        <v>0</v>
      </c>
      <c r="AB41" s="90">
        <f>O41*$N41</f>
        <v>0</v>
      </c>
      <c r="AC41" s="89">
        <f>P41*$M41</f>
        <v>0</v>
      </c>
      <c r="AD41" s="90">
        <f>P41*$N41</f>
        <v>0</v>
      </c>
      <c r="AE41" s="89">
        <f>Q41*$M41</f>
        <v>0</v>
      </c>
      <c r="AF41" s="90">
        <f>Q41*$N41</f>
        <v>0</v>
      </c>
      <c r="AG41" s="89">
        <f>R41*$M41</f>
        <v>0</v>
      </c>
      <c r="AH41" s="90">
        <f>R41*$N41</f>
        <v>0</v>
      </c>
      <c r="AI41" s="89">
        <f>S41*$M41</f>
        <v>0</v>
      </c>
      <c r="AJ41" s="90">
        <f>S41*$N41</f>
        <v>0</v>
      </c>
      <c r="AK41" s="89">
        <f>T41*$M41</f>
        <v>0</v>
      </c>
      <c r="AL41" s="90">
        <f>T41*$N41</f>
        <v>0</v>
      </c>
      <c r="AM41" s="89">
        <f>U41*$M41</f>
        <v>0</v>
      </c>
      <c r="AN41" s="90">
        <f>U41*$N41</f>
        <v>0</v>
      </c>
      <c r="AO41" s="89">
        <f>V41*$M41</f>
        <v>0</v>
      </c>
      <c r="AP41" s="90">
        <f>V41*$N41</f>
        <v>0</v>
      </c>
      <c r="AQ41" s="89">
        <f>W41*$M41</f>
        <v>0</v>
      </c>
      <c r="AR41" s="90">
        <f>W41*$N41</f>
        <v>0</v>
      </c>
      <c r="AS41" s="89">
        <f>X41*$M41</f>
        <v>0</v>
      </c>
      <c r="AT41" s="90">
        <f>X41*$N41</f>
        <v>0</v>
      </c>
      <c r="AU41" s="89">
        <f>Y41*$M41</f>
        <v>0</v>
      </c>
      <c r="AV41" s="90">
        <f>Y41*$N41</f>
        <v>0</v>
      </c>
      <c r="AW41" s="89">
        <f>Z41*$M41</f>
        <v>0</v>
      </c>
      <c r="AX41" s="90">
        <f>Z41*$N41</f>
        <v>0</v>
      </c>
    </row>
    <row r="42" spans="1:50" outlineLevel="1">
      <c r="A42" s="58" t="s">
        <v>317</v>
      </c>
      <c r="B42" s="59" t="s">
        <v>318</v>
      </c>
      <c r="C42" s="60" t="s">
        <v>319</v>
      </c>
      <c r="D42" s="61" t="s">
        <v>320</v>
      </c>
      <c r="E42" s="62" t="s">
        <v>308</v>
      </c>
      <c r="F42" s="59" t="s">
        <v>62</v>
      </c>
      <c r="G42" s="63">
        <f>IFERROR(INDEX('Benchmark Data'!$AC$7:$AC$130,MATCH($A42,'Benchmark Data'!$A$7:$A$130,0)),0)</f>
        <v>9.4999999999999998E-3</v>
      </c>
      <c r="H42" s="64">
        <f>IFERROR(INDEX('Benchmark Data'!$AD$7:$AD$130,MATCH($A42,'Benchmark Data'!$A$7:$A$130,0)),0)</f>
        <v>100</v>
      </c>
      <c r="I42" s="65">
        <f t="shared" si="1"/>
        <v>0.95</v>
      </c>
      <c r="J42" s="66">
        <f>$E$7</f>
        <v>0</v>
      </c>
      <c r="K42" s="29">
        <f>IFERROR(INDEX('Benchmark Data'!$AE$7:$AE$130,MATCH($A42,'Benchmark Data'!$A$7:$A$130,0)),0)</f>
        <v>1</v>
      </c>
      <c r="L42" s="67">
        <f t="shared" si="2"/>
        <v>0</v>
      </c>
      <c r="M42" s="68">
        <f t="shared" si="3"/>
        <v>0</v>
      </c>
      <c r="N42" s="69">
        <f t="shared" si="4"/>
        <v>0</v>
      </c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</row>
    <row r="43" spans="1:50" outlineLevel="1">
      <c r="A43" s="71" t="s">
        <v>317</v>
      </c>
      <c r="B43" s="72" t="s">
        <v>318</v>
      </c>
      <c r="C43" s="73" t="s">
        <v>319</v>
      </c>
      <c r="D43" s="71" t="s">
        <v>320</v>
      </c>
      <c r="E43" s="74" t="s">
        <v>308</v>
      </c>
      <c r="F43" s="17" t="s">
        <v>63</v>
      </c>
      <c r="G43" s="75">
        <f>G42</f>
        <v>9.4999999999999998E-3</v>
      </c>
      <c r="H43" s="76">
        <f>H42*(1+Settings!$C$8)</f>
        <v>125</v>
      </c>
      <c r="I43" s="76">
        <f t="shared" si="1"/>
        <v>1.1875</v>
      </c>
      <c r="J43" s="77">
        <f>J42</f>
        <v>0</v>
      </c>
      <c r="K43" s="51">
        <f>K42</f>
        <v>1</v>
      </c>
      <c r="L43" s="52">
        <f t="shared" si="2"/>
        <v>0</v>
      </c>
      <c r="M43" s="51">
        <f t="shared" si="3"/>
        <v>0</v>
      </c>
      <c r="N43" s="78">
        <f t="shared" si="4"/>
        <v>0</v>
      </c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</row>
    <row r="44" spans="1:50" outlineLevel="1">
      <c r="A44" s="71" t="s">
        <v>317</v>
      </c>
      <c r="B44" s="72" t="s">
        <v>318</v>
      </c>
      <c r="C44" s="73" t="s">
        <v>319</v>
      </c>
      <c r="D44" s="71" t="s">
        <v>320</v>
      </c>
      <c r="E44" s="74" t="s">
        <v>308</v>
      </c>
      <c r="F44" s="17" t="s">
        <v>64</v>
      </c>
      <c r="G44" s="75">
        <f>G42</f>
        <v>9.4999999999999998E-3</v>
      </c>
      <c r="H44" s="76">
        <f>H42*(1+Settings!$C$9)</f>
        <v>150</v>
      </c>
      <c r="I44" s="76">
        <f t="shared" si="1"/>
        <v>1.425</v>
      </c>
      <c r="J44" s="77">
        <f>J42</f>
        <v>0</v>
      </c>
      <c r="K44" s="51">
        <f>K42</f>
        <v>1</v>
      </c>
      <c r="L44" s="52">
        <f t="shared" si="2"/>
        <v>0</v>
      </c>
      <c r="M44" s="51">
        <f t="shared" si="3"/>
        <v>0</v>
      </c>
      <c r="N44" s="78">
        <f t="shared" si="4"/>
        <v>0</v>
      </c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</row>
    <row r="45" spans="1:50" outlineLevel="1">
      <c r="A45" s="71" t="s">
        <v>317</v>
      </c>
      <c r="B45" s="72" t="s">
        <v>318</v>
      </c>
      <c r="C45" s="73" t="s">
        <v>319</v>
      </c>
      <c r="D45" s="71" t="s">
        <v>320</v>
      </c>
      <c r="E45" s="74" t="s">
        <v>308</v>
      </c>
      <c r="F45" s="17" t="s">
        <v>65</v>
      </c>
      <c r="G45" s="80">
        <f>G42</f>
        <v>9.4999999999999998E-3</v>
      </c>
      <c r="H45" s="81">
        <f>H42</f>
        <v>100</v>
      </c>
      <c r="I45" s="76">
        <f t="shared" si="1"/>
        <v>0.95</v>
      </c>
      <c r="J45" s="77">
        <f>J42</f>
        <v>0</v>
      </c>
      <c r="K45" s="82">
        <f>K42</f>
        <v>1</v>
      </c>
      <c r="L45" s="52">
        <f t="shared" si="2"/>
        <v>0</v>
      </c>
      <c r="M45" s="51">
        <f t="shared" si="3"/>
        <v>0</v>
      </c>
      <c r="N45" s="78">
        <f t="shared" si="4"/>
        <v>0</v>
      </c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</row>
    <row r="46" spans="1:50">
      <c r="A46" s="83" t="s">
        <v>317</v>
      </c>
      <c r="B46" s="16" t="s">
        <v>318</v>
      </c>
      <c r="C46" s="84" t="s">
        <v>319</v>
      </c>
      <c r="D46" s="85" t="s">
        <v>320</v>
      </c>
      <c r="E46" s="86" t="s">
        <v>308</v>
      </c>
      <c r="F46" s="16" t="s">
        <v>179</v>
      </c>
      <c r="G46" s="87">
        <f>CHOOSE(IF(OR($C$3="Expert input",$I$42=0),4,IF($C$3="+25%",2,IF($C$3="+50%",3,1))),G42,G43,G44,G45)</f>
        <v>9.4999999999999998E-3</v>
      </c>
      <c r="H46" s="88">
        <f>CHOOSE(IF(OR($C$3="Expert input",$I$42=0),4,IF($C$3="+25%",2,IF($C$3="+50%",3,1))),H42,H43,H44,H45)</f>
        <v>100</v>
      </c>
      <c r="I46" s="88">
        <f t="shared" si="1"/>
        <v>0.95</v>
      </c>
      <c r="J46" s="54">
        <f>J42</f>
        <v>0</v>
      </c>
      <c r="K46" s="53">
        <f>CHOOSE(IF(OR($C$3="Expert input",$I$42=0),4,IF($C$3="+25%",2,IF($C$3="+50%",3,1))),K42,K43,K44,K45)</f>
        <v>1</v>
      </c>
      <c r="L46" s="54">
        <f t="shared" si="2"/>
        <v>0</v>
      </c>
      <c r="M46" s="53">
        <f t="shared" si="3"/>
        <v>0</v>
      </c>
      <c r="N46" s="54">
        <f t="shared" si="4"/>
        <v>0</v>
      </c>
      <c r="O46" s="43"/>
      <c r="P46" s="43"/>
      <c r="Q46" s="43"/>
      <c r="R46" s="43"/>
      <c r="S46" s="43"/>
      <c r="T46" s="43"/>
      <c r="U46" s="43"/>
      <c r="V46" s="43"/>
      <c r="W46" s="43">
        <v>0.5</v>
      </c>
      <c r="X46" s="43"/>
      <c r="Y46" s="43">
        <v>0.5</v>
      </c>
      <c r="Z46" s="43"/>
      <c r="AA46" s="89">
        <f>O46*$M46</f>
        <v>0</v>
      </c>
      <c r="AB46" s="90">
        <f>O46*$N46</f>
        <v>0</v>
      </c>
      <c r="AC46" s="89">
        <f>P46*$M46</f>
        <v>0</v>
      </c>
      <c r="AD46" s="90">
        <f>P46*$N46</f>
        <v>0</v>
      </c>
      <c r="AE46" s="89">
        <f>Q46*$M46</f>
        <v>0</v>
      </c>
      <c r="AF46" s="90">
        <f>Q46*$N46</f>
        <v>0</v>
      </c>
      <c r="AG46" s="89">
        <f>R46*$M46</f>
        <v>0</v>
      </c>
      <c r="AH46" s="90">
        <f>R46*$N46</f>
        <v>0</v>
      </c>
      <c r="AI46" s="89">
        <f>S46*$M46</f>
        <v>0</v>
      </c>
      <c r="AJ46" s="90">
        <f>S46*$N46</f>
        <v>0</v>
      </c>
      <c r="AK46" s="89">
        <f>T46*$M46</f>
        <v>0</v>
      </c>
      <c r="AL46" s="90">
        <f>T46*$N46</f>
        <v>0</v>
      </c>
      <c r="AM46" s="89">
        <f>U46*$M46</f>
        <v>0</v>
      </c>
      <c r="AN46" s="90">
        <f>U46*$N46</f>
        <v>0</v>
      </c>
      <c r="AO46" s="89">
        <f>V46*$M46</f>
        <v>0</v>
      </c>
      <c r="AP46" s="90">
        <f>V46*$N46</f>
        <v>0</v>
      </c>
      <c r="AQ46" s="89">
        <f>W46*$M46</f>
        <v>0</v>
      </c>
      <c r="AR46" s="90">
        <f>W46*$N46</f>
        <v>0</v>
      </c>
      <c r="AS46" s="89">
        <f>X46*$M46</f>
        <v>0</v>
      </c>
      <c r="AT46" s="90">
        <f>X46*$N46</f>
        <v>0</v>
      </c>
      <c r="AU46" s="89">
        <f>Y46*$M46</f>
        <v>0</v>
      </c>
      <c r="AV46" s="90">
        <f>Y46*$N46</f>
        <v>0</v>
      </c>
      <c r="AW46" s="89">
        <f>Z46*$M46</f>
        <v>0</v>
      </c>
      <c r="AX46" s="90">
        <f>Z46*$N46</f>
        <v>0</v>
      </c>
    </row>
    <row r="47" spans="1:50" outlineLevel="1">
      <c r="A47" s="58" t="s">
        <v>321</v>
      </c>
      <c r="B47" s="59" t="s">
        <v>322</v>
      </c>
      <c r="C47" s="60" t="s">
        <v>323</v>
      </c>
      <c r="D47" s="61" t="s">
        <v>320</v>
      </c>
      <c r="E47" s="62" t="s">
        <v>195</v>
      </c>
      <c r="F47" s="59" t="s">
        <v>62</v>
      </c>
      <c r="G47" s="63">
        <f>IFERROR(INDEX('Benchmark Data'!$AC$7:$AC$130,MATCH($A47,'Benchmark Data'!$A$7:$A$130,0)),0)</f>
        <v>0.41111111111111098</v>
      </c>
      <c r="H47" s="64">
        <f>IFERROR(INDEX('Benchmark Data'!$AD$7:$AD$130,MATCH($A47,'Benchmark Data'!$A$7:$A$130,0)),0)</f>
        <v>437.83783783783798</v>
      </c>
      <c r="I47" s="65">
        <f t="shared" si="1"/>
        <v>180</v>
      </c>
      <c r="J47" s="91"/>
      <c r="K47" s="29">
        <f>IFERROR(INDEX('Benchmark Data'!$AE$7:$AE$130,MATCH($A47,'Benchmark Data'!$A$7:$A$130,0)),0)</f>
        <v>1</v>
      </c>
      <c r="L47" s="67">
        <f t="shared" si="2"/>
        <v>0</v>
      </c>
      <c r="M47" s="68">
        <f t="shared" si="3"/>
        <v>0</v>
      </c>
      <c r="N47" s="69">
        <f t="shared" si="4"/>
        <v>0</v>
      </c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</row>
    <row r="48" spans="1:50" outlineLevel="1">
      <c r="A48" s="71" t="s">
        <v>321</v>
      </c>
      <c r="B48" s="72" t="s">
        <v>322</v>
      </c>
      <c r="C48" s="73" t="s">
        <v>323</v>
      </c>
      <c r="D48" s="71" t="s">
        <v>320</v>
      </c>
      <c r="E48" s="74" t="s">
        <v>195</v>
      </c>
      <c r="F48" s="17" t="s">
        <v>63</v>
      </c>
      <c r="G48" s="75">
        <f>G47</f>
        <v>0.41111111111111098</v>
      </c>
      <c r="H48" s="76">
        <f>H47*(1+Settings!$C$8)</f>
        <v>547.29729729729752</v>
      </c>
      <c r="I48" s="76">
        <f t="shared" si="1"/>
        <v>225.00000000000003</v>
      </c>
      <c r="J48" s="77">
        <f>J47</f>
        <v>0</v>
      </c>
      <c r="K48" s="51">
        <f>K47</f>
        <v>1</v>
      </c>
      <c r="L48" s="52">
        <f t="shared" si="2"/>
        <v>0</v>
      </c>
      <c r="M48" s="51">
        <f t="shared" si="3"/>
        <v>0</v>
      </c>
      <c r="N48" s="78">
        <f t="shared" si="4"/>
        <v>0</v>
      </c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</row>
    <row r="49" spans="1:50" outlineLevel="1">
      <c r="A49" s="71" t="s">
        <v>321</v>
      </c>
      <c r="B49" s="72" t="s">
        <v>322</v>
      </c>
      <c r="C49" s="73" t="s">
        <v>323</v>
      </c>
      <c r="D49" s="71" t="s">
        <v>320</v>
      </c>
      <c r="E49" s="74" t="s">
        <v>195</v>
      </c>
      <c r="F49" s="17" t="s">
        <v>64</v>
      </c>
      <c r="G49" s="75">
        <f>G47</f>
        <v>0.41111111111111098</v>
      </c>
      <c r="H49" s="76">
        <f>H47*(1+Settings!$C$9)</f>
        <v>656.756756756757</v>
      </c>
      <c r="I49" s="76">
        <f t="shared" ref="I49:I80" si="5">G49*H49</f>
        <v>270</v>
      </c>
      <c r="J49" s="77">
        <f>J47</f>
        <v>0</v>
      </c>
      <c r="K49" s="51">
        <f>K47</f>
        <v>1</v>
      </c>
      <c r="L49" s="52">
        <f t="shared" ref="L49:L80" si="6">J49*K49</f>
        <v>0</v>
      </c>
      <c r="M49" s="51">
        <f t="shared" ref="M49:M80" si="7">L49*G49</f>
        <v>0</v>
      </c>
      <c r="N49" s="78">
        <f t="shared" ref="N49:N80" si="8">L49*I49</f>
        <v>0</v>
      </c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</row>
    <row r="50" spans="1:50" outlineLevel="1">
      <c r="A50" s="71" t="s">
        <v>321</v>
      </c>
      <c r="B50" s="72" t="s">
        <v>322</v>
      </c>
      <c r="C50" s="73" t="s">
        <v>323</v>
      </c>
      <c r="D50" s="71" t="s">
        <v>320</v>
      </c>
      <c r="E50" s="74" t="s">
        <v>195</v>
      </c>
      <c r="F50" s="17" t="s">
        <v>65</v>
      </c>
      <c r="G50" s="80">
        <f>G47</f>
        <v>0.41111111111111098</v>
      </c>
      <c r="H50" s="81">
        <f>H47</f>
        <v>437.83783783783798</v>
      </c>
      <c r="I50" s="76">
        <f t="shared" si="5"/>
        <v>180</v>
      </c>
      <c r="J50" s="77">
        <f>J47</f>
        <v>0</v>
      </c>
      <c r="K50" s="82">
        <f>K47</f>
        <v>1</v>
      </c>
      <c r="L50" s="52">
        <f t="shared" si="6"/>
        <v>0</v>
      </c>
      <c r="M50" s="51">
        <f t="shared" si="7"/>
        <v>0</v>
      </c>
      <c r="N50" s="78">
        <f t="shared" si="8"/>
        <v>0</v>
      </c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</row>
    <row r="51" spans="1:50">
      <c r="A51" s="83" t="s">
        <v>321</v>
      </c>
      <c r="B51" s="16" t="s">
        <v>322</v>
      </c>
      <c r="C51" s="84" t="s">
        <v>323</v>
      </c>
      <c r="D51" s="85" t="s">
        <v>320</v>
      </c>
      <c r="E51" s="86" t="s">
        <v>195</v>
      </c>
      <c r="F51" s="16" t="s">
        <v>179</v>
      </c>
      <c r="G51" s="87">
        <f>CHOOSE(IF(OR($C$3="Expert input",$I$47=0),4,IF($C$3="+25%",2,IF($C$3="+50%",3,1))),G47,G48,G49,G50)</f>
        <v>0.41111111111111098</v>
      </c>
      <c r="H51" s="88">
        <f>CHOOSE(IF(OR($C$3="Expert input",$I$47=0),4,IF($C$3="+25%",2,IF($C$3="+50%",3,1))),H47,H48,H49,H50)</f>
        <v>437.83783783783798</v>
      </c>
      <c r="I51" s="88">
        <f t="shared" si="5"/>
        <v>180</v>
      </c>
      <c r="J51" s="54">
        <f>J47</f>
        <v>0</v>
      </c>
      <c r="K51" s="53">
        <f>CHOOSE(IF(OR($C$3="Expert input",$I$47=0),4,IF($C$3="+25%",2,IF($C$3="+50%",3,1))),K47,K48,K49,K50)</f>
        <v>1</v>
      </c>
      <c r="L51" s="54">
        <f t="shared" si="6"/>
        <v>0</v>
      </c>
      <c r="M51" s="53">
        <f t="shared" si="7"/>
        <v>0</v>
      </c>
      <c r="N51" s="54">
        <f t="shared" si="8"/>
        <v>0</v>
      </c>
      <c r="O51" s="43"/>
      <c r="P51" s="43"/>
      <c r="Q51" s="43"/>
      <c r="R51" s="43"/>
      <c r="S51" s="43">
        <v>0.34</v>
      </c>
      <c r="T51" s="43"/>
      <c r="U51" s="43">
        <v>0.33</v>
      </c>
      <c r="V51" s="43"/>
      <c r="W51" s="43">
        <v>0.33</v>
      </c>
      <c r="X51" s="43"/>
      <c r="Y51" s="43"/>
      <c r="Z51" s="43"/>
      <c r="AA51" s="89">
        <f>O51*$M51</f>
        <v>0</v>
      </c>
      <c r="AB51" s="90">
        <f>O51*$N51</f>
        <v>0</v>
      </c>
      <c r="AC51" s="89">
        <f>P51*$M51</f>
        <v>0</v>
      </c>
      <c r="AD51" s="90">
        <f>P51*$N51</f>
        <v>0</v>
      </c>
      <c r="AE51" s="89">
        <f>Q51*$M51</f>
        <v>0</v>
      </c>
      <c r="AF51" s="90">
        <f>Q51*$N51</f>
        <v>0</v>
      </c>
      <c r="AG51" s="89">
        <f>R51*$M51</f>
        <v>0</v>
      </c>
      <c r="AH51" s="90">
        <f>R51*$N51</f>
        <v>0</v>
      </c>
      <c r="AI51" s="89">
        <f>S51*$M51</f>
        <v>0</v>
      </c>
      <c r="AJ51" s="90">
        <f>S51*$N51</f>
        <v>0</v>
      </c>
      <c r="AK51" s="89">
        <f>T51*$M51</f>
        <v>0</v>
      </c>
      <c r="AL51" s="90">
        <f>T51*$N51</f>
        <v>0</v>
      </c>
      <c r="AM51" s="89">
        <f>U51*$M51</f>
        <v>0</v>
      </c>
      <c r="AN51" s="90">
        <f>U51*$N51</f>
        <v>0</v>
      </c>
      <c r="AO51" s="89">
        <f>V51*$M51</f>
        <v>0</v>
      </c>
      <c r="AP51" s="90">
        <f>V51*$N51</f>
        <v>0</v>
      </c>
      <c r="AQ51" s="89">
        <f>W51*$M51</f>
        <v>0</v>
      </c>
      <c r="AR51" s="90">
        <f>W51*$N51</f>
        <v>0</v>
      </c>
      <c r="AS51" s="89">
        <f>X51*$M51</f>
        <v>0</v>
      </c>
      <c r="AT51" s="90">
        <f>X51*$N51</f>
        <v>0</v>
      </c>
      <c r="AU51" s="89">
        <f>Y51*$M51</f>
        <v>0</v>
      </c>
      <c r="AV51" s="90">
        <f>Y51*$N51</f>
        <v>0</v>
      </c>
      <c r="AW51" s="89">
        <f>Z51*$M51</f>
        <v>0</v>
      </c>
      <c r="AX51" s="90">
        <f>Z51*$N51</f>
        <v>0</v>
      </c>
    </row>
    <row r="52" spans="1:50" outlineLevel="1">
      <c r="A52" s="58" t="s">
        <v>324</v>
      </c>
      <c r="B52" s="59" t="s">
        <v>325</v>
      </c>
      <c r="C52" s="60" t="s">
        <v>326</v>
      </c>
      <c r="D52" s="61" t="s">
        <v>320</v>
      </c>
      <c r="E52" s="62" t="s">
        <v>308</v>
      </c>
      <c r="F52" s="59" t="s">
        <v>62</v>
      </c>
      <c r="G52" s="63">
        <f>IFERROR(INDEX('Benchmark Data'!$AC$7:$AC$130,MATCH($A52,'Benchmark Data'!$A$7:$A$130,0)),0)</f>
        <v>0.01</v>
      </c>
      <c r="H52" s="64">
        <f>IFERROR(INDEX('Benchmark Data'!$AD$7:$AD$130,MATCH($A52,'Benchmark Data'!$A$7:$A$130,0)),0)</f>
        <v>200</v>
      </c>
      <c r="I52" s="65">
        <f t="shared" si="5"/>
        <v>2</v>
      </c>
      <c r="J52" s="91"/>
      <c r="K52" s="29">
        <f>IFERROR(INDEX('Benchmark Data'!$AE$7:$AE$130,MATCH($A52,'Benchmark Data'!$A$7:$A$130,0)),0)</f>
        <v>1</v>
      </c>
      <c r="L52" s="67">
        <f t="shared" si="6"/>
        <v>0</v>
      </c>
      <c r="M52" s="68">
        <f t="shared" si="7"/>
        <v>0</v>
      </c>
      <c r="N52" s="69">
        <f t="shared" si="8"/>
        <v>0</v>
      </c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</row>
    <row r="53" spans="1:50" outlineLevel="1">
      <c r="A53" s="71" t="s">
        <v>324</v>
      </c>
      <c r="B53" s="72" t="s">
        <v>325</v>
      </c>
      <c r="C53" s="73" t="s">
        <v>326</v>
      </c>
      <c r="D53" s="71" t="s">
        <v>320</v>
      </c>
      <c r="E53" s="74" t="s">
        <v>308</v>
      </c>
      <c r="F53" s="17" t="s">
        <v>63</v>
      </c>
      <c r="G53" s="75">
        <f>G52</f>
        <v>0.01</v>
      </c>
      <c r="H53" s="76">
        <f>H52*(1+Settings!$C$8)</f>
        <v>250</v>
      </c>
      <c r="I53" s="76">
        <f t="shared" si="5"/>
        <v>2.5</v>
      </c>
      <c r="J53" s="77">
        <f>J52</f>
        <v>0</v>
      </c>
      <c r="K53" s="51">
        <f>K52</f>
        <v>1</v>
      </c>
      <c r="L53" s="52">
        <f t="shared" si="6"/>
        <v>0</v>
      </c>
      <c r="M53" s="51">
        <f t="shared" si="7"/>
        <v>0</v>
      </c>
      <c r="N53" s="78">
        <f t="shared" si="8"/>
        <v>0</v>
      </c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</row>
    <row r="54" spans="1:50" outlineLevel="1">
      <c r="A54" s="71" t="s">
        <v>324</v>
      </c>
      <c r="B54" s="72" t="s">
        <v>325</v>
      </c>
      <c r="C54" s="73" t="s">
        <v>326</v>
      </c>
      <c r="D54" s="71" t="s">
        <v>320</v>
      </c>
      <c r="E54" s="74" t="s">
        <v>308</v>
      </c>
      <c r="F54" s="17" t="s">
        <v>64</v>
      </c>
      <c r="G54" s="75">
        <f>G52</f>
        <v>0.01</v>
      </c>
      <c r="H54" s="76">
        <f>H52*(1+Settings!$C$9)</f>
        <v>300</v>
      </c>
      <c r="I54" s="76">
        <f t="shared" si="5"/>
        <v>3</v>
      </c>
      <c r="J54" s="77">
        <f>J52</f>
        <v>0</v>
      </c>
      <c r="K54" s="51">
        <f>K52</f>
        <v>1</v>
      </c>
      <c r="L54" s="52">
        <f t="shared" si="6"/>
        <v>0</v>
      </c>
      <c r="M54" s="51">
        <f t="shared" si="7"/>
        <v>0</v>
      </c>
      <c r="N54" s="78">
        <f t="shared" si="8"/>
        <v>0</v>
      </c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</row>
    <row r="55" spans="1:50" outlineLevel="1">
      <c r="A55" s="71" t="s">
        <v>324</v>
      </c>
      <c r="B55" s="72" t="s">
        <v>325</v>
      </c>
      <c r="C55" s="73" t="s">
        <v>326</v>
      </c>
      <c r="D55" s="71" t="s">
        <v>320</v>
      </c>
      <c r="E55" s="74" t="s">
        <v>308</v>
      </c>
      <c r="F55" s="17" t="s">
        <v>65</v>
      </c>
      <c r="G55" s="80">
        <f>G52</f>
        <v>0.01</v>
      </c>
      <c r="H55" s="81">
        <f>H52</f>
        <v>200</v>
      </c>
      <c r="I55" s="76">
        <f t="shared" si="5"/>
        <v>2</v>
      </c>
      <c r="J55" s="77">
        <f>J52</f>
        <v>0</v>
      </c>
      <c r="K55" s="82">
        <f>K52</f>
        <v>1</v>
      </c>
      <c r="L55" s="52">
        <f t="shared" si="6"/>
        <v>0</v>
      </c>
      <c r="M55" s="51">
        <f t="shared" si="7"/>
        <v>0</v>
      </c>
      <c r="N55" s="78">
        <f t="shared" si="8"/>
        <v>0</v>
      </c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</row>
    <row r="56" spans="1:50">
      <c r="A56" s="83" t="s">
        <v>324</v>
      </c>
      <c r="B56" s="16" t="s">
        <v>325</v>
      </c>
      <c r="C56" s="84" t="s">
        <v>326</v>
      </c>
      <c r="D56" s="85" t="s">
        <v>320</v>
      </c>
      <c r="E56" s="86" t="s">
        <v>308</v>
      </c>
      <c r="F56" s="16" t="s">
        <v>179</v>
      </c>
      <c r="G56" s="87">
        <f>CHOOSE(IF(OR($C$3="Expert input",$I$52=0),4,IF($C$3="+25%",2,IF($C$3="+50%",3,1))),G52,G53,G54,G55)</f>
        <v>0.01</v>
      </c>
      <c r="H56" s="88">
        <f>CHOOSE(IF(OR($C$3="Expert input",$I$52=0),4,IF($C$3="+25%",2,IF($C$3="+50%",3,1))),H52,H53,H54,H55)</f>
        <v>200</v>
      </c>
      <c r="I56" s="88">
        <f t="shared" si="5"/>
        <v>2</v>
      </c>
      <c r="J56" s="54">
        <f>J52</f>
        <v>0</v>
      </c>
      <c r="K56" s="53">
        <f>CHOOSE(IF(OR($C$3="Expert input",$I$52=0),4,IF($C$3="+25%",2,IF($C$3="+50%",3,1))),K52,K53,K54,K55)</f>
        <v>1</v>
      </c>
      <c r="L56" s="54">
        <f t="shared" si="6"/>
        <v>0</v>
      </c>
      <c r="M56" s="53">
        <f t="shared" si="7"/>
        <v>0</v>
      </c>
      <c r="N56" s="54">
        <f t="shared" si="8"/>
        <v>0</v>
      </c>
      <c r="O56" s="43"/>
      <c r="P56" s="43"/>
      <c r="Q56" s="43"/>
      <c r="R56" s="43"/>
      <c r="S56" s="43"/>
      <c r="T56" s="43"/>
      <c r="U56" s="43">
        <v>1</v>
      </c>
      <c r="V56" s="43"/>
      <c r="W56" s="43"/>
      <c r="X56" s="43"/>
      <c r="Y56" s="43"/>
      <c r="Z56" s="43"/>
      <c r="AA56" s="89">
        <f>O56*$M56</f>
        <v>0</v>
      </c>
      <c r="AB56" s="90">
        <f>O56*$N56</f>
        <v>0</v>
      </c>
      <c r="AC56" s="89">
        <f>P56*$M56</f>
        <v>0</v>
      </c>
      <c r="AD56" s="90">
        <f>P56*$N56</f>
        <v>0</v>
      </c>
      <c r="AE56" s="89">
        <f>Q56*$M56</f>
        <v>0</v>
      </c>
      <c r="AF56" s="90">
        <f>Q56*$N56</f>
        <v>0</v>
      </c>
      <c r="AG56" s="89">
        <f>R56*$M56</f>
        <v>0</v>
      </c>
      <c r="AH56" s="90">
        <f>R56*$N56</f>
        <v>0</v>
      </c>
      <c r="AI56" s="89">
        <f>S56*$M56</f>
        <v>0</v>
      </c>
      <c r="AJ56" s="90">
        <f>S56*$N56</f>
        <v>0</v>
      </c>
      <c r="AK56" s="89">
        <f>T56*$M56</f>
        <v>0</v>
      </c>
      <c r="AL56" s="90">
        <f>T56*$N56</f>
        <v>0</v>
      </c>
      <c r="AM56" s="89">
        <f>U56*$M56</f>
        <v>0</v>
      </c>
      <c r="AN56" s="90">
        <f>U56*$N56</f>
        <v>0</v>
      </c>
      <c r="AO56" s="89">
        <f>V56*$M56</f>
        <v>0</v>
      </c>
      <c r="AP56" s="90">
        <f>V56*$N56</f>
        <v>0</v>
      </c>
      <c r="AQ56" s="89">
        <f>W56*$M56</f>
        <v>0</v>
      </c>
      <c r="AR56" s="90">
        <f>W56*$N56</f>
        <v>0</v>
      </c>
      <c r="AS56" s="89">
        <f>X56*$M56</f>
        <v>0</v>
      </c>
      <c r="AT56" s="90">
        <f>X56*$N56</f>
        <v>0</v>
      </c>
      <c r="AU56" s="89">
        <f>Y56*$M56</f>
        <v>0</v>
      </c>
      <c r="AV56" s="90">
        <f>Y56*$N56</f>
        <v>0</v>
      </c>
      <c r="AW56" s="89">
        <f>Z56*$M56</f>
        <v>0</v>
      </c>
      <c r="AX56" s="90">
        <f>Z56*$N56</f>
        <v>0</v>
      </c>
    </row>
    <row r="57" spans="1:50" outlineLevel="1">
      <c r="A57" s="58" t="s">
        <v>327</v>
      </c>
      <c r="B57" s="59" t="s">
        <v>328</v>
      </c>
      <c r="C57" s="60" t="s">
        <v>329</v>
      </c>
      <c r="D57" s="61" t="s">
        <v>330</v>
      </c>
      <c r="E57" s="62" t="s">
        <v>308</v>
      </c>
      <c r="F57" s="59" t="s">
        <v>62</v>
      </c>
      <c r="G57" s="63">
        <f>IFERROR(INDEX('Benchmark Data'!$AC$7:$AC$130,MATCH($A57,'Benchmark Data'!$A$7:$A$130,0)),0)</f>
        <v>0.01</v>
      </c>
      <c r="H57" s="64">
        <f>IFERROR(INDEX('Benchmark Data'!$AD$7:$AD$130,MATCH($A57,'Benchmark Data'!$A$7:$A$130,0)),0)</f>
        <v>100</v>
      </c>
      <c r="I57" s="65">
        <f t="shared" si="5"/>
        <v>1</v>
      </c>
      <c r="J57" s="91"/>
      <c r="K57" s="29">
        <f>IFERROR(INDEX('Benchmark Data'!$AE$7:$AE$130,MATCH($A57,'Benchmark Data'!$A$7:$A$130,0)),0)</f>
        <v>1</v>
      </c>
      <c r="L57" s="67">
        <f t="shared" si="6"/>
        <v>0</v>
      </c>
      <c r="M57" s="68">
        <f t="shared" si="7"/>
        <v>0</v>
      </c>
      <c r="N57" s="69">
        <f t="shared" si="8"/>
        <v>0</v>
      </c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</row>
    <row r="58" spans="1:50" outlineLevel="1">
      <c r="A58" s="71" t="s">
        <v>327</v>
      </c>
      <c r="B58" s="72" t="s">
        <v>328</v>
      </c>
      <c r="C58" s="73" t="s">
        <v>329</v>
      </c>
      <c r="D58" s="71" t="s">
        <v>330</v>
      </c>
      <c r="E58" s="74" t="s">
        <v>308</v>
      </c>
      <c r="F58" s="17" t="s">
        <v>63</v>
      </c>
      <c r="G58" s="75">
        <f>G57</f>
        <v>0.01</v>
      </c>
      <c r="H58" s="76">
        <f>H57*(1+Settings!$C$8)</f>
        <v>125</v>
      </c>
      <c r="I58" s="76">
        <f t="shared" si="5"/>
        <v>1.25</v>
      </c>
      <c r="J58" s="77">
        <f>J57</f>
        <v>0</v>
      </c>
      <c r="K58" s="51">
        <f>K57</f>
        <v>1</v>
      </c>
      <c r="L58" s="52">
        <f t="shared" si="6"/>
        <v>0</v>
      </c>
      <c r="M58" s="51">
        <f t="shared" si="7"/>
        <v>0</v>
      </c>
      <c r="N58" s="78">
        <f t="shared" si="8"/>
        <v>0</v>
      </c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</row>
    <row r="59" spans="1:50" outlineLevel="1">
      <c r="A59" s="71" t="s">
        <v>327</v>
      </c>
      <c r="B59" s="72" t="s">
        <v>328</v>
      </c>
      <c r="C59" s="73" t="s">
        <v>329</v>
      </c>
      <c r="D59" s="71" t="s">
        <v>330</v>
      </c>
      <c r="E59" s="74" t="s">
        <v>308</v>
      </c>
      <c r="F59" s="17" t="s">
        <v>64</v>
      </c>
      <c r="G59" s="75">
        <f>G57</f>
        <v>0.01</v>
      </c>
      <c r="H59" s="76">
        <f>H57*(1+Settings!$C$9)</f>
        <v>150</v>
      </c>
      <c r="I59" s="76">
        <f t="shared" si="5"/>
        <v>1.5</v>
      </c>
      <c r="J59" s="77">
        <f>J57</f>
        <v>0</v>
      </c>
      <c r="K59" s="51">
        <f>K57</f>
        <v>1</v>
      </c>
      <c r="L59" s="52">
        <f t="shared" si="6"/>
        <v>0</v>
      </c>
      <c r="M59" s="51">
        <f t="shared" si="7"/>
        <v>0</v>
      </c>
      <c r="N59" s="78">
        <f t="shared" si="8"/>
        <v>0</v>
      </c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</row>
    <row r="60" spans="1:50" outlineLevel="1">
      <c r="A60" s="71" t="s">
        <v>327</v>
      </c>
      <c r="B60" s="72" t="s">
        <v>328</v>
      </c>
      <c r="C60" s="73" t="s">
        <v>329</v>
      </c>
      <c r="D60" s="71" t="s">
        <v>330</v>
      </c>
      <c r="E60" s="74" t="s">
        <v>308</v>
      </c>
      <c r="F60" s="17" t="s">
        <v>65</v>
      </c>
      <c r="G60" s="80">
        <f>G57</f>
        <v>0.01</v>
      </c>
      <c r="H60" s="81">
        <f>H57</f>
        <v>100</v>
      </c>
      <c r="I60" s="76">
        <f t="shared" si="5"/>
        <v>1</v>
      </c>
      <c r="J60" s="77">
        <f>J57</f>
        <v>0</v>
      </c>
      <c r="K60" s="82">
        <f>K57</f>
        <v>1</v>
      </c>
      <c r="L60" s="52">
        <f t="shared" si="6"/>
        <v>0</v>
      </c>
      <c r="M60" s="51">
        <f t="shared" si="7"/>
        <v>0</v>
      </c>
      <c r="N60" s="78">
        <f t="shared" si="8"/>
        <v>0</v>
      </c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</row>
    <row r="61" spans="1:50">
      <c r="A61" s="83" t="s">
        <v>327</v>
      </c>
      <c r="B61" s="16" t="s">
        <v>328</v>
      </c>
      <c r="C61" s="84" t="s">
        <v>329</v>
      </c>
      <c r="D61" s="85" t="s">
        <v>330</v>
      </c>
      <c r="E61" s="86" t="s">
        <v>308</v>
      </c>
      <c r="F61" s="16" t="s">
        <v>179</v>
      </c>
      <c r="G61" s="87">
        <f>CHOOSE(IF(OR($C$3="Expert input",$I$57=0),4,IF($C$3="+25%",2,IF($C$3="+50%",3,1))),G57,G58,G59,G60)</f>
        <v>0.01</v>
      </c>
      <c r="H61" s="88">
        <f>CHOOSE(IF(OR($C$3="Expert input",$I$57=0),4,IF($C$3="+25%",2,IF($C$3="+50%",3,1))),H57,H58,H59,H60)</f>
        <v>100</v>
      </c>
      <c r="I61" s="88">
        <f t="shared" si="5"/>
        <v>1</v>
      </c>
      <c r="J61" s="54">
        <f>J57</f>
        <v>0</v>
      </c>
      <c r="K61" s="53">
        <f>CHOOSE(IF(OR($C$3="Expert input",$I$57=0),4,IF($C$3="+25%",2,IF($C$3="+50%",3,1))),K57,K58,K59,K60)</f>
        <v>1</v>
      </c>
      <c r="L61" s="54">
        <f t="shared" si="6"/>
        <v>0</v>
      </c>
      <c r="M61" s="53">
        <f t="shared" si="7"/>
        <v>0</v>
      </c>
      <c r="N61" s="54">
        <f t="shared" si="8"/>
        <v>0</v>
      </c>
      <c r="O61" s="43"/>
      <c r="P61" s="43"/>
      <c r="Q61" s="43"/>
      <c r="R61" s="43">
        <v>0.5</v>
      </c>
      <c r="S61" s="43">
        <v>0.5</v>
      </c>
      <c r="T61" s="43"/>
      <c r="U61" s="43"/>
      <c r="V61" s="43"/>
      <c r="W61" s="43"/>
      <c r="X61" s="43"/>
      <c r="Y61" s="43"/>
      <c r="Z61" s="43"/>
      <c r="AA61" s="89">
        <f>O61*$M61</f>
        <v>0</v>
      </c>
      <c r="AB61" s="90">
        <f>O61*$N61</f>
        <v>0</v>
      </c>
      <c r="AC61" s="89">
        <f>P61*$M61</f>
        <v>0</v>
      </c>
      <c r="AD61" s="90">
        <f>P61*$N61</f>
        <v>0</v>
      </c>
      <c r="AE61" s="89">
        <f>Q61*$M61</f>
        <v>0</v>
      </c>
      <c r="AF61" s="90">
        <f>Q61*$N61</f>
        <v>0</v>
      </c>
      <c r="AG61" s="89">
        <f>R61*$M61</f>
        <v>0</v>
      </c>
      <c r="AH61" s="90">
        <f>R61*$N61</f>
        <v>0</v>
      </c>
      <c r="AI61" s="89">
        <f>S61*$M61</f>
        <v>0</v>
      </c>
      <c r="AJ61" s="90">
        <f>S61*$N61</f>
        <v>0</v>
      </c>
      <c r="AK61" s="89">
        <f>T61*$M61</f>
        <v>0</v>
      </c>
      <c r="AL61" s="90">
        <f>T61*$N61</f>
        <v>0</v>
      </c>
      <c r="AM61" s="89">
        <f>U61*$M61</f>
        <v>0</v>
      </c>
      <c r="AN61" s="90">
        <f>U61*$N61</f>
        <v>0</v>
      </c>
      <c r="AO61" s="89">
        <f>V61*$M61</f>
        <v>0</v>
      </c>
      <c r="AP61" s="90">
        <f>V61*$N61</f>
        <v>0</v>
      </c>
      <c r="AQ61" s="89">
        <f>W61*$M61</f>
        <v>0</v>
      </c>
      <c r="AR61" s="90">
        <f>W61*$N61</f>
        <v>0</v>
      </c>
      <c r="AS61" s="89">
        <f>X61*$M61</f>
        <v>0</v>
      </c>
      <c r="AT61" s="90">
        <f>X61*$N61</f>
        <v>0</v>
      </c>
      <c r="AU61" s="89">
        <f>Y61*$M61</f>
        <v>0</v>
      </c>
      <c r="AV61" s="90">
        <f>Y61*$N61</f>
        <v>0</v>
      </c>
      <c r="AW61" s="89">
        <f>Z61*$M61</f>
        <v>0</v>
      </c>
      <c r="AX61" s="90">
        <f>Z61*$N61</f>
        <v>0</v>
      </c>
    </row>
    <row r="62" spans="1:50" outlineLevel="1">
      <c r="A62" s="58" t="s">
        <v>331</v>
      </c>
      <c r="B62" s="59" t="s">
        <v>332</v>
      </c>
      <c r="C62" s="60" t="s">
        <v>333</v>
      </c>
      <c r="D62" s="61" t="s">
        <v>330</v>
      </c>
      <c r="E62" s="62" t="s">
        <v>109</v>
      </c>
      <c r="F62" s="59" t="s">
        <v>62</v>
      </c>
      <c r="G62" s="63">
        <f>IFERROR(INDEX('Benchmark Data'!$AC$7:$AC$130,MATCH($A62,'Benchmark Data'!$A$7:$A$130,0)),0)</f>
        <v>11</v>
      </c>
      <c r="H62" s="64">
        <f>IFERROR(INDEX('Benchmark Data'!$AD$7:$AD$130,MATCH($A62,'Benchmark Data'!$A$7:$A$130,0)),0)</f>
        <v>227.27272727272728</v>
      </c>
      <c r="I62" s="65">
        <f t="shared" si="5"/>
        <v>2500</v>
      </c>
      <c r="J62" s="66">
        <f>$E$8</f>
        <v>0</v>
      </c>
      <c r="K62" s="29">
        <f>IFERROR(INDEX('Benchmark Data'!$AE$7:$AE$130,MATCH($A62,'Benchmark Data'!$A$7:$A$130,0)),0)</f>
        <v>1</v>
      </c>
      <c r="L62" s="67">
        <f t="shared" si="6"/>
        <v>0</v>
      </c>
      <c r="M62" s="68">
        <f t="shared" si="7"/>
        <v>0</v>
      </c>
      <c r="N62" s="69">
        <f t="shared" si="8"/>
        <v>0</v>
      </c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</row>
    <row r="63" spans="1:50" outlineLevel="1">
      <c r="A63" s="71" t="s">
        <v>331</v>
      </c>
      <c r="B63" s="72" t="s">
        <v>332</v>
      </c>
      <c r="C63" s="73" t="s">
        <v>333</v>
      </c>
      <c r="D63" s="71" t="s">
        <v>330</v>
      </c>
      <c r="E63" s="74" t="s">
        <v>109</v>
      </c>
      <c r="F63" s="17" t="s">
        <v>63</v>
      </c>
      <c r="G63" s="75">
        <f>G62</f>
        <v>11</v>
      </c>
      <c r="H63" s="76">
        <f>H62*(1+Settings!$C$8)</f>
        <v>284.09090909090912</v>
      </c>
      <c r="I63" s="76">
        <f t="shared" si="5"/>
        <v>3125.0000000000005</v>
      </c>
      <c r="J63" s="77">
        <f>J62</f>
        <v>0</v>
      </c>
      <c r="K63" s="51">
        <f>K62</f>
        <v>1</v>
      </c>
      <c r="L63" s="52">
        <f t="shared" si="6"/>
        <v>0</v>
      </c>
      <c r="M63" s="51">
        <f t="shared" si="7"/>
        <v>0</v>
      </c>
      <c r="N63" s="78">
        <f t="shared" si="8"/>
        <v>0</v>
      </c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</row>
    <row r="64" spans="1:50" outlineLevel="1">
      <c r="A64" s="71" t="s">
        <v>331</v>
      </c>
      <c r="B64" s="72" t="s">
        <v>332</v>
      </c>
      <c r="C64" s="73" t="s">
        <v>333</v>
      </c>
      <c r="D64" s="71" t="s">
        <v>330</v>
      </c>
      <c r="E64" s="74" t="s">
        <v>109</v>
      </c>
      <c r="F64" s="17" t="s">
        <v>64</v>
      </c>
      <c r="G64" s="75">
        <f>G62</f>
        <v>11</v>
      </c>
      <c r="H64" s="76">
        <f>H62*(1+Settings!$C$9)</f>
        <v>340.90909090909093</v>
      </c>
      <c r="I64" s="76">
        <f t="shared" si="5"/>
        <v>3750.0000000000005</v>
      </c>
      <c r="J64" s="77">
        <f>J62</f>
        <v>0</v>
      </c>
      <c r="K64" s="51">
        <f>K62</f>
        <v>1</v>
      </c>
      <c r="L64" s="52">
        <f t="shared" si="6"/>
        <v>0</v>
      </c>
      <c r="M64" s="51">
        <f t="shared" si="7"/>
        <v>0</v>
      </c>
      <c r="N64" s="78">
        <f t="shared" si="8"/>
        <v>0</v>
      </c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</row>
    <row r="65" spans="1:50" outlineLevel="1">
      <c r="A65" s="71" t="s">
        <v>331</v>
      </c>
      <c r="B65" s="72" t="s">
        <v>332</v>
      </c>
      <c r="C65" s="73" t="s">
        <v>333</v>
      </c>
      <c r="D65" s="71" t="s">
        <v>330</v>
      </c>
      <c r="E65" s="74" t="s">
        <v>109</v>
      </c>
      <c r="F65" s="17" t="s">
        <v>65</v>
      </c>
      <c r="G65" s="80">
        <f>G62</f>
        <v>11</v>
      </c>
      <c r="H65" s="81">
        <f>H62</f>
        <v>227.27272727272728</v>
      </c>
      <c r="I65" s="76">
        <f t="shared" si="5"/>
        <v>2500</v>
      </c>
      <c r="J65" s="77">
        <f>J62</f>
        <v>0</v>
      </c>
      <c r="K65" s="82">
        <f>K62</f>
        <v>1</v>
      </c>
      <c r="L65" s="52">
        <f t="shared" si="6"/>
        <v>0</v>
      </c>
      <c r="M65" s="51">
        <f t="shared" si="7"/>
        <v>0</v>
      </c>
      <c r="N65" s="78">
        <f t="shared" si="8"/>
        <v>0</v>
      </c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</row>
    <row r="66" spans="1:50">
      <c r="A66" s="83" t="s">
        <v>331</v>
      </c>
      <c r="B66" s="16" t="s">
        <v>332</v>
      </c>
      <c r="C66" s="84" t="s">
        <v>333</v>
      </c>
      <c r="D66" s="85" t="s">
        <v>330</v>
      </c>
      <c r="E66" s="86" t="s">
        <v>109</v>
      </c>
      <c r="F66" s="16" t="s">
        <v>179</v>
      </c>
      <c r="G66" s="87">
        <f>CHOOSE(IF(OR($C$3="Expert input",$I$62=0),4,IF($C$3="+25%",2,IF($C$3="+50%",3,1))),G62,G63,G64,G65)</f>
        <v>11</v>
      </c>
      <c r="H66" s="88">
        <f>CHOOSE(IF(OR($C$3="Expert input",$I$62=0),4,IF($C$3="+25%",2,IF($C$3="+50%",3,1))),H62,H63,H64,H65)</f>
        <v>227.27272727272728</v>
      </c>
      <c r="I66" s="88">
        <f t="shared" si="5"/>
        <v>2500</v>
      </c>
      <c r="J66" s="54">
        <f>J62</f>
        <v>0</v>
      </c>
      <c r="K66" s="53">
        <f>CHOOSE(IF(OR($C$3="Expert input",$I$62=0),4,IF($C$3="+25%",2,IF($C$3="+50%",3,1))),K62,K63,K64,K65)</f>
        <v>1</v>
      </c>
      <c r="L66" s="54">
        <f t="shared" si="6"/>
        <v>0</v>
      </c>
      <c r="M66" s="53">
        <f t="shared" si="7"/>
        <v>0</v>
      </c>
      <c r="N66" s="54">
        <f t="shared" si="8"/>
        <v>0</v>
      </c>
      <c r="O66" s="43"/>
      <c r="P66" s="43"/>
      <c r="Q66" s="43"/>
      <c r="R66" s="43">
        <v>0.75</v>
      </c>
      <c r="S66" s="43">
        <v>0.25</v>
      </c>
      <c r="T66" s="43"/>
      <c r="U66" s="43"/>
      <c r="V66" s="43"/>
      <c r="W66" s="43"/>
      <c r="X66" s="43"/>
      <c r="Y66" s="43"/>
      <c r="Z66" s="43"/>
      <c r="AA66" s="89">
        <f>O66*$M66</f>
        <v>0</v>
      </c>
      <c r="AB66" s="90">
        <f>O66*$N66</f>
        <v>0</v>
      </c>
      <c r="AC66" s="89">
        <f>P66*$M66</f>
        <v>0</v>
      </c>
      <c r="AD66" s="90">
        <f>P66*$N66</f>
        <v>0</v>
      </c>
      <c r="AE66" s="89">
        <f>Q66*$M66</f>
        <v>0</v>
      </c>
      <c r="AF66" s="90">
        <f>Q66*$N66</f>
        <v>0</v>
      </c>
      <c r="AG66" s="89">
        <f>R66*$M66</f>
        <v>0</v>
      </c>
      <c r="AH66" s="90">
        <f>R66*$N66</f>
        <v>0</v>
      </c>
      <c r="AI66" s="89">
        <f>S66*$M66</f>
        <v>0</v>
      </c>
      <c r="AJ66" s="90">
        <f>S66*$N66</f>
        <v>0</v>
      </c>
      <c r="AK66" s="89">
        <f>T66*$M66</f>
        <v>0</v>
      </c>
      <c r="AL66" s="90">
        <f>T66*$N66</f>
        <v>0</v>
      </c>
      <c r="AM66" s="89">
        <f>U66*$M66</f>
        <v>0</v>
      </c>
      <c r="AN66" s="90">
        <f>U66*$N66</f>
        <v>0</v>
      </c>
      <c r="AO66" s="89">
        <f>V66*$M66</f>
        <v>0</v>
      </c>
      <c r="AP66" s="90">
        <f>V66*$N66</f>
        <v>0</v>
      </c>
      <c r="AQ66" s="89">
        <f>W66*$M66</f>
        <v>0</v>
      </c>
      <c r="AR66" s="90">
        <f>W66*$N66</f>
        <v>0</v>
      </c>
      <c r="AS66" s="89">
        <f>X66*$M66</f>
        <v>0</v>
      </c>
      <c r="AT66" s="90">
        <f>X66*$N66</f>
        <v>0</v>
      </c>
      <c r="AU66" s="89">
        <f>Y66*$M66</f>
        <v>0</v>
      </c>
      <c r="AV66" s="90">
        <f>Y66*$N66</f>
        <v>0</v>
      </c>
      <c r="AW66" s="89">
        <f>Z66*$M66</f>
        <v>0</v>
      </c>
      <c r="AX66" s="90">
        <f>Z66*$N66</f>
        <v>0</v>
      </c>
    </row>
    <row r="67" spans="1:50" outlineLevel="1">
      <c r="A67" s="58" t="s">
        <v>334</v>
      </c>
      <c r="B67" s="59" t="s">
        <v>335</v>
      </c>
      <c r="C67" s="60" t="s">
        <v>336</v>
      </c>
      <c r="D67" s="61" t="s">
        <v>337</v>
      </c>
      <c r="E67" s="62" t="s">
        <v>338</v>
      </c>
      <c r="F67" s="59" t="s">
        <v>62</v>
      </c>
      <c r="G67" s="63">
        <f>IFERROR(INDEX('Benchmark Data'!$AC$7:$AC$130,MATCH($A67,'Benchmark Data'!$A$7:$A$130,0)),0)</f>
        <v>0.14777777777777765</v>
      </c>
      <c r="H67" s="64">
        <f>IFERROR(INDEX('Benchmark Data'!$AD$7:$AD$130,MATCH($A67,'Benchmark Data'!$A$7:$A$130,0)),0)</f>
        <v>124.06015037593995</v>
      </c>
      <c r="I67" s="65">
        <f t="shared" si="5"/>
        <v>18.333333333333332</v>
      </c>
      <c r="J67" s="91"/>
      <c r="K67" s="29">
        <f>IFERROR(INDEX('Benchmark Data'!$AE$7:$AE$130,MATCH($A67,'Benchmark Data'!$A$7:$A$130,0)),0)</f>
        <v>1</v>
      </c>
      <c r="L67" s="67">
        <f t="shared" si="6"/>
        <v>0</v>
      </c>
      <c r="M67" s="68">
        <f t="shared" si="7"/>
        <v>0</v>
      </c>
      <c r="N67" s="69">
        <f t="shared" si="8"/>
        <v>0</v>
      </c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</row>
    <row r="68" spans="1:50" outlineLevel="1">
      <c r="A68" s="71" t="s">
        <v>334</v>
      </c>
      <c r="B68" s="72" t="s">
        <v>335</v>
      </c>
      <c r="C68" s="73" t="s">
        <v>336</v>
      </c>
      <c r="D68" s="71" t="s">
        <v>337</v>
      </c>
      <c r="E68" s="74" t="s">
        <v>338</v>
      </c>
      <c r="F68" s="17" t="s">
        <v>63</v>
      </c>
      <c r="G68" s="75">
        <f>G67</f>
        <v>0.14777777777777765</v>
      </c>
      <c r="H68" s="76">
        <f>H67*(1+Settings!$C$8)</f>
        <v>155.07518796992494</v>
      </c>
      <c r="I68" s="76">
        <f t="shared" si="5"/>
        <v>22.916666666666664</v>
      </c>
      <c r="J68" s="77">
        <f>J67</f>
        <v>0</v>
      </c>
      <c r="K68" s="51">
        <f>K67</f>
        <v>1</v>
      </c>
      <c r="L68" s="52">
        <f t="shared" si="6"/>
        <v>0</v>
      </c>
      <c r="M68" s="51">
        <f t="shared" si="7"/>
        <v>0</v>
      </c>
      <c r="N68" s="78">
        <f t="shared" si="8"/>
        <v>0</v>
      </c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</row>
    <row r="69" spans="1:50" outlineLevel="1">
      <c r="A69" s="71" t="s">
        <v>334</v>
      </c>
      <c r="B69" s="72" t="s">
        <v>335</v>
      </c>
      <c r="C69" s="73" t="s">
        <v>336</v>
      </c>
      <c r="D69" s="71" t="s">
        <v>337</v>
      </c>
      <c r="E69" s="74" t="s">
        <v>338</v>
      </c>
      <c r="F69" s="17" t="s">
        <v>64</v>
      </c>
      <c r="G69" s="75">
        <f>G67</f>
        <v>0.14777777777777765</v>
      </c>
      <c r="H69" s="76">
        <f>H67*(1+Settings!$C$9)</f>
        <v>186.09022556390994</v>
      </c>
      <c r="I69" s="76">
        <f t="shared" si="5"/>
        <v>27.5</v>
      </c>
      <c r="J69" s="77">
        <f>J67</f>
        <v>0</v>
      </c>
      <c r="K69" s="51">
        <f>K67</f>
        <v>1</v>
      </c>
      <c r="L69" s="52">
        <f t="shared" si="6"/>
        <v>0</v>
      </c>
      <c r="M69" s="51">
        <f t="shared" si="7"/>
        <v>0</v>
      </c>
      <c r="N69" s="78">
        <f t="shared" si="8"/>
        <v>0</v>
      </c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</row>
    <row r="70" spans="1:50" outlineLevel="1">
      <c r="A70" s="71" t="s">
        <v>334</v>
      </c>
      <c r="B70" s="72" t="s">
        <v>335</v>
      </c>
      <c r="C70" s="73" t="s">
        <v>336</v>
      </c>
      <c r="D70" s="71" t="s">
        <v>337</v>
      </c>
      <c r="E70" s="74" t="s">
        <v>338</v>
      </c>
      <c r="F70" s="17" t="s">
        <v>65</v>
      </c>
      <c r="G70" s="80">
        <f>G67</f>
        <v>0.14777777777777765</v>
      </c>
      <c r="H70" s="81">
        <f>H67</f>
        <v>124.06015037593995</v>
      </c>
      <c r="I70" s="76">
        <f t="shared" si="5"/>
        <v>18.333333333333332</v>
      </c>
      <c r="J70" s="77">
        <f>J67</f>
        <v>0</v>
      </c>
      <c r="K70" s="82">
        <f>K67</f>
        <v>1</v>
      </c>
      <c r="L70" s="52">
        <f t="shared" si="6"/>
        <v>0</v>
      </c>
      <c r="M70" s="51">
        <f t="shared" si="7"/>
        <v>0</v>
      </c>
      <c r="N70" s="78">
        <f t="shared" si="8"/>
        <v>0</v>
      </c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</row>
    <row r="71" spans="1:50">
      <c r="A71" s="83" t="s">
        <v>334</v>
      </c>
      <c r="B71" s="16" t="s">
        <v>335</v>
      </c>
      <c r="C71" s="84" t="s">
        <v>336</v>
      </c>
      <c r="D71" s="85" t="s">
        <v>337</v>
      </c>
      <c r="E71" s="86" t="s">
        <v>338</v>
      </c>
      <c r="F71" s="16" t="s">
        <v>179</v>
      </c>
      <c r="G71" s="87">
        <f>CHOOSE(IF(OR($C$3="Expert input",$I$67=0),4,IF($C$3="+25%",2,IF($C$3="+50%",3,1))),G67,G68,G69,G70)</f>
        <v>0.14777777777777765</v>
      </c>
      <c r="H71" s="88">
        <f>CHOOSE(IF(OR($C$3="Expert input",$I$67=0),4,IF($C$3="+25%",2,IF($C$3="+50%",3,1))),H67,H68,H69,H70)</f>
        <v>124.06015037593995</v>
      </c>
      <c r="I71" s="88">
        <f t="shared" si="5"/>
        <v>18.333333333333332</v>
      </c>
      <c r="J71" s="54">
        <f>J67</f>
        <v>0</v>
      </c>
      <c r="K71" s="53">
        <f>CHOOSE(IF(OR($C$3="Expert input",$I$67=0),4,IF($C$3="+25%",2,IF($C$3="+50%",3,1))),K67,K68,K69,K70)</f>
        <v>1</v>
      </c>
      <c r="L71" s="54">
        <f t="shared" si="6"/>
        <v>0</v>
      </c>
      <c r="M71" s="53">
        <f t="shared" si="7"/>
        <v>0</v>
      </c>
      <c r="N71" s="54">
        <f t="shared" si="8"/>
        <v>0</v>
      </c>
      <c r="O71" s="43"/>
      <c r="P71" s="43"/>
      <c r="Q71" s="43"/>
      <c r="R71" s="43">
        <v>0.5</v>
      </c>
      <c r="S71" s="43">
        <v>0.34</v>
      </c>
      <c r="T71" s="43">
        <v>0.16</v>
      </c>
      <c r="U71" s="43"/>
      <c r="V71" s="43"/>
      <c r="W71" s="43"/>
      <c r="X71" s="43"/>
      <c r="Y71" s="43"/>
      <c r="Z71" s="43"/>
      <c r="AA71" s="89">
        <f>O71*$M71</f>
        <v>0</v>
      </c>
      <c r="AB71" s="90">
        <f>O71*$N71</f>
        <v>0</v>
      </c>
      <c r="AC71" s="89">
        <f>P71*$M71</f>
        <v>0</v>
      </c>
      <c r="AD71" s="90">
        <f>P71*$N71</f>
        <v>0</v>
      </c>
      <c r="AE71" s="89">
        <f>Q71*$M71</f>
        <v>0</v>
      </c>
      <c r="AF71" s="90">
        <f>Q71*$N71</f>
        <v>0</v>
      </c>
      <c r="AG71" s="89">
        <f>R71*$M71</f>
        <v>0</v>
      </c>
      <c r="AH71" s="90">
        <f>R71*$N71</f>
        <v>0</v>
      </c>
      <c r="AI71" s="89">
        <f>S71*$M71</f>
        <v>0</v>
      </c>
      <c r="AJ71" s="90">
        <f>S71*$N71</f>
        <v>0</v>
      </c>
      <c r="AK71" s="89">
        <f>T71*$M71</f>
        <v>0</v>
      </c>
      <c r="AL71" s="90">
        <f>T71*$N71</f>
        <v>0</v>
      </c>
      <c r="AM71" s="89">
        <f>U71*$M71</f>
        <v>0</v>
      </c>
      <c r="AN71" s="90">
        <f>U71*$N71</f>
        <v>0</v>
      </c>
      <c r="AO71" s="89">
        <f>V71*$M71</f>
        <v>0</v>
      </c>
      <c r="AP71" s="90">
        <f>V71*$N71</f>
        <v>0</v>
      </c>
      <c r="AQ71" s="89">
        <f>W71*$M71</f>
        <v>0</v>
      </c>
      <c r="AR71" s="90">
        <f>W71*$N71</f>
        <v>0</v>
      </c>
      <c r="AS71" s="89">
        <f>X71*$M71</f>
        <v>0</v>
      </c>
      <c r="AT71" s="90">
        <f>X71*$N71</f>
        <v>0</v>
      </c>
      <c r="AU71" s="89">
        <f>Y71*$M71</f>
        <v>0</v>
      </c>
      <c r="AV71" s="90">
        <f>Y71*$N71</f>
        <v>0</v>
      </c>
      <c r="AW71" s="89">
        <f>Z71*$M71</f>
        <v>0</v>
      </c>
      <c r="AX71" s="90">
        <f>Z71*$N71</f>
        <v>0</v>
      </c>
    </row>
    <row r="72" spans="1:50" outlineLevel="1">
      <c r="A72" s="58" t="s">
        <v>339</v>
      </c>
      <c r="B72" s="59" t="s">
        <v>340</v>
      </c>
      <c r="C72" s="60" t="s">
        <v>341</v>
      </c>
      <c r="D72" s="61" t="s">
        <v>337</v>
      </c>
      <c r="E72" s="62" t="s">
        <v>338</v>
      </c>
      <c r="F72" s="59" t="s">
        <v>62</v>
      </c>
      <c r="G72" s="63">
        <f>IFERROR(INDEX('Benchmark Data'!$AC$7:$AC$130,MATCH($A72,'Benchmark Data'!$A$7:$A$130,0)),0)</f>
        <v>6.1666666666666668E-2</v>
      </c>
      <c r="H72" s="64">
        <f>IFERROR(INDEX('Benchmark Data'!$AD$7:$AD$130,MATCH($A72,'Benchmark Data'!$A$7:$A$130,0)),0)</f>
        <v>121.62162162162161</v>
      </c>
      <c r="I72" s="65">
        <f t="shared" si="5"/>
        <v>7.5</v>
      </c>
      <c r="J72" s="91"/>
      <c r="K72" s="29">
        <f>IFERROR(INDEX('Benchmark Data'!$AE$7:$AE$130,MATCH($A72,'Benchmark Data'!$A$7:$A$130,0)),0)</f>
        <v>1</v>
      </c>
      <c r="L72" s="67">
        <f t="shared" si="6"/>
        <v>0</v>
      </c>
      <c r="M72" s="68">
        <f t="shared" si="7"/>
        <v>0</v>
      </c>
      <c r="N72" s="69">
        <f t="shared" si="8"/>
        <v>0</v>
      </c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</row>
    <row r="73" spans="1:50" outlineLevel="1">
      <c r="A73" s="71" t="s">
        <v>339</v>
      </c>
      <c r="B73" s="72" t="s">
        <v>340</v>
      </c>
      <c r="C73" s="73" t="s">
        <v>341</v>
      </c>
      <c r="D73" s="71" t="s">
        <v>337</v>
      </c>
      <c r="E73" s="74" t="s">
        <v>338</v>
      </c>
      <c r="F73" s="17" t="s">
        <v>63</v>
      </c>
      <c r="G73" s="75">
        <f>G72</f>
        <v>6.1666666666666668E-2</v>
      </c>
      <c r="H73" s="76">
        <f>H72*(1+Settings!$C$8)</f>
        <v>152.02702702702703</v>
      </c>
      <c r="I73" s="76">
        <f t="shared" si="5"/>
        <v>9.375</v>
      </c>
      <c r="J73" s="77">
        <f>J72</f>
        <v>0</v>
      </c>
      <c r="K73" s="51">
        <f>K72</f>
        <v>1</v>
      </c>
      <c r="L73" s="52">
        <f t="shared" si="6"/>
        <v>0</v>
      </c>
      <c r="M73" s="51">
        <f t="shared" si="7"/>
        <v>0</v>
      </c>
      <c r="N73" s="78">
        <f t="shared" si="8"/>
        <v>0</v>
      </c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</row>
    <row r="74" spans="1:50" outlineLevel="1">
      <c r="A74" s="71" t="s">
        <v>339</v>
      </c>
      <c r="B74" s="72" t="s">
        <v>340</v>
      </c>
      <c r="C74" s="73" t="s">
        <v>341</v>
      </c>
      <c r="D74" s="71" t="s">
        <v>337</v>
      </c>
      <c r="E74" s="74" t="s">
        <v>338</v>
      </c>
      <c r="F74" s="17" t="s">
        <v>64</v>
      </c>
      <c r="G74" s="75">
        <f>G72</f>
        <v>6.1666666666666668E-2</v>
      </c>
      <c r="H74" s="76">
        <f>H72*(1+Settings!$C$9)</f>
        <v>182.43243243243242</v>
      </c>
      <c r="I74" s="76">
        <f t="shared" si="5"/>
        <v>11.25</v>
      </c>
      <c r="J74" s="77">
        <f>J72</f>
        <v>0</v>
      </c>
      <c r="K74" s="51">
        <f>K72</f>
        <v>1</v>
      </c>
      <c r="L74" s="52">
        <f t="shared" si="6"/>
        <v>0</v>
      </c>
      <c r="M74" s="51">
        <f t="shared" si="7"/>
        <v>0</v>
      </c>
      <c r="N74" s="78">
        <f t="shared" si="8"/>
        <v>0</v>
      </c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</row>
    <row r="75" spans="1:50" outlineLevel="1">
      <c r="A75" s="71" t="s">
        <v>339</v>
      </c>
      <c r="B75" s="72" t="s">
        <v>340</v>
      </c>
      <c r="C75" s="73" t="s">
        <v>341</v>
      </c>
      <c r="D75" s="71" t="s">
        <v>337</v>
      </c>
      <c r="E75" s="74" t="s">
        <v>338</v>
      </c>
      <c r="F75" s="17" t="s">
        <v>65</v>
      </c>
      <c r="G75" s="80">
        <f>G72</f>
        <v>6.1666666666666668E-2</v>
      </c>
      <c r="H75" s="81">
        <f>H72</f>
        <v>121.62162162162161</v>
      </c>
      <c r="I75" s="76">
        <f t="shared" si="5"/>
        <v>7.5</v>
      </c>
      <c r="J75" s="77">
        <f>J72</f>
        <v>0</v>
      </c>
      <c r="K75" s="82">
        <f>K72</f>
        <v>1</v>
      </c>
      <c r="L75" s="52">
        <f t="shared" si="6"/>
        <v>0</v>
      </c>
      <c r="M75" s="51">
        <f t="shared" si="7"/>
        <v>0</v>
      </c>
      <c r="N75" s="78">
        <f t="shared" si="8"/>
        <v>0</v>
      </c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</row>
    <row r="76" spans="1:50">
      <c r="A76" s="83" t="s">
        <v>339</v>
      </c>
      <c r="B76" s="16" t="s">
        <v>340</v>
      </c>
      <c r="C76" s="84" t="s">
        <v>341</v>
      </c>
      <c r="D76" s="85" t="s">
        <v>337</v>
      </c>
      <c r="E76" s="86" t="s">
        <v>338</v>
      </c>
      <c r="F76" s="16" t="s">
        <v>179</v>
      </c>
      <c r="G76" s="87">
        <f>CHOOSE(IF(OR($C$3="Expert input",$I$72=0),4,IF($C$3="+25%",2,IF($C$3="+50%",3,1))),G72,G73,G74,G75)</f>
        <v>6.1666666666666668E-2</v>
      </c>
      <c r="H76" s="88">
        <f>CHOOSE(IF(OR($C$3="Expert input",$I$72=0),4,IF($C$3="+25%",2,IF($C$3="+50%",3,1))),H72,H73,H74,H75)</f>
        <v>121.62162162162161</v>
      </c>
      <c r="I76" s="88">
        <f t="shared" si="5"/>
        <v>7.5</v>
      </c>
      <c r="J76" s="54">
        <f>J72</f>
        <v>0</v>
      </c>
      <c r="K76" s="53">
        <f>CHOOSE(IF(OR($C$3="Expert input",$I$72=0),4,IF($C$3="+25%",2,IF($C$3="+50%",3,1))),K72,K73,K74,K75)</f>
        <v>1</v>
      </c>
      <c r="L76" s="54">
        <f t="shared" si="6"/>
        <v>0</v>
      </c>
      <c r="M76" s="53">
        <f t="shared" si="7"/>
        <v>0</v>
      </c>
      <c r="N76" s="54">
        <f t="shared" si="8"/>
        <v>0</v>
      </c>
      <c r="O76" s="43"/>
      <c r="P76" s="43"/>
      <c r="Q76" s="43"/>
      <c r="R76" s="43"/>
      <c r="S76" s="43"/>
      <c r="T76" s="43"/>
      <c r="U76" s="43">
        <v>0.67</v>
      </c>
      <c r="V76" s="43">
        <v>0.33</v>
      </c>
      <c r="W76" s="43"/>
      <c r="X76" s="43"/>
      <c r="Y76" s="43"/>
      <c r="Z76" s="43"/>
      <c r="AA76" s="89">
        <f>O76*$M76</f>
        <v>0</v>
      </c>
      <c r="AB76" s="90">
        <f>O76*$N76</f>
        <v>0</v>
      </c>
      <c r="AC76" s="89">
        <f>P76*$M76</f>
        <v>0</v>
      </c>
      <c r="AD76" s="90">
        <f>P76*$N76</f>
        <v>0</v>
      </c>
      <c r="AE76" s="89">
        <f>Q76*$M76</f>
        <v>0</v>
      </c>
      <c r="AF76" s="90">
        <f>Q76*$N76</f>
        <v>0</v>
      </c>
      <c r="AG76" s="89">
        <f>R76*$M76</f>
        <v>0</v>
      </c>
      <c r="AH76" s="90">
        <f>R76*$N76</f>
        <v>0</v>
      </c>
      <c r="AI76" s="89">
        <f>S76*$M76</f>
        <v>0</v>
      </c>
      <c r="AJ76" s="90">
        <f>S76*$N76</f>
        <v>0</v>
      </c>
      <c r="AK76" s="89">
        <f>T76*$M76</f>
        <v>0</v>
      </c>
      <c r="AL76" s="90">
        <f>T76*$N76</f>
        <v>0</v>
      </c>
      <c r="AM76" s="89">
        <f>U76*$M76</f>
        <v>0</v>
      </c>
      <c r="AN76" s="90">
        <f>U76*$N76</f>
        <v>0</v>
      </c>
      <c r="AO76" s="89">
        <f>V76*$M76</f>
        <v>0</v>
      </c>
      <c r="AP76" s="90">
        <f>V76*$N76</f>
        <v>0</v>
      </c>
      <c r="AQ76" s="89">
        <f>W76*$M76</f>
        <v>0</v>
      </c>
      <c r="AR76" s="90">
        <f>W76*$N76</f>
        <v>0</v>
      </c>
      <c r="AS76" s="89">
        <f>X76*$M76</f>
        <v>0</v>
      </c>
      <c r="AT76" s="90">
        <f>X76*$N76</f>
        <v>0</v>
      </c>
      <c r="AU76" s="89">
        <f>Y76*$M76</f>
        <v>0</v>
      </c>
      <c r="AV76" s="90">
        <f>Y76*$N76</f>
        <v>0</v>
      </c>
      <c r="AW76" s="89">
        <f>Z76*$M76</f>
        <v>0</v>
      </c>
      <c r="AX76" s="90">
        <f>Z76*$N76</f>
        <v>0</v>
      </c>
    </row>
    <row r="77" spans="1:50" outlineLevel="1">
      <c r="A77" s="58" t="s">
        <v>342</v>
      </c>
      <c r="B77" s="59" t="s">
        <v>343</v>
      </c>
      <c r="C77" s="60" t="s">
        <v>344</v>
      </c>
      <c r="D77" s="61" t="s">
        <v>337</v>
      </c>
      <c r="E77" s="62" t="s">
        <v>338</v>
      </c>
      <c r="F77" s="59" t="s">
        <v>62</v>
      </c>
      <c r="G77" s="63">
        <f>IFERROR(INDEX('Benchmark Data'!$AC$7:$AC$130,MATCH($A77,'Benchmark Data'!$A$7:$A$130,0)),0)</f>
        <v>0</v>
      </c>
      <c r="H77" s="64">
        <f>IFERROR(INDEX('Benchmark Data'!$AD$7:$AD$130,MATCH($A77,'Benchmark Data'!$A$7:$A$130,0)),0)</f>
        <v>0</v>
      </c>
      <c r="I77" s="65">
        <f t="shared" si="5"/>
        <v>0</v>
      </c>
      <c r="J77" s="91"/>
      <c r="K77" s="29">
        <f>IFERROR(INDEX('Benchmark Data'!$AE$7:$AE$130,MATCH($A77,'Benchmark Data'!$A$7:$A$130,0)),0)</f>
        <v>1</v>
      </c>
      <c r="L77" s="67">
        <f t="shared" si="6"/>
        <v>0</v>
      </c>
      <c r="M77" s="68">
        <f t="shared" si="7"/>
        <v>0</v>
      </c>
      <c r="N77" s="69">
        <f t="shared" si="8"/>
        <v>0</v>
      </c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</row>
    <row r="78" spans="1:50" outlineLevel="1">
      <c r="A78" s="71" t="s">
        <v>342</v>
      </c>
      <c r="B78" s="72" t="s">
        <v>343</v>
      </c>
      <c r="C78" s="73" t="s">
        <v>344</v>
      </c>
      <c r="D78" s="71" t="s">
        <v>337</v>
      </c>
      <c r="E78" s="74" t="s">
        <v>338</v>
      </c>
      <c r="F78" s="17" t="s">
        <v>63</v>
      </c>
      <c r="G78" s="75">
        <f>G77</f>
        <v>0</v>
      </c>
      <c r="H78" s="76">
        <f>H77*(1+Settings!$C$8)</f>
        <v>0</v>
      </c>
      <c r="I78" s="76">
        <f t="shared" si="5"/>
        <v>0</v>
      </c>
      <c r="J78" s="77">
        <f>J77</f>
        <v>0</v>
      </c>
      <c r="K78" s="51">
        <f>K77</f>
        <v>1</v>
      </c>
      <c r="L78" s="52">
        <f t="shared" si="6"/>
        <v>0</v>
      </c>
      <c r="M78" s="51">
        <f t="shared" si="7"/>
        <v>0</v>
      </c>
      <c r="N78" s="78">
        <f t="shared" si="8"/>
        <v>0</v>
      </c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</row>
    <row r="79" spans="1:50" outlineLevel="1">
      <c r="A79" s="71" t="s">
        <v>342</v>
      </c>
      <c r="B79" s="72" t="s">
        <v>343</v>
      </c>
      <c r="C79" s="73" t="s">
        <v>344</v>
      </c>
      <c r="D79" s="71" t="s">
        <v>337</v>
      </c>
      <c r="E79" s="74" t="s">
        <v>338</v>
      </c>
      <c r="F79" s="17" t="s">
        <v>64</v>
      </c>
      <c r="G79" s="75">
        <f>G77</f>
        <v>0</v>
      </c>
      <c r="H79" s="76">
        <f>H77*(1+Settings!$C$9)</f>
        <v>0</v>
      </c>
      <c r="I79" s="76">
        <f t="shared" si="5"/>
        <v>0</v>
      </c>
      <c r="J79" s="77">
        <f>J77</f>
        <v>0</v>
      </c>
      <c r="K79" s="51">
        <f>K77</f>
        <v>1</v>
      </c>
      <c r="L79" s="52">
        <f t="shared" si="6"/>
        <v>0</v>
      </c>
      <c r="M79" s="51">
        <f t="shared" si="7"/>
        <v>0</v>
      </c>
      <c r="N79" s="78">
        <f t="shared" si="8"/>
        <v>0</v>
      </c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</row>
    <row r="80" spans="1:50" outlineLevel="1">
      <c r="A80" s="71" t="s">
        <v>342</v>
      </c>
      <c r="B80" s="72" t="s">
        <v>343</v>
      </c>
      <c r="C80" s="73" t="s">
        <v>344</v>
      </c>
      <c r="D80" s="71" t="s">
        <v>337</v>
      </c>
      <c r="E80" s="74" t="s">
        <v>338</v>
      </c>
      <c r="F80" s="17" t="s">
        <v>65</v>
      </c>
      <c r="G80" s="80">
        <f>IFERROR(INDEX('Benchmark Data'!$AH$7:$AH$130,MATCH($A80,'Benchmark Data'!$A$7:$A$130,0)),0)</f>
        <v>0.05</v>
      </c>
      <c r="H80" s="81">
        <f>IFERROR(INDEX('Benchmark Data'!$AI$7:$AI$130,MATCH($A80,'Benchmark Data'!$A$7:$A$130,0)),0)</f>
        <v>100</v>
      </c>
      <c r="I80" s="76">
        <f t="shared" si="5"/>
        <v>5</v>
      </c>
      <c r="J80" s="77">
        <f>J77</f>
        <v>0</v>
      </c>
      <c r="K80" s="82">
        <f>IFERROR(INDEX('Benchmark Data'!$AJ$7:$AJ$130,MATCH($A80,'Benchmark Data'!$A$7:$A$130,0)),0)</f>
        <v>1</v>
      </c>
      <c r="L80" s="52">
        <f t="shared" si="6"/>
        <v>0</v>
      </c>
      <c r="M80" s="51">
        <f t="shared" si="7"/>
        <v>0</v>
      </c>
      <c r="N80" s="78">
        <f t="shared" si="8"/>
        <v>0</v>
      </c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</row>
    <row r="81" spans="1:50">
      <c r="A81" s="83" t="s">
        <v>342</v>
      </c>
      <c r="B81" s="16" t="s">
        <v>343</v>
      </c>
      <c r="C81" s="84" t="s">
        <v>344</v>
      </c>
      <c r="D81" s="85" t="s">
        <v>337</v>
      </c>
      <c r="E81" s="86" t="s">
        <v>338</v>
      </c>
      <c r="F81" s="16" t="s">
        <v>179</v>
      </c>
      <c r="G81" s="87">
        <f>CHOOSE(IF(OR($C$3="Expert input",$I$77=0),4,IF($C$3="+25%",2,IF($C$3="+50%",3,1))),G77,G78,G79,G80)</f>
        <v>0.05</v>
      </c>
      <c r="H81" s="88">
        <f>CHOOSE(IF(OR($C$3="Expert input",$I$77=0),4,IF($C$3="+25%",2,IF($C$3="+50%",3,1))),H77,H78,H79,H80)</f>
        <v>100</v>
      </c>
      <c r="I81" s="88">
        <f t="shared" ref="I81:I112" si="9">G81*H81</f>
        <v>5</v>
      </c>
      <c r="J81" s="54">
        <f>J77</f>
        <v>0</v>
      </c>
      <c r="K81" s="53">
        <f>CHOOSE(IF(OR($C$3="Expert input",$I$77=0),4,IF($C$3="+25%",2,IF($C$3="+50%",3,1))),K77,K78,K79,K80)</f>
        <v>1</v>
      </c>
      <c r="L81" s="54">
        <f t="shared" ref="L81:L112" si="10">J81*K81</f>
        <v>0</v>
      </c>
      <c r="M81" s="53">
        <f t="shared" ref="M81:M112" si="11">L81*G81</f>
        <v>0</v>
      </c>
      <c r="N81" s="54">
        <f t="shared" ref="N81:N91" si="12">L81*I81</f>
        <v>0</v>
      </c>
      <c r="O81" s="43"/>
      <c r="P81" s="43"/>
      <c r="Q81" s="43"/>
      <c r="R81" s="43"/>
      <c r="S81" s="43"/>
      <c r="T81" s="43"/>
      <c r="U81" s="43"/>
      <c r="V81" s="43">
        <v>1</v>
      </c>
      <c r="W81" s="43"/>
      <c r="X81" s="43"/>
      <c r="Y81" s="43"/>
      <c r="Z81" s="43"/>
      <c r="AA81" s="89">
        <f>O81*$M81</f>
        <v>0</v>
      </c>
      <c r="AB81" s="90">
        <f>O81*$N81</f>
        <v>0</v>
      </c>
      <c r="AC81" s="89">
        <f>P81*$M81</f>
        <v>0</v>
      </c>
      <c r="AD81" s="90">
        <f>P81*$N81</f>
        <v>0</v>
      </c>
      <c r="AE81" s="89">
        <f>Q81*$M81</f>
        <v>0</v>
      </c>
      <c r="AF81" s="90">
        <f>Q81*$N81</f>
        <v>0</v>
      </c>
      <c r="AG81" s="89">
        <f>R81*$M81</f>
        <v>0</v>
      </c>
      <c r="AH81" s="90">
        <f>R81*$N81</f>
        <v>0</v>
      </c>
      <c r="AI81" s="89">
        <f>S81*$M81</f>
        <v>0</v>
      </c>
      <c r="AJ81" s="90">
        <f>S81*$N81</f>
        <v>0</v>
      </c>
      <c r="AK81" s="89">
        <f>T81*$M81</f>
        <v>0</v>
      </c>
      <c r="AL81" s="90">
        <f>T81*$N81</f>
        <v>0</v>
      </c>
      <c r="AM81" s="89">
        <f>U81*$M81</f>
        <v>0</v>
      </c>
      <c r="AN81" s="90">
        <f>U81*$N81</f>
        <v>0</v>
      </c>
      <c r="AO81" s="89">
        <f>V81*$M81</f>
        <v>0</v>
      </c>
      <c r="AP81" s="90">
        <f>V81*$N81</f>
        <v>0</v>
      </c>
      <c r="AQ81" s="89">
        <f>W81*$M81</f>
        <v>0</v>
      </c>
      <c r="AR81" s="90">
        <f>W81*$N81</f>
        <v>0</v>
      </c>
      <c r="AS81" s="89">
        <f>X81*$M81</f>
        <v>0</v>
      </c>
      <c r="AT81" s="90">
        <f>X81*$N81</f>
        <v>0</v>
      </c>
      <c r="AU81" s="89">
        <f>Y81*$M81</f>
        <v>0</v>
      </c>
      <c r="AV81" s="90">
        <f>Y81*$N81</f>
        <v>0</v>
      </c>
      <c r="AW81" s="89">
        <f>Z81*$M81</f>
        <v>0</v>
      </c>
      <c r="AX81" s="90">
        <f>Z81*$N81</f>
        <v>0</v>
      </c>
    </row>
    <row r="82" spans="1:50" outlineLevel="1">
      <c r="A82" s="58" t="s">
        <v>345</v>
      </c>
      <c r="B82" s="59" t="s">
        <v>346</v>
      </c>
      <c r="C82" s="60" t="s">
        <v>347</v>
      </c>
      <c r="D82" s="61" t="s">
        <v>337</v>
      </c>
      <c r="E82" s="62" t="s">
        <v>338</v>
      </c>
      <c r="F82" s="59" t="s">
        <v>62</v>
      </c>
      <c r="G82" s="63">
        <f>IFERROR(INDEX('Benchmark Data'!$AC$7:$AC$130,MATCH($A82,'Benchmark Data'!$A$7:$A$130,0)),0)</f>
        <v>0</v>
      </c>
      <c r="H82" s="64">
        <f>IFERROR(INDEX('Benchmark Data'!$AD$7:$AD$130,MATCH($A82,'Benchmark Data'!$A$7:$A$130,0)),0)</f>
        <v>0</v>
      </c>
      <c r="I82" s="65">
        <f t="shared" si="9"/>
        <v>0</v>
      </c>
      <c r="J82" s="91"/>
      <c r="K82" s="29">
        <f>IFERROR(INDEX('Benchmark Data'!$AE$7:$AE$130,MATCH($A82,'Benchmark Data'!$A$7:$A$130,0)),0)</f>
        <v>1</v>
      </c>
      <c r="L82" s="67">
        <f t="shared" si="10"/>
        <v>0</v>
      </c>
      <c r="M82" s="68">
        <f t="shared" si="11"/>
        <v>0</v>
      </c>
      <c r="N82" s="69">
        <f t="shared" si="12"/>
        <v>0</v>
      </c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</row>
    <row r="83" spans="1:50" outlineLevel="1">
      <c r="A83" s="71" t="s">
        <v>345</v>
      </c>
      <c r="B83" s="72" t="s">
        <v>346</v>
      </c>
      <c r="C83" s="73" t="s">
        <v>347</v>
      </c>
      <c r="D83" s="71" t="s">
        <v>337</v>
      </c>
      <c r="E83" s="74" t="s">
        <v>338</v>
      </c>
      <c r="F83" s="17" t="s">
        <v>63</v>
      </c>
      <c r="G83" s="75">
        <f>G82</f>
        <v>0</v>
      </c>
      <c r="H83" s="76">
        <f>H82*(1+Settings!$C$8)</f>
        <v>0</v>
      </c>
      <c r="I83" s="76">
        <f t="shared" si="9"/>
        <v>0</v>
      </c>
      <c r="J83" s="77">
        <f>J82</f>
        <v>0</v>
      </c>
      <c r="K83" s="51">
        <f>K82</f>
        <v>1</v>
      </c>
      <c r="L83" s="52">
        <f t="shared" si="10"/>
        <v>0</v>
      </c>
      <c r="M83" s="51">
        <f t="shared" si="11"/>
        <v>0</v>
      </c>
      <c r="N83" s="78">
        <f t="shared" si="12"/>
        <v>0</v>
      </c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</row>
    <row r="84" spans="1:50" outlineLevel="1">
      <c r="A84" s="71" t="s">
        <v>345</v>
      </c>
      <c r="B84" s="72" t="s">
        <v>346</v>
      </c>
      <c r="C84" s="73" t="s">
        <v>347</v>
      </c>
      <c r="D84" s="71" t="s">
        <v>337</v>
      </c>
      <c r="E84" s="74" t="s">
        <v>338</v>
      </c>
      <c r="F84" s="17" t="s">
        <v>64</v>
      </c>
      <c r="G84" s="75">
        <f>G82</f>
        <v>0</v>
      </c>
      <c r="H84" s="76">
        <f>H82*(1+Settings!$C$9)</f>
        <v>0</v>
      </c>
      <c r="I84" s="76">
        <f t="shared" si="9"/>
        <v>0</v>
      </c>
      <c r="J84" s="77">
        <f>J82</f>
        <v>0</v>
      </c>
      <c r="K84" s="51">
        <f>K82</f>
        <v>1</v>
      </c>
      <c r="L84" s="52">
        <f t="shared" si="10"/>
        <v>0</v>
      </c>
      <c r="M84" s="51">
        <f t="shared" si="11"/>
        <v>0</v>
      </c>
      <c r="N84" s="78">
        <f t="shared" si="12"/>
        <v>0</v>
      </c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</row>
    <row r="85" spans="1:50" outlineLevel="1">
      <c r="A85" s="71" t="s">
        <v>345</v>
      </c>
      <c r="B85" s="72" t="s">
        <v>346</v>
      </c>
      <c r="C85" s="73" t="s">
        <v>347</v>
      </c>
      <c r="D85" s="71" t="s">
        <v>337</v>
      </c>
      <c r="E85" s="74" t="s">
        <v>338</v>
      </c>
      <c r="F85" s="17" t="s">
        <v>65</v>
      </c>
      <c r="G85" s="95"/>
      <c r="H85" s="96"/>
      <c r="I85" s="76">
        <f t="shared" si="9"/>
        <v>0</v>
      </c>
      <c r="J85" s="77">
        <f>J82</f>
        <v>0</v>
      </c>
      <c r="K85" s="45">
        <v>1</v>
      </c>
      <c r="L85" s="52">
        <f t="shared" si="10"/>
        <v>0</v>
      </c>
      <c r="M85" s="51">
        <f t="shared" si="11"/>
        <v>0</v>
      </c>
      <c r="N85" s="78">
        <f t="shared" si="12"/>
        <v>0</v>
      </c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</row>
    <row r="86" spans="1:50">
      <c r="A86" s="83" t="s">
        <v>345</v>
      </c>
      <c r="B86" s="16" t="s">
        <v>346</v>
      </c>
      <c r="C86" s="84" t="s">
        <v>347</v>
      </c>
      <c r="D86" s="85" t="s">
        <v>337</v>
      </c>
      <c r="E86" s="86" t="s">
        <v>338</v>
      </c>
      <c r="F86" s="16" t="s">
        <v>179</v>
      </c>
      <c r="G86" s="87">
        <f>CHOOSE(IF(OR($C$3="Expert input",$I$82=0),4,IF($C$3="+25%",2,IF($C$3="+50%",3,1))),G82,G83,G84,G85)</f>
        <v>0</v>
      </c>
      <c r="H86" s="88">
        <f>CHOOSE(IF(OR($C$3="Expert input",$I$82=0),4,IF($C$3="+25%",2,IF($C$3="+50%",3,1))),H82,H83,H84,H85)</f>
        <v>0</v>
      </c>
      <c r="I86" s="88">
        <f t="shared" si="9"/>
        <v>0</v>
      </c>
      <c r="J86" s="54">
        <f>J82</f>
        <v>0</v>
      </c>
      <c r="K86" s="53">
        <f>CHOOSE(IF(OR($C$3="Expert input",$I$82=0),4,IF($C$3="+25%",2,IF($C$3="+50%",3,1))),K82,K83,K84,K85)</f>
        <v>1</v>
      </c>
      <c r="L86" s="54">
        <f t="shared" si="10"/>
        <v>0</v>
      </c>
      <c r="M86" s="53">
        <f t="shared" si="11"/>
        <v>0</v>
      </c>
      <c r="N86" s="54">
        <f t="shared" si="12"/>
        <v>0</v>
      </c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89">
        <f>O86*$M86</f>
        <v>0</v>
      </c>
      <c r="AB86" s="90">
        <f>O86*$N86</f>
        <v>0</v>
      </c>
      <c r="AC86" s="89">
        <f>P86*$M86</f>
        <v>0</v>
      </c>
      <c r="AD86" s="90">
        <f>P86*$N86</f>
        <v>0</v>
      </c>
      <c r="AE86" s="89">
        <f>Q86*$M86</f>
        <v>0</v>
      </c>
      <c r="AF86" s="90">
        <f>Q86*$N86</f>
        <v>0</v>
      </c>
      <c r="AG86" s="89">
        <f>R86*$M86</f>
        <v>0</v>
      </c>
      <c r="AH86" s="90">
        <f>R86*$N86</f>
        <v>0</v>
      </c>
      <c r="AI86" s="89">
        <f>S86*$M86</f>
        <v>0</v>
      </c>
      <c r="AJ86" s="90">
        <f>S86*$N86</f>
        <v>0</v>
      </c>
      <c r="AK86" s="89">
        <f>T86*$M86</f>
        <v>0</v>
      </c>
      <c r="AL86" s="90">
        <f>T86*$N86</f>
        <v>0</v>
      </c>
      <c r="AM86" s="89">
        <f>U86*$M86</f>
        <v>0</v>
      </c>
      <c r="AN86" s="90">
        <f>U86*$N86</f>
        <v>0</v>
      </c>
      <c r="AO86" s="89">
        <f>V86*$M86</f>
        <v>0</v>
      </c>
      <c r="AP86" s="90">
        <f>V86*$N86</f>
        <v>0</v>
      </c>
      <c r="AQ86" s="89">
        <f>W86*$M86</f>
        <v>0</v>
      </c>
      <c r="AR86" s="90">
        <f>W86*$N86</f>
        <v>0</v>
      </c>
      <c r="AS86" s="89">
        <f>X86*$M86</f>
        <v>0</v>
      </c>
      <c r="AT86" s="90">
        <f>X86*$N86</f>
        <v>0</v>
      </c>
      <c r="AU86" s="89">
        <f>Y86*$M86</f>
        <v>0</v>
      </c>
      <c r="AV86" s="90">
        <f>Y86*$N86</f>
        <v>0</v>
      </c>
      <c r="AW86" s="89">
        <f>Z86*$M86</f>
        <v>0</v>
      </c>
      <c r="AX86" s="90">
        <f>Z86*$N86</f>
        <v>0</v>
      </c>
    </row>
    <row r="87" spans="1:50" outlineLevel="1">
      <c r="A87" s="58" t="s">
        <v>348</v>
      </c>
      <c r="B87" s="92" t="s">
        <v>349</v>
      </c>
      <c r="C87" s="60"/>
      <c r="D87" s="93" t="s">
        <v>292</v>
      </c>
      <c r="E87" s="62" t="s">
        <v>308</v>
      </c>
      <c r="F87" s="59" t="s">
        <v>62</v>
      </c>
      <c r="G87" s="63">
        <f>IFERROR(INDEX('Benchmark Data'!$AC$7:$AC$130,MATCH($A87,'Benchmark Data'!$A$7:$A$130,0)),0)</f>
        <v>0</v>
      </c>
      <c r="H87" s="64">
        <f>IFERROR(INDEX('Benchmark Data'!$AD$7:$AD$130,MATCH($A87,'Benchmark Data'!$A$7:$A$130,0)),0)</f>
        <v>0</v>
      </c>
      <c r="I87" s="65">
        <f t="shared" si="9"/>
        <v>0</v>
      </c>
      <c r="J87" s="66">
        <f>$E$7</f>
        <v>0</v>
      </c>
      <c r="K87" s="29">
        <f>IFERROR(INDEX('Benchmark Data'!$AE$7:$AE$130,MATCH($A87,'Benchmark Data'!$A$7:$A$130,0)),0)</f>
        <v>1</v>
      </c>
      <c r="L87" s="67">
        <f t="shared" si="10"/>
        <v>0</v>
      </c>
      <c r="M87" s="68">
        <f t="shared" si="11"/>
        <v>0</v>
      </c>
      <c r="N87" s="69">
        <f t="shared" si="12"/>
        <v>0</v>
      </c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</row>
    <row r="88" spans="1:50" outlineLevel="1">
      <c r="A88" s="71" t="s">
        <v>348</v>
      </c>
      <c r="B88" s="72" t="s">
        <v>349</v>
      </c>
      <c r="C88" s="73"/>
      <c r="D88" s="94" t="s">
        <v>292</v>
      </c>
      <c r="E88" s="74" t="s">
        <v>308</v>
      </c>
      <c r="F88" s="17" t="s">
        <v>63</v>
      </c>
      <c r="G88" s="75">
        <f>G87</f>
        <v>0</v>
      </c>
      <c r="H88" s="76">
        <f>H87*(1+Settings!$C$8)</f>
        <v>0</v>
      </c>
      <c r="I88" s="76">
        <f t="shared" si="9"/>
        <v>0</v>
      </c>
      <c r="J88" s="77">
        <f>J87</f>
        <v>0</v>
      </c>
      <c r="K88" s="51">
        <f>K87</f>
        <v>1</v>
      </c>
      <c r="L88" s="52">
        <f t="shared" si="10"/>
        <v>0</v>
      </c>
      <c r="M88" s="51">
        <f t="shared" si="11"/>
        <v>0</v>
      </c>
      <c r="N88" s="78">
        <f t="shared" si="12"/>
        <v>0</v>
      </c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</row>
    <row r="89" spans="1:50" outlineLevel="1">
      <c r="A89" s="71" t="s">
        <v>348</v>
      </c>
      <c r="B89" s="72" t="s">
        <v>349</v>
      </c>
      <c r="C89" s="73"/>
      <c r="D89" s="94" t="s">
        <v>292</v>
      </c>
      <c r="E89" s="74" t="s">
        <v>308</v>
      </c>
      <c r="F89" s="17" t="s">
        <v>64</v>
      </c>
      <c r="G89" s="75">
        <f>G87</f>
        <v>0</v>
      </c>
      <c r="H89" s="76">
        <f>H87*(1+Settings!$C$9)</f>
        <v>0</v>
      </c>
      <c r="I89" s="76">
        <f t="shared" si="9"/>
        <v>0</v>
      </c>
      <c r="J89" s="77">
        <f>J87</f>
        <v>0</v>
      </c>
      <c r="K89" s="51">
        <f>K87</f>
        <v>1</v>
      </c>
      <c r="L89" s="52">
        <f t="shared" si="10"/>
        <v>0</v>
      </c>
      <c r="M89" s="51">
        <f t="shared" si="11"/>
        <v>0</v>
      </c>
      <c r="N89" s="78">
        <f t="shared" si="12"/>
        <v>0</v>
      </c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</row>
    <row r="90" spans="1:50" outlineLevel="1">
      <c r="A90" s="71" t="s">
        <v>348</v>
      </c>
      <c r="B90" s="72" t="s">
        <v>349</v>
      </c>
      <c r="C90" s="73"/>
      <c r="D90" s="94" t="s">
        <v>292</v>
      </c>
      <c r="E90" s="74" t="s">
        <v>308</v>
      </c>
      <c r="F90" s="17" t="s">
        <v>65</v>
      </c>
      <c r="G90" s="95"/>
      <c r="H90" s="96"/>
      <c r="I90" s="76">
        <f t="shared" si="9"/>
        <v>0</v>
      </c>
      <c r="J90" s="77">
        <f>J87</f>
        <v>0</v>
      </c>
      <c r="K90" s="45">
        <v>1</v>
      </c>
      <c r="L90" s="52">
        <f t="shared" si="10"/>
        <v>0</v>
      </c>
      <c r="M90" s="51">
        <f t="shared" si="11"/>
        <v>0</v>
      </c>
      <c r="N90" s="78">
        <f t="shared" si="12"/>
        <v>0</v>
      </c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</row>
    <row r="91" spans="1:50">
      <c r="A91" s="83" t="s">
        <v>348</v>
      </c>
      <c r="B91" s="97" t="s">
        <v>349</v>
      </c>
      <c r="C91" s="84"/>
      <c r="D91" s="98" t="s">
        <v>292</v>
      </c>
      <c r="E91" s="86" t="s">
        <v>308</v>
      </c>
      <c r="F91" s="16" t="s">
        <v>179</v>
      </c>
      <c r="G91" s="87">
        <f>CHOOSE(IF(OR($C$3="Expert input",$I$87=0),4,IF($C$3="+25%",2,IF($C$3="+50%",3,1))),G87,G88,G89,G90)</f>
        <v>0</v>
      </c>
      <c r="H91" s="88">
        <f>CHOOSE(IF(OR($C$3="Expert input",$I$87=0),4,IF($C$3="+25%",2,IF($C$3="+50%",3,1))),H87,H88,H89,H90)</f>
        <v>0</v>
      </c>
      <c r="I91" s="88">
        <f t="shared" si="9"/>
        <v>0</v>
      </c>
      <c r="J91" s="54">
        <f>J87</f>
        <v>0</v>
      </c>
      <c r="K91" s="53">
        <f>CHOOSE(IF(OR($C$3="Expert input",$I$87=0),4,IF($C$3="+25%",2,IF($C$3="+50%",3,1))),K87,K88,K89,K90)</f>
        <v>1</v>
      </c>
      <c r="L91" s="54">
        <f t="shared" si="10"/>
        <v>0</v>
      </c>
      <c r="M91" s="53">
        <f t="shared" si="11"/>
        <v>0</v>
      </c>
      <c r="N91" s="54">
        <f t="shared" si="12"/>
        <v>0</v>
      </c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89">
        <f>O91*$M91</f>
        <v>0</v>
      </c>
      <c r="AB91" s="90">
        <f>O91*$N91</f>
        <v>0</v>
      </c>
      <c r="AC91" s="89">
        <f>P91*$M91</f>
        <v>0</v>
      </c>
      <c r="AD91" s="90">
        <f>P91*$N91</f>
        <v>0</v>
      </c>
      <c r="AE91" s="89">
        <f>Q91*$M91</f>
        <v>0</v>
      </c>
      <c r="AF91" s="90">
        <f>Q91*$N91</f>
        <v>0</v>
      </c>
      <c r="AG91" s="89">
        <f>R91*$M91</f>
        <v>0</v>
      </c>
      <c r="AH91" s="90">
        <f>R91*$N91</f>
        <v>0</v>
      </c>
      <c r="AI91" s="89">
        <f>S91*$M91</f>
        <v>0</v>
      </c>
      <c r="AJ91" s="90">
        <f>S91*$N91</f>
        <v>0</v>
      </c>
      <c r="AK91" s="89">
        <f>T91*$M91</f>
        <v>0</v>
      </c>
      <c r="AL91" s="90">
        <f>T91*$N91</f>
        <v>0</v>
      </c>
      <c r="AM91" s="89">
        <f>U91*$M91</f>
        <v>0</v>
      </c>
      <c r="AN91" s="90">
        <f>U91*$N91</f>
        <v>0</v>
      </c>
      <c r="AO91" s="89">
        <f>V91*$M91</f>
        <v>0</v>
      </c>
      <c r="AP91" s="90">
        <f>V91*$N91</f>
        <v>0</v>
      </c>
      <c r="AQ91" s="89">
        <f>W91*$M91</f>
        <v>0</v>
      </c>
      <c r="AR91" s="90">
        <f>W91*$N91</f>
        <v>0</v>
      </c>
      <c r="AS91" s="89">
        <f>X91*$M91</f>
        <v>0</v>
      </c>
      <c r="AT91" s="90">
        <f>X91*$N91</f>
        <v>0</v>
      </c>
      <c r="AU91" s="89">
        <f>Y91*$M91</f>
        <v>0</v>
      </c>
      <c r="AV91" s="90">
        <f>Y91*$N91</f>
        <v>0</v>
      </c>
      <c r="AW91" s="89">
        <f>Z91*$M91</f>
        <v>0</v>
      </c>
      <c r="AX91" s="90">
        <f>Z91*$N91</f>
        <v>0</v>
      </c>
    </row>
  </sheetData>
  <autoFilter ref="A16:N91" xr:uid="{00000000-0009-0000-0000-000004000000}"/>
  <mergeCells count="9">
    <mergeCell ref="D3:N3"/>
    <mergeCell ref="O6:Z6"/>
    <mergeCell ref="AA6:AX6"/>
    <mergeCell ref="A15:E15"/>
    <mergeCell ref="F15:I15"/>
    <mergeCell ref="J15:K15"/>
    <mergeCell ref="L15:N15"/>
    <mergeCell ref="O15:Z15"/>
    <mergeCell ref="AA15:AX15"/>
  </mergeCells>
  <conditionalFormatting sqref="O21:Z21">
    <cfRule type="expression" dxfId="91" priority="2">
      <formula>AND($L$21&gt;0,ABS(SUM($O$21:$Z$21)-1)&gt;0.001)</formula>
    </cfRule>
  </conditionalFormatting>
  <conditionalFormatting sqref="O26:Z26">
    <cfRule type="expression" dxfId="90" priority="3">
      <formula>AND($L$26&gt;0,ABS(SUM($O$26:$Z$26)-1)&gt;0.001)</formula>
    </cfRule>
  </conditionalFormatting>
  <conditionalFormatting sqref="O31:Z31">
    <cfRule type="expression" dxfId="89" priority="4">
      <formula>AND($L$31&gt;0,ABS(SUM($O$31:$Z$31)-1)&gt;0.001)</formula>
    </cfRule>
  </conditionalFormatting>
  <conditionalFormatting sqref="O36:Z36">
    <cfRule type="expression" dxfId="88" priority="5">
      <formula>AND($L$36&gt;0,ABS(SUM($O$36:$Z$36)-1)&gt;0.001)</formula>
    </cfRule>
  </conditionalFormatting>
  <conditionalFormatting sqref="O41:Z41">
    <cfRule type="expression" dxfId="87" priority="6">
      <formula>AND($L$41&gt;0,ABS(SUM($O$41:$Z$41)-1)&gt;0.001)</formula>
    </cfRule>
  </conditionalFormatting>
  <conditionalFormatting sqref="O46:Z46">
    <cfRule type="expression" dxfId="86" priority="7">
      <formula>AND($L$46&gt;0,ABS(SUM($O$46:$Z$46)-1)&gt;0.001)</formula>
    </cfRule>
  </conditionalFormatting>
  <conditionalFormatting sqref="O51:Z51">
    <cfRule type="expression" dxfId="85" priority="8">
      <formula>AND($L$51&gt;0,ABS(SUM($O$51:$Z$51)-1)&gt;0.001)</formula>
    </cfRule>
  </conditionalFormatting>
  <conditionalFormatting sqref="O56:Z56">
    <cfRule type="expression" dxfId="84" priority="9">
      <formula>AND($L$56&gt;0,ABS(SUM($O$56:$Z$56)-1)&gt;0.001)</formula>
    </cfRule>
  </conditionalFormatting>
  <conditionalFormatting sqref="O61:Z61">
    <cfRule type="expression" dxfId="83" priority="10">
      <formula>AND($L$61&gt;0,ABS(SUM($O$61:$Z$61)-1)&gt;0.001)</formula>
    </cfRule>
  </conditionalFormatting>
  <conditionalFormatting sqref="O66:Z66">
    <cfRule type="expression" dxfId="82" priority="11">
      <formula>AND($L$66&gt;0,ABS(SUM($O$66:$Z$66)-1)&gt;0.001)</formula>
    </cfRule>
  </conditionalFormatting>
  <conditionalFormatting sqref="O71:Z71">
    <cfRule type="expression" dxfId="81" priority="12">
      <formula>AND($L$71&gt;0,ABS(SUM($O$71:$Z$71)-1)&gt;0.001)</formula>
    </cfRule>
  </conditionalFormatting>
  <conditionalFormatting sqref="O76:Z76">
    <cfRule type="expression" dxfId="80" priority="13">
      <formula>AND($L$76&gt;0,ABS(SUM($O$76:$Z$76)-1)&gt;0.001)</formula>
    </cfRule>
  </conditionalFormatting>
  <conditionalFormatting sqref="O81:Z81">
    <cfRule type="expression" dxfId="79" priority="14">
      <formula>AND($L$81&gt;0,ABS(SUM($O$81:$Z$81)-1)&gt;0.001)</formula>
    </cfRule>
  </conditionalFormatting>
  <conditionalFormatting sqref="O86:Z86">
    <cfRule type="expression" dxfId="78" priority="15">
      <formula>AND($L$86&gt;0,ABS(SUM($O$86:$Z$86)-1)&gt;0.001)</formula>
    </cfRule>
  </conditionalFormatting>
  <conditionalFormatting sqref="O91:Z91">
    <cfRule type="expression" dxfId="77" priority="16">
      <formula>AND($L$91&gt;0,ABS(SUM($O$91:$Z$91)-1)&gt;0.001)</formula>
    </cfRule>
  </conditionalFormatting>
  <dataValidations count="1">
    <dataValidation type="list" sqref="C3" xr:uid="{00000000-0002-0000-0400-000000000000}">
      <formula1>"Industry average,+25%,+50%,Expert input"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  <pageSetUpPr fitToPage="1"/>
  </sheetPr>
  <dimension ref="A1:AX191"/>
  <sheetViews>
    <sheetView showGridLines="0" zoomScale="90" zoomScaleNormal="9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/>
    </sheetView>
  </sheetViews>
  <sheetFormatPr defaultColWidth="8.6640625" defaultRowHeight="14.4" outlineLevelRow="1"/>
  <cols>
    <col min="1" max="1" width="7" customWidth="1"/>
    <col min="2" max="2" width="36" customWidth="1"/>
    <col min="3" max="3" width="24" customWidth="1"/>
    <col min="4" max="4" width="17" customWidth="1"/>
    <col min="5" max="5" width="11" customWidth="1"/>
    <col min="6" max="6" width="26" customWidth="1"/>
    <col min="7" max="9" width="10" customWidth="1"/>
    <col min="10" max="10" width="12" customWidth="1"/>
    <col min="11" max="11" width="10" customWidth="1"/>
    <col min="12" max="13" width="11" customWidth="1"/>
    <col min="14" max="14" width="13" customWidth="1"/>
    <col min="15" max="26" width="7.44140625" customWidth="1"/>
    <col min="27" max="50" width="10" customWidth="1"/>
  </cols>
  <sheetData>
    <row r="1" spans="1:50" ht="17.399999999999999">
      <c r="A1" s="8" t="s">
        <v>350</v>
      </c>
    </row>
    <row r="2" spans="1:50">
      <c r="A2" s="9" t="str">
        <f>"Farm: "&amp;Settings!$C$6&amp;"     |     Plan year: "&amp;Settings!$C$7</f>
        <v>Farm: Chaka Buna Estate (Silva Forest Coffee)     |     Plan year: 2019 EFY (2026/27) – confirm</v>
      </c>
    </row>
    <row r="3" spans="1:50" ht="21.75" customHeight="1">
      <c r="B3" s="46" t="s">
        <v>99</v>
      </c>
      <c r="C3" s="47" t="s">
        <v>62</v>
      </c>
      <c r="D3" s="3" t="s">
        <v>100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5" spans="1:50">
      <c r="B5" s="48" t="s">
        <v>101</v>
      </c>
      <c r="F5" s="48" t="s">
        <v>102</v>
      </c>
    </row>
    <row r="6" spans="1:50" ht="23.85" customHeight="1">
      <c r="B6" s="18" t="s">
        <v>56</v>
      </c>
      <c r="C6" s="18" t="s">
        <v>55</v>
      </c>
      <c r="D6" s="18" t="s">
        <v>57</v>
      </c>
      <c r="E6" s="18" t="s">
        <v>58</v>
      </c>
      <c r="F6" s="18" t="s">
        <v>103</v>
      </c>
      <c r="M6" s="18" t="s">
        <v>60</v>
      </c>
      <c r="N6" s="18" t="s">
        <v>104</v>
      </c>
      <c r="O6" s="2" t="s">
        <v>105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 t="s">
        <v>106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0">
      <c r="B7" s="17" t="s">
        <v>351</v>
      </c>
      <c r="C7" s="49" t="s">
        <v>352</v>
      </c>
      <c r="D7" s="50" t="s">
        <v>109</v>
      </c>
      <c r="E7" s="45"/>
      <c r="F7" s="17" t="s">
        <v>62</v>
      </c>
      <c r="M7" s="51">
        <f>SUMIF($F$17:$F$191,"Industry average",M$17:M$191)</f>
        <v>0</v>
      </c>
      <c r="N7" s="52">
        <f>SUMIF($F$17:$F$191,"Industry average",N$17:N$191)</f>
        <v>0</v>
      </c>
    </row>
    <row r="8" spans="1:50">
      <c r="B8" s="17" t="s">
        <v>353</v>
      </c>
      <c r="C8" s="49" t="s">
        <v>354</v>
      </c>
      <c r="D8" s="50" t="s">
        <v>112</v>
      </c>
      <c r="E8" s="44"/>
      <c r="F8" s="17" t="s">
        <v>63</v>
      </c>
      <c r="M8" s="51">
        <f>SUMIF($F$17:$F$191,"+25%",M$17:M$191)</f>
        <v>0</v>
      </c>
      <c r="N8" s="52">
        <f>SUMIF($F$17:$F$191,"+25%",N$17:N$191)</f>
        <v>0</v>
      </c>
    </row>
    <row r="9" spans="1:50">
      <c r="B9" s="17" t="s">
        <v>298</v>
      </c>
      <c r="C9" s="49" t="s">
        <v>299</v>
      </c>
      <c r="D9" s="50" t="s">
        <v>300</v>
      </c>
      <c r="E9" s="52">
        <f>IFERROR($E$8/$E$7,0)</f>
        <v>0</v>
      </c>
      <c r="F9" s="17" t="s">
        <v>64</v>
      </c>
      <c r="M9" s="51">
        <f>SUMIF($F$17:$F$191,"+50%",M$17:M$191)</f>
        <v>0</v>
      </c>
      <c r="N9" s="52">
        <f>SUMIF($F$17:$F$191,"+50%",N$17:N$191)</f>
        <v>0</v>
      </c>
    </row>
    <row r="10" spans="1:50">
      <c r="B10" s="17" t="s">
        <v>355</v>
      </c>
      <c r="C10" s="49" t="s">
        <v>356</v>
      </c>
      <c r="D10" s="50" t="s">
        <v>112</v>
      </c>
      <c r="E10" s="44"/>
      <c r="F10" s="17" t="s">
        <v>65</v>
      </c>
      <c r="M10" s="51">
        <f>SUMIF($F$17:$F$191,"Expert input",M$17:M$191)</f>
        <v>0</v>
      </c>
      <c r="N10" s="52">
        <f>SUMIF($F$17:$F$191,"Expert input",N$17:N$191)</f>
        <v>0</v>
      </c>
    </row>
    <row r="11" spans="1:50">
      <c r="F11" s="16" t="s">
        <v>120</v>
      </c>
      <c r="M11" s="53">
        <f>SUMIF($F$17:$F$191,"Chaka Buna plan",M$17:M$191)</f>
        <v>0</v>
      </c>
      <c r="N11" s="54">
        <f>SUMIF($F$17:$F$191,"Chaka Buna plan",N$17:N$191)</f>
        <v>0</v>
      </c>
      <c r="O11" s="55">
        <f>IFERROR(AB11/$N$11,0)</f>
        <v>0</v>
      </c>
      <c r="P11" s="55">
        <f>IFERROR(AD11/$N$11,0)</f>
        <v>0</v>
      </c>
      <c r="Q11" s="55">
        <f>IFERROR(AF11/$N$11,0)</f>
        <v>0</v>
      </c>
      <c r="R11" s="55">
        <f>IFERROR(AH11/$N$11,0)</f>
        <v>0</v>
      </c>
      <c r="S11" s="55">
        <f>IFERROR(AJ11/$N$11,0)</f>
        <v>0</v>
      </c>
      <c r="T11" s="55">
        <f>IFERROR(AL11/$N$11,0)</f>
        <v>0</v>
      </c>
      <c r="U11" s="55">
        <f>IFERROR(AN11/$N$11,0)</f>
        <v>0</v>
      </c>
      <c r="V11" s="55">
        <f>IFERROR(AP11/$N$11,0)</f>
        <v>0</v>
      </c>
      <c r="W11" s="55">
        <f>IFERROR(AR11/$N$11,0)</f>
        <v>0</v>
      </c>
      <c r="X11" s="55">
        <f>IFERROR(AT11/$N$11,0)</f>
        <v>0</v>
      </c>
      <c r="Y11" s="55">
        <f>IFERROR(AV11/$N$11,0)</f>
        <v>0</v>
      </c>
      <c r="Z11" s="55">
        <f>IFERROR(AX11/$N$11,0)</f>
        <v>0</v>
      </c>
      <c r="AA11" s="53">
        <f t="shared" ref="AA11:AX11" si="0">SUM(AA17:AA191)</f>
        <v>0</v>
      </c>
      <c r="AB11" s="54">
        <f t="shared" si="0"/>
        <v>0</v>
      </c>
      <c r="AC11" s="53">
        <f t="shared" si="0"/>
        <v>0</v>
      </c>
      <c r="AD11" s="54">
        <f t="shared" si="0"/>
        <v>0</v>
      </c>
      <c r="AE11" s="53">
        <f t="shared" si="0"/>
        <v>0</v>
      </c>
      <c r="AF11" s="54">
        <f t="shared" si="0"/>
        <v>0</v>
      </c>
      <c r="AG11" s="53">
        <f t="shared" si="0"/>
        <v>0</v>
      </c>
      <c r="AH11" s="54">
        <f t="shared" si="0"/>
        <v>0</v>
      </c>
      <c r="AI11" s="53">
        <f t="shared" si="0"/>
        <v>0</v>
      </c>
      <c r="AJ11" s="54">
        <f t="shared" si="0"/>
        <v>0</v>
      </c>
      <c r="AK11" s="53">
        <f t="shared" si="0"/>
        <v>0</v>
      </c>
      <c r="AL11" s="54">
        <f t="shared" si="0"/>
        <v>0</v>
      </c>
      <c r="AM11" s="53">
        <f t="shared" si="0"/>
        <v>0</v>
      </c>
      <c r="AN11" s="54">
        <f t="shared" si="0"/>
        <v>0</v>
      </c>
      <c r="AO11" s="53">
        <f t="shared" si="0"/>
        <v>0</v>
      </c>
      <c r="AP11" s="54">
        <f t="shared" si="0"/>
        <v>0</v>
      </c>
      <c r="AQ11" s="53">
        <f t="shared" si="0"/>
        <v>0</v>
      </c>
      <c r="AR11" s="54">
        <f t="shared" si="0"/>
        <v>0</v>
      </c>
      <c r="AS11" s="53">
        <f t="shared" si="0"/>
        <v>0</v>
      </c>
      <c r="AT11" s="54">
        <f t="shared" si="0"/>
        <v>0</v>
      </c>
      <c r="AU11" s="53">
        <f t="shared" si="0"/>
        <v>0</v>
      </c>
      <c r="AV11" s="54">
        <f t="shared" si="0"/>
        <v>0</v>
      </c>
      <c r="AW11" s="53">
        <f t="shared" si="0"/>
        <v>0</v>
      </c>
      <c r="AX11" s="54">
        <f t="shared" si="0"/>
        <v>0</v>
      </c>
    </row>
    <row r="15" spans="1:50">
      <c r="A15" s="6" t="s">
        <v>121</v>
      </c>
      <c r="B15" s="6"/>
      <c r="C15" s="6"/>
      <c r="D15" s="6"/>
      <c r="E15" s="6"/>
      <c r="F15" s="5" t="s">
        <v>122</v>
      </c>
      <c r="G15" s="5"/>
      <c r="H15" s="5"/>
      <c r="I15" s="5"/>
      <c r="J15" s="1" t="s">
        <v>123</v>
      </c>
      <c r="K15" s="1"/>
      <c r="L15" s="4" t="s">
        <v>124</v>
      </c>
      <c r="M15" s="4"/>
      <c r="N15" s="4"/>
      <c r="O15" s="1" t="s">
        <v>125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4" t="s">
        <v>126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ht="57.75" customHeight="1">
      <c r="A16" s="56" t="s">
        <v>127</v>
      </c>
      <c r="B16" s="56" t="s">
        <v>128</v>
      </c>
      <c r="C16" s="56" t="s">
        <v>129</v>
      </c>
      <c r="D16" s="56" t="s">
        <v>130</v>
      </c>
      <c r="E16" s="56" t="s">
        <v>57</v>
      </c>
      <c r="F16" s="23" t="s">
        <v>103</v>
      </c>
      <c r="G16" s="23" t="s">
        <v>131</v>
      </c>
      <c r="H16" s="23" t="s">
        <v>132</v>
      </c>
      <c r="I16" s="23" t="s">
        <v>133</v>
      </c>
      <c r="J16" s="57" t="s">
        <v>134</v>
      </c>
      <c r="K16" s="57" t="s">
        <v>135</v>
      </c>
      <c r="L16" s="24" t="s">
        <v>136</v>
      </c>
      <c r="M16" s="24" t="s">
        <v>137</v>
      </c>
      <c r="N16" s="24" t="s">
        <v>138</v>
      </c>
      <c r="O16" s="57" t="s">
        <v>139</v>
      </c>
      <c r="P16" s="57" t="s">
        <v>140</v>
      </c>
      <c r="Q16" s="57" t="s">
        <v>141</v>
      </c>
      <c r="R16" s="57" t="s">
        <v>142</v>
      </c>
      <c r="S16" s="57" t="s">
        <v>143</v>
      </c>
      <c r="T16" s="57" t="s">
        <v>144</v>
      </c>
      <c r="U16" s="57" t="s">
        <v>145</v>
      </c>
      <c r="V16" s="57" t="s">
        <v>146</v>
      </c>
      <c r="W16" s="57" t="s">
        <v>147</v>
      </c>
      <c r="X16" s="57" t="s">
        <v>148</v>
      </c>
      <c r="Y16" s="57" t="s">
        <v>149</v>
      </c>
      <c r="Z16" s="57" t="s">
        <v>150</v>
      </c>
      <c r="AA16" s="24" t="s">
        <v>151</v>
      </c>
      <c r="AB16" s="24" t="s">
        <v>152</v>
      </c>
      <c r="AC16" s="24" t="s">
        <v>153</v>
      </c>
      <c r="AD16" s="24" t="s">
        <v>154</v>
      </c>
      <c r="AE16" s="24" t="s">
        <v>155</v>
      </c>
      <c r="AF16" s="24" t="s">
        <v>156</v>
      </c>
      <c r="AG16" s="24" t="s">
        <v>157</v>
      </c>
      <c r="AH16" s="24" t="s">
        <v>158</v>
      </c>
      <c r="AI16" s="24" t="s">
        <v>159</v>
      </c>
      <c r="AJ16" s="24" t="s">
        <v>160</v>
      </c>
      <c r="AK16" s="24" t="s">
        <v>161</v>
      </c>
      <c r="AL16" s="24" t="s">
        <v>162</v>
      </c>
      <c r="AM16" s="24" t="s">
        <v>163</v>
      </c>
      <c r="AN16" s="24" t="s">
        <v>164</v>
      </c>
      <c r="AO16" s="24" t="s">
        <v>165</v>
      </c>
      <c r="AP16" s="24" t="s">
        <v>166</v>
      </c>
      <c r="AQ16" s="24" t="s">
        <v>167</v>
      </c>
      <c r="AR16" s="24" t="s">
        <v>168</v>
      </c>
      <c r="AS16" s="24" t="s">
        <v>169</v>
      </c>
      <c r="AT16" s="24" t="s">
        <v>170</v>
      </c>
      <c r="AU16" s="24" t="s">
        <v>171</v>
      </c>
      <c r="AV16" s="24" t="s">
        <v>172</v>
      </c>
      <c r="AW16" s="24" t="s">
        <v>173</v>
      </c>
      <c r="AX16" s="24" t="s">
        <v>174</v>
      </c>
    </row>
    <row r="17" spans="1:50" outlineLevel="1">
      <c r="A17" s="58" t="s">
        <v>357</v>
      </c>
      <c r="B17" s="59" t="s">
        <v>302</v>
      </c>
      <c r="C17" s="60" t="s">
        <v>303</v>
      </c>
      <c r="D17" s="61" t="s">
        <v>358</v>
      </c>
      <c r="E17" s="62" t="s">
        <v>109</v>
      </c>
      <c r="F17" s="59" t="s">
        <v>62</v>
      </c>
      <c r="G17" s="63">
        <f>IFERROR(INDEX('Benchmark Data'!$AC$7:$AC$130,MATCH($A17,'Benchmark Data'!$A$7:$A$130,0)),0)</f>
        <v>20</v>
      </c>
      <c r="H17" s="64">
        <f>IFERROR(INDEX('Benchmark Data'!$AD$7:$AD$130,MATCH($A17,'Benchmark Data'!$A$7:$A$130,0)),0)</f>
        <v>200</v>
      </c>
      <c r="I17" s="65">
        <f t="shared" ref="I17:I48" si="1">G17*H17</f>
        <v>4000</v>
      </c>
      <c r="J17" s="66">
        <f>$E$7</f>
        <v>0</v>
      </c>
      <c r="K17" s="29">
        <f>IFERROR(INDEX('Benchmark Data'!$AE$7:$AE$130,MATCH($A17,'Benchmark Data'!$A$7:$A$130,0)),0)</f>
        <v>3</v>
      </c>
      <c r="L17" s="67">
        <f t="shared" ref="L17:L48" si="2">J17*K17</f>
        <v>0</v>
      </c>
      <c r="M17" s="68">
        <f t="shared" ref="M17:M48" si="3">L17*G17</f>
        <v>0</v>
      </c>
      <c r="N17" s="69">
        <f t="shared" ref="N17:N48" si="4">L17*I17</f>
        <v>0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</row>
    <row r="18" spans="1:50" outlineLevel="1">
      <c r="A18" s="71" t="s">
        <v>357</v>
      </c>
      <c r="B18" s="72" t="s">
        <v>302</v>
      </c>
      <c r="C18" s="73" t="s">
        <v>303</v>
      </c>
      <c r="D18" s="71" t="s">
        <v>358</v>
      </c>
      <c r="E18" s="74" t="s">
        <v>109</v>
      </c>
      <c r="F18" s="17" t="s">
        <v>63</v>
      </c>
      <c r="G18" s="75">
        <f>G17</f>
        <v>20</v>
      </c>
      <c r="H18" s="76">
        <f>H17*(1+Settings!$C$8)</f>
        <v>250</v>
      </c>
      <c r="I18" s="76">
        <f t="shared" si="1"/>
        <v>5000</v>
      </c>
      <c r="J18" s="77">
        <f>J17</f>
        <v>0</v>
      </c>
      <c r="K18" s="51">
        <f>K17</f>
        <v>3</v>
      </c>
      <c r="L18" s="52">
        <f t="shared" si="2"/>
        <v>0</v>
      </c>
      <c r="M18" s="51">
        <f t="shared" si="3"/>
        <v>0</v>
      </c>
      <c r="N18" s="78">
        <f t="shared" si="4"/>
        <v>0</v>
      </c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</row>
    <row r="19" spans="1:50" outlineLevel="1">
      <c r="A19" s="71" t="s">
        <v>357</v>
      </c>
      <c r="B19" s="72" t="s">
        <v>302</v>
      </c>
      <c r="C19" s="73" t="s">
        <v>303</v>
      </c>
      <c r="D19" s="71" t="s">
        <v>358</v>
      </c>
      <c r="E19" s="74" t="s">
        <v>109</v>
      </c>
      <c r="F19" s="17" t="s">
        <v>64</v>
      </c>
      <c r="G19" s="75">
        <f>G17</f>
        <v>20</v>
      </c>
      <c r="H19" s="76">
        <f>H17*(1+Settings!$C$9)</f>
        <v>300</v>
      </c>
      <c r="I19" s="76">
        <f t="shared" si="1"/>
        <v>6000</v>
      </c>
      <c r="J19" s="77">
        <f>J17</f>
        <v>0</v>
      </c>
      <c r="K19" s="51">
        <f>K17</f>
        <v>3</v>
      </c>
      <c r="L19" s="52">
        <f t="shared" si="2"/>
        <v>0</v>
      </c>
      <c r="M19" s="51">
        <f t="shared" si="3"/>
        <v>0</v>
      </c>
      <c r="N19" s="78">
        <f t="shared" si="4"/>
        <v>0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</row>
    <row r="20" spans="1:50" outlineLevel="1">
      <c r="A20" s="71" t="s">
        <v>357</v>
      </c>
      <c r="B20" s="72" t="s">
        <v>302</v>
      </c>
      <c r="C20" s="73" t="s">
        <v>303</v>
      </c>
      <c r="D20" s="71" t="s">
        <v>358</v>
      </c>
      <c r="E20" s="74" t="s">
        <v>109</v>
      </c>
      <c r="F20" s="17" t="s">
        <v>65</v>
      </c>
      <c r="G20" s="80">
        <f>G17</f>
        <v>20</v>
      </c>
      <c r="H20" s="81">
        <f>H17</f>
        <v>200</v>
      </c>
      <c r="I20" s="76">
        <f t="shared" si="1"/>
        <v>4000</v>
      </c>
      <c r="J20" s="77">
        <f>J17</f>
        <v>0</v>
      </c>
      <c r="K20" s="82">
        <f>K17</f>
        <v>3</v>
      </c>
      <c r="L20" s="52">
        <f t="shared" si="2"/>
        <v>0</v>
      </c>
      <c r="M20" s="51">
        <f t="shared" si="3"/>
        <v>0</v>
      </c>
      <c r="N20" s="78">
        <f t="shared" si="4"/>
        <v>0</v>
      </c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</row>
    <row r="21" spans="1:50">
      <c r="A21" s="83" t="s">
        <v>357</v>
      </c>
      <c r="B21" s="16" t="s">
        <v>302</v>
      </c>
      <c r="C21" s="84" t="s">
        <v>303</v>
      </c>
      <c r="D21" s="85" t="s">
        <v>358</v>
      </c>
      <c r="E21" s="86" t="s">
        <v>109</v>
      </c>
      <c r="F21" s="16" t="s">
        <v>179</v>
      </c>
      <c r="G21" s="87">
        <f>CHOOSE(IF(OR($C$3="Expert input",$I$17=0),4,IF($C$3="+25%",2,IF($C$3="+50%",3,1))),G17,G18,G19,G20)</f>
        <v>20</v>
      </c>
      <c r="H21" s="88">
        <f>CHOOSE(IF(OR($C$3="Expert input",$I$17=0),4,IF($C$3="+25%",2,IF($C$3="+50%",3,1))),H17,H18,H19,H20)</f>
        <v>200</v>
      </c>
      <c r="I21" s="88">
        <f t="shared" si="1"/>
        <v>4000</v>
      </c>
      <c r="J21" s="54">
        <f>J17</f>
        <v>0</v>
      </c>
      <c r="K21" s="53">
        <f>CHOOSE(IF(OR($C$3="Expert input",$I$17=0),4,IF($C$3="+25%",2,IF($C$3="+50%",3,1))),K17,K18,K19,K20)</f>
        <v>3</v>
      </c>
      <c r="L21" s="54">
        <f t="shared" si="2"/>
        <v>0</v>
      </c>
      <c r="M21" s="53">
        <f t="shared" si="3"/>
        <v>0</v>
      </c>
      <c r="N21" s="54">
        <f t="shared" si="4"/>
        <v>0</v>
      </c>
      <c r="O21" s="43"/>
      <c r="P21" s="43"/>
      <c r="Q21" s="43">
        <v>0.14000000000000001</v>
      </c>
      <c r="R21" s="43">
        <v>0.02</v>
      </c>
      <c r="S21" s="43">
        <v>0.15</v>
      </c>
      <c r="T21" s="43">
        <v>0.13</v>
      </c>
      <c r="U21" s="43">
        <v>0.05</v>
      </c>
      <c r="V21" s="43">
        <v>0.15</v>
      </c>
      <c r="W21" s="43">
        <v>0.04</v>
      </c>
      <c r="X21" s="43">
        <v>0.15</v>
      </c>
      <c r="Y21" s="43">
        <v>0.04</v>
      </c>
      <c r="Z21" s="43">
        <v>0.13</v>
      </c>
      <c r="AA21" s="89">
        <f>O21*$M21</f>
        <v>0</v>
      </c>
      <c r="AB21" s="90">
        <f>O21*$N21</f>
        <v>0</v>
      </c>
      <c r="AC21" s="89">
        <f>P21*$M21</f>
        <v>0</v>
      </c>
      <c r="AD21" s="90">
        <f>P21*$N21</f>
        <v>0</v>
      </c>
      <c r="AE21" s="89">
        <f>Q21*$M21</f>
        <v>0</v>
      </c>
      <c r="AF21" s="90">
        <f>Q21*$N21</f>
        <v>0</v>
      </c>
      <c r="AG21" s="89">
        <f>R21*$M21</f>
        <v>0</v>
      </c>
      <c r="AH21" s="90">
        <f>R21*$N21</f>
        <v>0</v>
      </c>
      <c r="AI21" s="89">
        <f>S21*$M21</f>
        <v>0</v>
      </c>
      <c r="AJ21" s="90">
        <f>S21*$N21</f>
        <v>0</v>
      </c>
      <c r="AK21" s="89">
        <f>T21*$M21</f>
        <v>0</v>
      </c>
      <c r="AL21" s="90">
        <f>T21*$N21</f>
        <v>0</v>
      </c>
      <c r="AM21" s="89">
        <f>U21*$M21</f>
        <v>0</v>
      </c>
      <c r="AN21" s="90">
        <f>U21*$N21</f>
        <v>0</v>
      </c>
      <c r="AO21" s="89">
        <f>V21*$M21</f>
        <v>0</v>
      </c>
      <c r="AP21" s="90">
        <f>V21*$N21</f>
        <v>0</v>
      </c>
      <c r="AQ21" s="89">
        <f>W21*$M21</f>
        <v>0</v>
      </c>
      <c r="AR21" s="90">
        <f>W21*$N21</f>
        <v>0</v>
      </c>
      <c r="AS21" s="89">
        <f>X21*$M21</f>
        <v>0</v>
      </c>
      <c r="AT21" s="90">
        <f>X21*$N21</f>
        <v>0</v>
      </c>
      <c r="AU21" s="89">
        <f>Y21*$M21</f>
        <v>0</v>
      </c>
      <c r="AV21" s="90">
        <f>Y21*$N21</f>
        <v>0</v>
      </c>
      <c r="AW21" s="89">
        <f>Z21*$M21</f>
        <v>0</v>
      </c>
      <c r="AX21" s="90">
        <f>Z21*$N21</f>
        <v>0</v>
      </c>
    </row>
    <row r="22" spans="1:50" outlineLevel="1">
      <c r="A22" s="58" t="s">
        <v>359</v>
      </c>
      <c r="B22" s="59" t="s">
        <v>360</v>
      </c>
      <c r="C22" s="60" t="s">
        <v>361</v>
      </c>
      <c r="D22" s="61" t="s">
        <v>358</v>
      </c>
      <c r="E22" s="62" t="s">
        <v>109</v>
      </c>
      <c r="F22" s="59" t="s">
        <v>62</v>
      </c>
      <c r="G22" s="63">
        <f>IFERROR(INDEX('Benchmark Data'!$AC$7:$AC$130,MATCH($A22,'Benchmark Data'!$A$7:$A$130,0)),0)</f>
        <v>3.4444444444444464</v>
      </c>
      <c r="H22" s="64">
        <f>IFERROR(INDEX('Benchmark Data'!$AD$7:$AD$130,MATCH($A22,'Benchmark Data'!$A$7:$A$130,0)),0)</f>
        <v>239.99999999999986</v>
      </c>
      <c r="I22" s="65">
        <f t="shared" si="1"/>
        <v>826.66666666666663</v>
      </c>
      <c r="J22" s="91"/>
      <c r="K22" s="29">
        <f>IFERROR(INDEX('Benchmark Data'!$AE$7:$AE$130,MATCH($A22,'Benchmark Data'!$A$7:$A$130,0)),0)</f>
        <v>2</v>
      </c>
      <c r="L22" s="67">
        <f t="shared" si="2"/>
        <v>0</v>
      </c>
      <c r="M22" s="68">
        <f t="shared" si="3"/>
        <v>0</v>
      </c>
      <c r="N22" s="69">
        <f t="shared" si="4"/>
        <v>0</v>
      </c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</row>
    <row r="23" spans="1:50" outlineLevel="1">
      <c r="A23" s="71" t="s">
        <v>359</v>
      </c>
      <c r="B23" s="72" t="s">
        <v>360</v>
      </c>
      <c r="C23" s="73" t="s">
        <v>362</v>
      </c>
      <c r="D23" s="71" t="s">
        <v>358</v>
      </c>
      <c r="E23" s="74" t="s">
        <v>109</v>
      </c>
      <c r="F23" s="17" t="s">
        <v>63</v>
      </c>
      <c r="G23" s="75">
        <f>G22</f>
        <v>3.4444444444444464</v>
      </c>
      <c r="H23" s="76">
        <f>H22*(1+Settings!$C$8)</f>
        <v>299.99999999999983</v>
      </c>
      <c r="I23" s="76">
        <f t="shared" si="1"/>
        <v>1033.3333333333333</v>
      </c>
      <c r="J23" s="77">
        <f>J22</f>
        <v>0</v>
      </c>
      <c r="K23" s="51">
        <f>K22</f>
        <v>2</v>
      </c>
      <c r="L23" s="52">
        <f t="shared" si="2"/>
        <v>0</v>
      </c>
      <c r="M23" s="51">
        <f t="shared" si="3"/>
        <v>0</v>
      </c>
      <c r="N23" s="78">
        <f t="shared" si="4"/>
        <v>0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</row>
    <row r="24" spans="1:50" outlineLevel="1">
      <c r="A24" s="71" t="s">
        <v>359</v>
      </c>
      <c r="B24" s="72" t="s">
        <v>360</v>
      </c>
      <c r="C24" s="73" t="s">
        <v>362</v>
      </c>
      <c r="D24" s="71" t="s">
        <v>358</v>
      </c>
      <c r="E24" s="74" t="s">
        <v>109</v>
      </c>
      <c r="F24" s="17" t="s">
        <v>64</v>
      </c>
      <c r="G24" s="75">
        <f>G22</f>
        <v>3.4444444444444464</v>
      </c>
      <c r="H24" s="76">
        <f>H22*(1+Settings!$C$9)</f>
        <v>359.99999999999977</v>
      </c>
      <c r="I24" s="76">
        <f t="shared" si="1"/>
        <v>1240</v>
      </c>
      <c r="J24" s="77">
        <f>J22</f>
        <v>0</v>
      </c>
      <c r="K24" s="51">
        <f>K22</f>
        <v>2</v>
      </c>
      <c r="L24" s="52">
        <f t="shared" si="2"/>
        <v>0</v>
      </c>
      <c r="M24" s="51">
        <f t="shared" si="3"/>
        <v>0</v>
      </c>
      <c r="N24" s="78">
        <f t="shared" si="4"/>
        <v>0</v>
      </c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</row>
    <row r="25" spans="1:50" outlineLevel="1">
      <c r="A25" s="71" t="s">
        <v>359</v>
      </c>
      <c r="B25" s="72" t="s">
        <v>360</v>
      </c>
      <c r="C25" s="73" t="s">
        <v>362</v>
      </c>
      <c r="D25" s="71" t="s">
        <v>358</v>
      </c>
      <c r="E25" s="74" t="s">
        <v>109</v>
      </c>
      <c r="F25" s="17" t="s">
        <v>65</v>
      </c>
      <c r="G25" s="80">
        <f>G22</f>
        <v>3.4444444444444464</v>
      </c>
      <c r="H25" s="81">
        <f>H22</f>
        <v>239.99999999999986</v>
      </c>
      <c r="I25" s="76">
        <f t="shared" si="1"/>
        <v>826.66666666666663</v>
      </c>
      <c r="J25" s="77">
        <f>J22</f>
        <v>0</v>
      </c>
      <c r="K25" s="82">
        <f>K22</f>
        <v>2</v>
      </c>
      <c r="L25" s="52">
        <f t="shared" si="2"/>
        <v>0</v>
      </c>
      <c r="M25" s="51">
        <f t="shared" si="3"/>
        <v>0</v>
      </c>
      <c r="N25" s="78">
        <f t="shared" si="4"/>
        <v>0</v>
      </c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</row>
    <row r="26" spans="1:50">
      <c r="A26" s="83" t="s">
        <v>359</v>
      </c>
      <c r="B26" s="16" t="s">
        <v>360</v>
      </c>
      <c r="C26" s="84" t="s">
        <v>363</v>
      </c>
      <c r="D26" s="85" t="s">
        <v>358</v>
      </c>
      <c r="E26" s="86" t="s">
        <v>109</v>
      </c>
      <c r="F26" s="16" t="s">
        <v>179</v>
      </c>
      <c r="G26" s="87">
        <f>CHOOSE(IF(OR($C$3="Expert input",$I$22=0),4,IF($C$3="+25%",2,IF($C$3="+50%",3,1))),G22,G23,G24,G25)</f>
        <v>3.4444444444444464</v>
      </c>
      <c r="H26" s="88">
        <f>CHOOSE(IF(OR($C$3="Expert input",$I$22=0),4,IF($C$3="+25%",2,IF($C$3="+50%",3,1))),H22,H23,H24,H25)</f>
        <v>239.99999999999986</v>
      </c>
      <c r="I26" s="88">
        <f t="shared" si="1"/>
        <v>826.66666666666663</v>
      </c>
      <c r="J26" s="54">
        <f>J22</f>
        <v>0</v>
      </c>
      <c r="K26" s="53">
        <f>CHOOSE(IF(OR($C$3="Expert input",$I$22=0),4,IF($C$3="+25%",2,IF($C$3="+50%",3,1))),K22,K23,K24,K25)</f>
        <v>2</v>
      </c>
      <c r="L26" s="54">
        <f t="shared" si="2"/>
        <v>0</v>
      </c>
      <c r="M26" s="53">
        <f t="shared" si="3"/>
        <v>0</v>
      </c>
      <c r="N26" s="54">
        <f t="shared" si="4"/>
        <v>0</v>
      </c>
      <c r="O26" s="43">
        <v>0.22</v>
      </c>
      <c r="P26" s="43"/>
      <c r="Q26" s="43"/>
      <c r="R26" s="43"/>
      <c r="S26" s="43"/>
      <c r="T26" s="43">
        <v>0.09</v>
      </c>
      <c r="U26" s="43">
        <v>0.05</v>
      </c>
      <c r="V26" s="43">
        <v>0.17</v>
      </c>
      <c r="W26" s="43">
        <v>7.0000000000000007E-2</v>
      </c>
      <c r="X26" s="43"/>
      <c r="Y26" s="43">
        <v>0.23</v>
      </c>
      <c r="Z26" s="43">
        <v>0.17</v>
      </c>
      <c r="AA26" s="89">
        <f>O26*$M26</f>
        <v>0</v>
      </c>
      <c r="AB26" s="90">
        <f>O26*$N26</f>
        <v>0</v>
      </c>
      <c r="AC26" s="89">
        <f>P26*$M26</f>
        <v>0</v>
      </c>
      <c r="AD26" s="90">
        <f>P26*$N26</f>
        <v>0</v>
      </c>
      <c r="AE26" s="89">
        <f>Q26*$M26</f>
        <v>0</v>
      </c>
      <c r="AF26" s="90">
        <f>Q26*$N26</f>
        <v>0</v>
      </c>
      <c r="AG26" s="89">
        <f>R26*$M26</f>
        <v>0</v>
      </c>
      <c r="AH26" s="90">
        <f>R26*$N26</f>
        <v>0</v>
      </c>
      <c r="AI26" s="89">
        <f>S26*$M26</f>
        <v>0</v>
      </c>
      <c r="AJ26" s="90">
        <f>S26*$N26</f>
        <v>0</v>
      </c>
      <c r="AK26" s="89">
        <f>T26*$M26</f>
        <v>0</v>
      </c>
      <c r="AL26" s="90">
        <f>T26*$N26</f>
        <v>0</v>
      </c>
      <c r="AM26" s="89">
        <f>U26*$M26</f>
        <v>0</v>
      </c>
      <c r="AN26" s="90">
        <f>U26*$N26</f>
        <v>0</v>
      </c>
      <c r="AO26" s="89">
        <f>V26*$M26</f>
        <v>0</v>
      </c>
      <c r="AP26" s="90">
        <f>V26*$N26</f>
        <v>0</v>
      </c>
      <c r="AQ26" s="89">
        <f>W26*$M26</f>
        <v>0</v>
      </c>
      <c r="AR26" s="90">
        <f>W26*$N26</f>
        <v>0</v>
      </c>
      <c r="AS26" s="89">
        <f>X26*$M26</f>
        <v>0</v>
      </c>
      <c r="AT26" s="90">
        <f>X26*$N26</f>
        <v>0</v>
      </c>
      <c r="AU26" s="89">
        <f>Y26*$M26</f>
        <v>0</v>
      </c>
      <c r="AV26" s="90">
        <f>Y26*$N26</f>
        <v>0</v>
      </c>
      <c r="AW26" s="89">
        <f>Z26*$M26</f>
        <v>0</v>
      </c>
      <c r="AX26" s="90">
        <f>Z26*$N26</f>
        <v>0</v>
      </c>
    </row>
    <row r="27" spans="1:50" outlineLevel="1">
      <c r="A27" s="58" t="s">
        <v>364</v>
      </c>
      <c r="B27" s="59" t="s">
        <v>365</v>
      </c>
      <c r="C27" s="60" t="s">
        <v>366</v>
      </c>
      <c r="D27" s="61" t="s">
        <v>358</v>
      </c>
      <c r="E27" s="62" t="s">
        <v>367</v>
      </c>
      <c r="F27" s="59" t="s">
        <v>62</v>
      </c>
      <c r="G27" s="63">
        <f>IFERROR(INDEX('Benchmark Data'!$AC$7:$AC$130,MATCH($A27,'Benchmark Data'!$A$7:$A$130,0)),0)</f>
        <v>0.22222222222222232</v>
      </c>
      <c r="H27" s="64">
        <f>IFERROR(INDEX('Benchmark Data'!$AD$7:$AD$130,MATCH($A27,'Benchmark Data'!$A$7:$A$130,0)),0)</f>
        <v>119.99999999999996</v>
      </c>
      <c r="I27" s="65">
        <f t="shared" si="1"/>
        <v>26.666666666666668</v>
      </c>
      <c r="J27" s="91"/>
      <c r="K27" s="29">
        <f>IFERROR(INDEX('Benchmark Data'!$AE$7:$AE$130,MATCH($A27,'Benchmark Data'!$A$7:$A$130,0)),0)</f>
        <v>2</v>
      </c>
      <c r="L27" s="67">
        <f t="shared" si="2"/>
        <v>0</v>
      </c>
      <c r="M27" s="68">
        <f t="shared" si="3"/>
        <v>0</v>
      </c>
      <c r="N27" s="69">
        <f t="shared" si="4"/>
        <v>0</v>
      </c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</row>
    <row r="28" spans="1:50" outlineLevel="1">
      <c r="A28" s="71" t="s">
        <v>364</v>
      </c>
      <c r="B28" s="72" t="s">
        <v>365</v>
      </c>
      <c r="C28" s="73" t="s">
        <v>368</v>
      </c>
      <c r="D28" s="71" t="s">
        <v>358</v>
      </c>
      <c r="E28" s="74" t="s">
        <v>367</v>
      </c>
      <c r="F28" s="17" t="s">
        <v>63</v>
      </c>
      <c r="G28" s="75">
        <f>G27</f>
        <v>0.22222222222222232</v>
      </c>
      <c r="H28" s="76">
        <f>H27*(1+Settings!$C$8)</f>
        <v>149.99999999999994</v>
      </c>
      <c r="I28" s="76">
        <f t="shared" si="1"/>
        <v>33.333333333333336</v>
      </c>
      <c r="J28" s="77">
        <f>J27</f>
        <v>0</v>
      </c>
      <c r="K28" s="51">
        <f>K27</f>
        <v>2</v>
      </c>
      <c r="L28" s="52">
        <f t="shared" si="2"/>
        <v>0</v>
      </c>
      <c r="M28" s="51">
        <f t="shared" si="3"/>
        <v>0</v>
      </c>
      <c r="N28" s="78">
        <f t="shared" si="4"/>
        <v>0</v>
      </c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</row>
    <row r="29" spans="1:50" outlineLevel="1">
      <c r="A29" s="71" t="s">
        <v>364</v>
      </c>
      <c r="B29" s="72" t="s">
        <v>365</v>
      </c>
      <c r="C29" s="73" t="s">
        <v>368</v>
      </c>
      <c r="D29" s="71" t="s">
        <v>358</v>
      </c>
      <c r="E29" s="74" t="s">
        <v>367</v>
      </c>
      <c r="F29" s="17" t="s">
        <v>64</v>
      </c>
      <c r="G29" s="75">
        <f>G27</f>
        <v>0.22222222222222232</v>
      </c>
      <c r="H29" s="76">
        <f>H27*(1+Settings!$C$9)</f>
        <v>179.99999999999994</v>
      </c>
      <c r="I29" s="76">
        <f t="shared" si="1"/>
        <v>40.000000000000007</v>
      </c>
      <c r="J29" s="77">
        <f>J27</f>
        <v>0</v>
      </c>
      <c r="K29" s="51">
        <f>K27</f>
        <v>2</v>
      </c>
      <c r="L29" s="52">
        <f t="shared" si="2"/>
        <v>0</v>
      </c>
      <c r="M29" s="51">
        <f t="shared" si="3"/>
        <v>0</v>
      </c>
      <c r="N29" s="78">
        <f t="shared" si="4"/>
        <v>0</v>
      </c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</row>
    <row r="30" spans="1:50" outlineLevel="1">
      <c r="A30" s="71" t="s">
        <v>364</v>
      </c>
      <c r="B30" s="72" t="s">
        <v>365</v>
      </c>
      <c r="C30" s="73" t="s">
        <v>368</v>
      </c>
      <c r="D30" s="71" t="s">
        <v>358</v>
      </c>
      <c r="E30" s="74" t="s">
        <v>367</v>
      </c>
      <c r="F30" s="17" t="s">
        <v>65</v>
      </c>
      <c r="G30" s="80">
        <f>G27</f>
        <v>0.22222222222222232</v>
      </c>
      <c r="H30" s="81">
        <f>H27</f>
        <v>119.99999999999996</v>
      </c>
      <c r="I30" s="76">
        <f t="shared" si="1"/>
        <v>26.666666666666668</v>
      </c>
      <c r="J30" s="77">
        <f>J27</f>
        <v>0</v>
      </c>
      <c r="K30" s="82">
        <f>K27</f>
        <v>2</v>
      </c>
      <c r="L30" s="52">
        <f t="shared" si="2"/>
        <v>0</v>
      </c>
      <c r="M30" s="51">
        <f t="shared" si="3"/>
        <v>0</v>
      </c>
      <c r="N30" s="78">
        <f t="shared" si="4"/>
        <v>0</v>
      </c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</row>
    <row r="31" spans="1:50">
      <c r="A31" s="83" t="s">
        <v>364</v>
      </c>
      <c r="B31" s="16" t="s">
        <v>365</v>
      </c>
      <c r="C31" s="84" t="s">
        <v>369</v>
      </c>
      <c r="D31" s="85" t="s">
        <v>358</v>
      </c>
      <c r="E31" s="86" t="s">
        <v>367</v>
      </c>
      <c r="F31" s="16" t="s">
        <v>179</v>
      </c>
      <c r="G31" s="87">
        <f>CHOOSE(IF(OR($C$3="Expert input",$I$27=0),4,IF($C$3="+25%",2,IF($C$3="+50%",3,1))),G27,G28,G29,G30)</f>
        <v>0.22222222222222232</v>
      </c>
      <c r="H31" s="88">
        <f>CHOOSE(IF(OR($C$3="Expert input",$I$27=0),4,IF($C$3="+25%",2,IF($C$3="+50%",3,1))),H27,H28,H29,H30)</f>
        <v>119.99999999999996</v>
      </c>
      <c r="I31" s="88">
        <f t="shared" si="1"/>
        <v>26.666666666666668</v>
      </c>
      <c r="J31" s="54">
        <f>J27</f>
        <v>0</v>
      </c>
      <c r="K31" s="53">
        <f>CHOOSE(IF(OR($C$3="Expert input",$I$27=0),4,IF($C$3="+25%",2,IF($C$3="+50%",3,1))),K27,K28,K29,K30)</f>
        <v>2</v>
      </c>
      <c r="L31" s="54">
        <f t="shared" si="2"/>
        <v>0</v>
      </c>
      <c r="M31" s="53">
        <f t="shared" si="3"/>
        <v>0</v>
      </c>
      <c r="N31" s="54">
        <f t="shared" si="4"/>
        <v>0</v>
      </c>
      <c r="O31" s="43">
        <v>0.22</v>
      </c>
      <c r="P31" s="43"/>
      <c r="Q31" s="43"/>
      <c r="R31" s="43"/>
      <c r="S31" s="43"/>
      <c r="T31" s="43">
        <v>0.09</v>
      </c>
      <c r="U31" s="43">
        <v>0.05</v>
      </c>
      <c r="V31" s="43">
        <v>0.17</v>
      </c>
      <c r="W31" s="43">
        <v>7.0000000000000007E-2</v>
      </c>
      <c r="X31" s="43"/>
      <c r="Y31" s="43">
        <v>0.23</v>
      </c>
      <c r="Z31" s="43">
        <v>0.17</v>
      </c>
      <c r="AA31" s="89">
        <f>O31*$M31</f>
        <v>0</v>
      </c>
      <c r="AB31" s="90">
        <f>O31*$N31</f>
        <v>0</v>
      </c>
      <c r="AC31" s="89">
        <f>P31*$M31</f>
        <v>0</v>
      </c>
      <c r="AD31" s="90">
        <f>P31*$N31</f>
        <v>0</v>
      </c>
      <c r="AE31" s="89">
        <f>Q31*$M31</f>
        <v>0</v>
      </c>
      <c r="AF31" s="90">
        <f>Q31*$N31</f>
        <v>0</v>
      </c>
      <c r="AG31" s="89">
        <f>R31*$M31</f>
        <v>0</v>
      </c>
      <c r="AH31" s="90">
        <f>R31*$N31</f>
        <v>0</v>
      </c>
      <c r="AI31" s="89">
        <f>S31*$M31</f>
        <v>0</v>
      </c>
      <c r="AJ31" s="90">
        <f>S31*$N31</f>
        <v>0</v>
      </c>
      <c r="AK31" s="89">
        <f>T31*$M31</f>
        <v>0</v>
      </c>
      <c r="AL31" s="90">
        <f>T31*$N31</f>
        <v>0</v>
      </c>
      <c r="AM31" s="89">
        <f>U31*$M31</f>
        <v>0</v>
      </c>
      <c r="AN31" s="90">
        <f>U31*$N31</f>
        <v>0</v>
      </c>
      <c r="AO31" s="89">
        <f>V31*$M31</f>
        <v>0</v>
      </c>
      <c r="AP31" s="90">
        <f>V31*$N31</f>
        <v>0</v>
      </c>
      <c r="AQ31" s="89">
        <f>W31*$M31</f>
        <v>0</v>
      </c>
      <c r="AR31" s="90">
        <f>W31*$N31</f>
        <v>0</v>
      </c>
      <c r="AS31" s="89">
        <f>X31*$M31</f>
        <v>0</v>
      </c>
      <c r="AT31" s="90">
        <f>X31*$N31</f>
        <v>0</v>
      </c>
      <c r="AU31" s="89">
        <f>Y31*$M31</f>
        <v>0</v>
      </c>
      <c r="AV31" s="90">
        <f>Y31*$N31</f>
        <v>0</v>
      </c>
      <c r="AW31" s="89">
        <f>Z31*$M31</f>
        <v>0</v>
      </c>
      <c r="AX31" s="90">
        <f>Z31*$N31</f>
        <v>0</v>
      </c>
    </row>
    <row r="32" spans="1:50" outlineLevel="1">
      <c r="A32" s="58" t="s">
        <v>370</v>
      </c>
      <c r="B32" s="59" t="s">
        <v>371</v>
      </c>
      <c r="C32" s="60" t="s">
        <v>372</v>
      </c>
      <c r="D32" s="61" t="s">
        <v>320</v>
      </c>
      <c r="E32" s="62" t="s">
        <v>308</v>
      </c>
      <c r="F32" s="59" t="s">
        <v>62</v>
      </c>
      <c r="G32" s="63">
        <f>IFERROR(INDEX('Benchmark Data'!$AC$7:$AC$130,MATCH($A32,'Benchmark Data'!$A$7:$A$130,0)),0)</f>
        <v>0.01</v>
      </c>
      <c r="H32" s="64">
        <f>IFERROR(INDEX('Benchmark Data'!$AD$7:$AD$130,MATCH($A32,'Benchmark Data'!$A$7:$A$130,0)),0)</f>
        <v>100</v>
      </c>
      <c r="I32" s="65">
        <f t="shared" si="1"/>
        <v>1</v>
      </c>
      <c r="J32" s="66">
        <f>$E$8</f>
        <v>0</v>
      </c>
      <c r="K32" s="29">
        <f>IFERROR(INDEX('Benchmark Data'!$AE$7:$AE$130,MATCH($A32,'Benchmark Data'!$A$7:$A$130,0)),0)</f>
        <v>1</v>
      </c>
      <c r="L32" s="67">
        <f t="shared" si="2"/>
        <v>0</v>
      </c>
      <c r="M32" s="68">
        <f t="shared" si="3"/>
        <v>0</v>
      </c>
      <c r="N32" s="69">
        <f t="shared" si="4"/>
        <v>0</v>
      </c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</row>
    <row r="33" spans="1:50" outlineLevel="1">
      <c r="A33" s="71" t="s">
        <v>370</v>
      </c>
      <c r="B33" s="72" t="s">
        <v>371</v>
      </c>
      <c r="C33" s="73" t="s">
        <v>372</v>
      </c>
      <c r="D33" s="71" t="s">
        <v>320</v>
      </c>
      <c r="E33" s="74" t="s">
        <v>308</v>
      </c>
      <c r="F33" s="17" t="s">
        <v>63</v>
      </c>
      <c r="G33" s="75">
        <f>G32</f>
        <v>0.01</v>
      </c>
      <c r="H33" s="76">
        <f>H32*(1+Settings!$C$8)</f>
        <v>125</v>
      </c>
      <c r="I33" s="76">
        <f t="shared" si="1"/>
        <v>1.25</v>
      </c>
      <c r="J33" s="77">
        <f>J32</f>
        <v>0</v>
      </c>
      <c r="K33" s="51">
        <f>K32</f>
        <v>1</v>
      </c>
      <c r="L33" s="52">
        <f t="shared" si="2"/>
        <v>0</v>
      </c>
      <c r="M33" s="51">
        <f t="shared" si="3"/>
        <v>0</v>
      </c>
      <c r="N33" s="78">
        <f t="shared" si="4"/>
        <v>0</v>
      </c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</row>
    <row r="34" spans="1:50" outlineLevel="1">
      <c r="A34" s="71" t="s">
        <v>370</v>
      </c>
      <c r="B34" s="72" t="s">
        <v>371</v>
      </c>
      <c r="C34" s="73" t="s">
        <v>372</v>
      </c>
      <c r="D34" s="71" t="s">
        <v>320</v>
      </c>
      <c r="E34" s="74" t="s">
        <v>308</v>
      </c>
      <c r="F34" s="17" t="s">
        <v>64</v>
      </c>
      <c r="G34" s="75">
        <f>G32</f>
        <v>0.01</v>
      </c>
      <c r="H34" s="76">
        <f>H32*(1+Settings!$C$9)</f>
        <v>150</v>
      </c>
      <c r="I34" s="76">
        <f t="shared" si="1"/>
        <v>1.5</v>
      </c>
      <c r="J34" s="77">
        <f>J32</f>
        <v>0</v>
      </c>
      <c r="K34" s="51">
        <f>K32</f>
        <v>1</v>
      </c>
      <c r="L34" s="52">
        <f t="shared" si="2"/>
        <v>0</v>
      </c>
      <c r="M34" s="51">
        <f t="shared" si="3"/>
        <v>0</v>
      </c>
      <c r="N34" s="78">
        <f t="shared" si="4"/>
        <v>0</v>
      </c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</row>
    <row r="35" spans="1:50" outlineLevel="1">
      <c r="A35" s="71" t="s">
        <v>370</v>
      </c>
      <c r="B35" s="72" t="s">
        <v>371</v>
      </c>
      <c r="C35" s="73" t="s">
        <v>372</v>
      </c>
      <c r="D35" s="71" t="s">
        <v>320</v>
      </c>
      <c r="E35" s="74" t="s">
        <v>308</v>
      </c>
      <c r="F35" s="17" t="s">
        <v>65</v>
      </c>
      <c r="G35" s="80">
        <f>G32</f>
        <v>0.01</v>
      </c>
      <c r="H35" s="81">
        <f>H32</f>
        <v>100</v>
      </c>
      <c r="I35" s="76">
        <f t="shared" si="1"/>
        <v>1</v>
      </c>
      <c r="J35" s="77">
        <f>J32</f>
        <v>0</v>
      </c>
      <c r="K35" s="82">
        <f>K32</f>
        <v>1</v>
      </c>
      <c r="L35" s="52">
        <f t="shared" si="2"/>
        <v>0</v>
      </c>
      <c r="M35" s="51">
        <f t="shared" si="3"/>
        <v>0</v>
      </c>
      <c r="N35" s="78">
        <f t="shared" si="4"/>
        <v>0</v>
      </c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</row>
    <row r="36" spans="1:50">
      <c r="A36" s="83" t="s">
        <v>370</v>
      </c>
      <c r="B36" s="16" t="s">
        <v>371</v>
      </c>
      <c r="C36" s="84" t="s">
        <v>372</v>
      </c>
      <c r="D36" s="85" t="s">
        <v>320</v>
      </c>
      <c r="E36" s="86" t="s">
        <v>308</v>
      </c>
      <c r="F36" s="16" t="s">
        <v>179</v>
      </c>
      <c r="G36" s="87">
        <f>CHOOSE(IF(OR($C$3="Expert input",$I$32=0),4,IF($C$3="+25%",2,IF($C$3="+50%",3,1))),G32,G33,G34,G35)</f>
        <v>0.01</v>
      </c>
      <c r="H36" s="88">
        <f>CHOOSE(IF(OR($C$3="Expert input",$I$32=0),4,IF($C$3="+25%",2,IF($C$3="+50%",3,1))),H32,H33,H34,H35)</f>
        <v>100</v>
      </c>
      <c r="I36" s="88">
        <f t="shared" si="1"/>
        <v>1</v>
      </c>
      <c r="J36" s="54">
        <f>J32</f>
        <v>0</v>
      </c>
      <c r="K36" s="53">
        <f>CHOOSE(IF(OR($C$3="Expert input",$I$32=0),4,IF($C$3="+25%",2,IF($C$3="+50%",3,1))),K32,K33,K34,K35)</f>
        <v>1</v>
      </c>
      <c r="L36" s="54">
        <f t="shared" si="2"/>
        <v>0</v>
      </c>
      <c r="M36" s="53">
        <f t="shared" si="3"/>
        <v>0</v>
      </c>
      <c r="N36" s="54">
        <f t="shared" si="4"/>
        <v>0</v>
      </c>
      <c r="O36" s="43"/>
      <c r="P36" s="43"/>
      <c r="Q36" s="43"/>
      <c r="R36" s="43"/>
      <c r="S36" s="43"/>
      <c r="T36" s="43"/>
      <c r="U36" s="43">
        <v>0.17</v>
      </c>
      <c r="V36" s="43">
        <v>0.39</v>
      </c>
      <c r="W36" s="43">
        <v>0.11</v>
      </c>
      <c r="X36" s="43">
        <v>0.22</v>
      </c>
      <c r="Y36" s="43">
        <v>0.11</v>
      </c>
      <c r="Z36" s="43"/>
      <c r="AA36" s="89">
        <f>O36*$M36</f>
        <v>0</v>
      </c>
      <c r="AB36" s="90">
        <f>O36*$N36</f>
        <v>0</v>
      </c>
      <c r="AC36" s="89">
        <f>P36*$M36</f>
        <v>0</v>
      </c>
      <c r="AD36" s="90">
        <f>P36*$N36</f>
        <v>0</v>
      </c>
      <c r="AE36" s="89">
        <f>Q36*$M36</f>
        <v>0</v>
      </c>
      <c r="AF36" s="90">
        <f>Q36*$N36</f>
        <v>0</v>
      </c>
      <c r="AG36" s="89">
        <f>R36*$M36</f>
        <v>0</v>
      </c>
      <c r="AH36" s="90">
        <f>R36*$N36</f>
        <v>0</v>
      </c>
      <c r="AI36" s="89">
        <f>S36*$M36</f>
        <v>0</v>
      </c>
      <c r="AJ36" s="90">
        <f>S36*$N36</f>
        <v>0</v>
      </c>
      <c r="AK36" s="89">
        <f>T36*$M36</f>
        <v>0</v>
      </c>
      <c r="AL36" s="90">
        <f>T36*$N36</f>
        <v>0</v>
      </c>
      <c r="AM36" s="89">
        <f>U36*$M36</f>
        <v>0</v>
      </c>
      <c r="AN36" s="90">
        <f>U36*$N36</f>
        <v>0</v>
      </c>
      <c r="AO36" s="89">
        <f>V36*$M36</f>
        <v>0</v>
      </c>
      <c r="AP36" s="90">
        <f>V36*$N36</f>
        <v>0</v>
      </c>
      <c r="AQ36" s="89">
        <f>W36*$M36</f>
        <v>0</v>
      </c>
      <c r="AR36" s="90">
        <f>W36*$N36</f>
        <v>0</v>
      </c>
      <c r="AS36" s="89">
        <f>X36*$M36</f>
        <v>0</v>
      </c>
      <c r="AT36" s="90">
        <f>X36*$N36</f>
        <v>0</v>
      </c>
      <c r="AU36" s="89">
        <f>Y36*$M36</f>
        <v>0</v>
      </c>
      <c r="AV36" s="90">
        <f>Y36*$N36</f>
        <v>0</v>
      </c>
      <c r="AW36" s="89">
        <f>Z36*$M36</f>
        <v>0</v>
      </c>
      <c r="AX36" s="90">
        <f>Z36*$N36</f>
        <v>0</v>
      </c>
    </row>
    <row r="37" spans="1:50" outlineLevel="1">
      <c r="A37" s="58" t="s">
        <v>373</v>
      </c>
      <c r="B37" s="59" t="s">
        <v>318</v>
      </c>
      <c r="C37" s="60" t="s">
        <v>319</v>
      </c>
      <c r="D37" s="61" t="s">
        <v>320</v>
      </c>
      <c r="E37" s="62" t="s">
        <v>308</v>
      </c>
      <c r="F37" s="59" t="s">
        <v>62</v>
      </c>
      <c r="G37" s="63">
        <f>IFERROR(INDEX('Benchmark Data'!$AC$7:$AC$130,MATCH($A37,'Benchmark Data'!$A$7:$A$130,0)),0)</f>
        <v>0.01</v>
      </c>
      <c r="H37" s="64">
        <f>IFERROR(INDEX('Benchmark Data'!$AD$7:$AD$130,MATCH($A37,'Benchmark Data'!$A$7:$A$130,0)),0)</f>
        <v>96.666666666666671</v>
      </c>
      <c r="I37" s="65">
        <f t="shared" si="1"/>
        <v>0.96666666666666679</v>
      </c>
      <c r="J37" s="66">
        <f>$E$8</f>
        <v>0</v>
      </c>
      <c r="K37" s="29">
        <f>IFERROR(INDEX('Benchmark Data'!$AE$7:$AE$130,MATCH($A37,'Benchmark Data'!$A$7:$A$130,0)),0)</f>
        <v>1</v>
      </c>
      <c r="L37" s="67">
        <f t="shared" si="2"/>
        <v>0</v>
      </c>
      <c r="M37" s="68">
        <f t="shared" si="3"/>
        <v>0</v>
      </c>
      <c r="N37" s="69">
        <f t="shared" si="4"/>
        <v>0</v>
      </c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</row>
    <row r="38" spans="1:50" outlineLevel="1">
      <c r="A38" s="71" t="s">
        <v>373</v>
      </c>
      <c r="B38" s="72" t="s">
        <v>318</v>
      </c>
      <c r="C38" s="73" t="s">
        <v>319</v>
      </c>
      <c r="D38" s="71" t="s">
        <v>320</v>
      </c>
      <c r="E38" s="74" t="s">
        <v>308</v>
      </c>
      <c r="F38" s="17" t="s">
        <v>63</v>
      </c>
      <c r="G38" s="75">
        <f>G37</f>
        <v>0.01</v>
      </c>
      <c r="H38" s="76">
        <f>H37*(1+Settings!$C$8)</f>
        <v>120.83333333333334</v>
      </c>
      <c r="I38" s="76">
        <f t="shared" si="1"/>
        <v>1.2083333333333335</v>
      </c>
      <c r="J38" s="77">
        <f>J37</f>
        <v>0</v>
      </c>
      <c r="K38" s="51">
        <f>K37</f>
        <v>1</v>
      </c>
      <c r="L38" s="52">
        <f t="shared" si="2"/>
        <v>0</v>
      </c>
      <c r="M38" s="51">
        <f t="shared" si="3"/>
        <v>0</v>
      </c>
      <c r="N38" s="78">
        <f t="shared" si="4"/>
        <v>0</v>
      </c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</row>
    <row r="39" spans="1:50" outlineLevel="1">
      <c r="A39" s="71" t="s">
        <v>373</v>
      </c>
      <c r="B39" s="72" t="s">
        <v>318</v>
      </c>
      <c r="C39" s="73" t="s">
        <v>319</v>
      </c>
      <c r="D39" s="71" t="s">
        <v>320</v>
      </c>
      <c r="E39" s="74" t="s">
        <v>308</v>
      </c>
      <c r="F39" s="17" t="s">
        <v>64</v>
      </c>
      <c r="G39" s="75">
        <f>G37</f>
        <v>0.01</v>
      </c>
      <c r="H39" s="76">
        <f>H37*(1+Settings!$C$9)</f>
        <v>145</v>
      </c>
      <c r="I39" s="76">
        <f t="shared" si="1"/>
        <v>1.45</v>
      </c>
      <c r="J39" s="77">
        <f>J37</f>
        <v>0</v>
      </c>
      <c r="K39" s="51">
        <f>K37</f>
        <v>1</v>
      </c>
      <c r="L39" s="52">
        <f t="shared" si="2"/>
        <v>0</v>
      </c>
      <c r="M39" s="51">
        <f t="shared" si="3"/>
        <v>0</v>
      </c>
      <c r="N39" s="78">
        <f t="shared" si="4"/>
        <v>0</v>
      </c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</row>
    <row r="40" spans="1:50" outlineLevel="1">
      <c r="A40" s="71" t="s">
        <v>373</v>
      </c>
      <c r="B40" s="72" t="s">
        <v>318</v>
      </c>
      <c r="C40" s="73" t="s">
        <v>319</v>
      </c>
      <c r="D40" s="71" t="s">
        <v>320</v>
      </c>
      <c r="E40" s="74" t="s">
        <v>308</v>
      </c>
      <c r="F40" s="17" t="s">
        <v>65</v>
      </c>
      <c r="G40" s="80">
        <f>G37</f>
        <v>0.01</v>
      </c>
      <c r="H40" s="81">
        <f>H37</f>
        <v>96.666666666666671</v>
      </c>
      <c r="I40" s="76">
        <f t="shared" si="1"/>
        <v>0.96666666666666679</v>
      </c>
      <c r="J40" s="77">
        <f>J37</f>
        <v>0</v>
      </c>
      <c r="K40" s="82">
        <f>K37</f>
        <v>1</v>
      </c>
      <c r="L40" s="52">
        <f t="shared" si="2"/>
        <v>0</v>
      </c>
      <c r="M40" s="51">
        <f t="shared" si="3"/>
        <v>0</v>
      </c>
      <c r="N40" s="78">
        <f t="shared" si="4"/>
        <v>0</v>
      </c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</row>
    <row r="41" spans="1:50">
      <c r="A41" s="83" t="s">
        <v>373</v>
      </c>
      <c r="B41" s="16" t="s">
        <v>318</v>
      </c>
      <c r="C41" s="84" t="s">
        <v>319</v>
      </c>
      <c r="D41" s="85" t="s">
        <v>320</v>
      </c>
      <c r="E41" s="86" t="s">
        <v>308</v>
      </c>
      <c r="F41" s="16" t="s">
        <v>179</v>
      </c>
      <c r="G41" s="87">
        <f>CHOOSE(IF(OR($C$3="Expert input",$I$37=0),4,IF($C$3="+25%",2,IF($C$3="+50%",3,1))),G37,G38,G39,G40)</f>
        <v>0.01</v>
      </c>
      <c r="H41" s="88">
        <f>CHOOSE(IF(OR($C$3="Expert input",$I$37=0),4,IF($C$3="+25%",2,IF($C$3="+50%",3,1))),H37,H38,H39,H40)</f>
        <v>96.666666666666671</v>
      </c>
      <c r="I41" s="88">
        <f t="shared" si="1"/>
        <v>0.96666666666666679</v>
      </c>
      <c r="J41" s="54">
        <f>J37</f>
        <v>0</v>
      </c>
      <c r="K41" s="53">
        <f>CHOOSE(IF(OR($C$3="Expert input",$I$37=0),4,IF($C$3="+25%",2,IF($C$3="+50%",3,1))),K37,K38,K39,K40)</f>
        <v>1</v>
      </c>
      <c r="L41" s="54">
        <f t="shared" si="2"/>
        <v>0</v>
      </c>
      <c r="M41" s="53">
        <f t="shared" si="3"/>
        <v>0</v>
      </c>
      <c r="N41" s="54">
        <f t="shared" si="4"/>
        <v>0</v>
      </c>
      <c r="O41" s="43"/>
      <c r="P41" s="43"/>
      <c r="Q41" s="43"/>
      <c r="R41" s="43"/>
      <c r="S41" s="43"/>
      <c r="T41" s="43"/>
      <c r="U41" s="43">
        <v>0.17</v>
      </c>
      <c r="V41" s="43">
        <v>0.39</v>
      </c>
      <c r="W41" s="43">
        <v>0.11</v>
      </c>
      <c r="X41" s="43">
        <v>0.22</v>
      </c>
      <c r="Y41" s="43">
        <v>0.11</v>
      </c>
      <c r="Z41" s="43"/>
      <c r="AA41" s="89">
        <f>O41*$M41</f>
        <v>0</v>
      </c>
      <c r="AB41" s="90">
        <f>O41*$N41</f>
        <v>0</v>
      </c>
      <c r="AC41" s="89">
        <f>P41*$M41</f>
        <v>0</v>
      </c>
      <c r="AD41" s="90">
        <f>P41*$N41</f>
        <v>0</v>
      </c>
      <c r="AE41" s="89">
        <f>Q41*$M41</f>
        <v>0</v>
      </c>
      <c r="AF41" s="90">
        <f>Q41*$N41</f>
        <v>0</v>
      </c>
      <c r="AG41" s="89">
        <f>R41*$M41</f>
        <v>0</v>
      </c>
      <c r="AH41" s="90">
        <f>R41*$N41</f>
        <v>0</v>
      </c>
      <c r="AI41" s="89">
        <f>S41*$M41</f>
        <v>0</v>
      </c>
      <c r="AJ41" s="90">
        <f>S41*$N41</f>
        <v>0</v>
      </c>
      <c r="AK41" s="89">
        <f>T41*$M41</f>
        <v>0</v>
      </c>
      <c r="AL41" s="90">
        <f>T41*$N41</f>
        <v>0</v>
      </c>
      <c r="AM41" s="89">
        <f>U41*$M41</f>
        <v>0</v>
      </c>
      <c r="AN41" s="90">
        <f>U41*$N41</f>
        <v>0</v>
      </c>
      <c r="AO41" s="89">
        <f>V41*$M41</f>
        <v>0</v>
      </c>
      <c r="AP41" s="90">
        <f>V41*$N41</f>
        <v>0</v>
      </c>
      <c r="AQ41" s="89">
        <f>W41*$M41</f>
        <v>0</v>
      </c>
      <c r="AR41" s="90">
        <f>W41*$N41</f>
        <v>0</v>
      </c>
      <c r="AS41" s="89">
        <f>X41*$M41</f>
        <v>0</v>
      </c>
      <c r="AT41" s="90">
        <f>X41*$N41</f>
        <v>0</v>
      </c>
      <c r="AU41" s="89">
        <f>Y41*$M41</f>
        <v>0</v>
      </c>
      <c r="AV41" s="90">
        <f>Y41*$N41</f>
        <v>0</v>
      </c>
      <c r="AW41" s="89">
        <f>Z41*$M41</f>
        <v>0</v>
      </c>
      <c r="AX41" s="90">
        <f>Z41*$N41</f>
        <v>0</v>
      </c>
    </row>
    <row r="42" spans="1:50" outlineLevel="1">
      <c r="A42" s="58" t="s">
        <v>374</v>
      </c>
      <c r="B42" s="59" t="s">
        <v>375</v>
      </c>
      <c r="C42" s="60" t="s">
        <v>376</v>
      </c>
      <c r="D42" s="61" t="s">
        <v>320</v>
      </c>
      <c r="E42" s="62" t="s">
        <v>367</v>
      </c>
      <c r="F42" s="59" t="s">
        <v>62</v>
      </c>
      <c r="G42" s="63">
        <f>IFERROR(INDEX('Benchmark Data'!$AC$7:$AC$130,MATCH($A42,'Benchmark Data'!$A$7:$A$130,0)),0)</f>
        <v>0.17499999999999999</v>
      </c>
      <c r="H42" s="64">
        <f>IFERROR(INDEX('Benchmark Data'!$AD$7:$AD$130,MATCH($A42,'Benchmark Data'!$A$7:$A$130,0)),0)</f>
        <v>157.14285714285714</v>
      </c>
      <c r="I42" s="65">
        <f t="shared" si="1"/>
        <v>27.499999999999996</v>
      </c>
      <c r="J42" s="91"/>
      <c r="K42" s="29">
        <f>IFERROR(INDEX('Benchmark Data'!$AE$7:$AE$130,MATCH($A42,'Benchmark Data'!$A$7:$A$130,0)),0)</f>
        <v>1</v>
      </c>
      <c r="L42" s="67">
        <f t="shared" si="2"/>
        <v>0</v>
      </c>
      <c r="M42" s="68">
        <f t="shared" si="3"/>
        <v>0</v>
      </c>
      <c r="N42" s="69">
        <f t="shared" si="4"/>
        <v>0</v>
      </c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</row>
    <row r="43" spans="1:50" outlineLevel="1">
      <c r="A43" s="71" t="s">
        <v>374</v>
      </c>
      <c r="B43" s="72" t="s">
        <v>375</v>
      </c>
      <c r="C43" s="73" t="s">
        <v>376</v>
      </c>
      <c r="D43" s="71" t="s">
        <v>320</v>
      </c>
      <c r="E43" s="74" t="s">
        <v>367</v>
      </c>
      <c r="F43" s="17" t="s">
        <v>63</v>
      </c>
      <c r="G43" s="75">
        <f>G42</f>
        <v>0.17499999999999999</v>
      </c>
      <c r="H43" s="76">
        <f>H42*(1+Settings!$C$8)</f>
        <v>196.42857142857142</v>
      </c>
      <c r="I43" s="76">
        <f t="shared" si="1"/>
        <v>34.374999999999993</v>
      </c>
      <c r="J43" s="77">
        <f>J42</f>
        <v>0</v>
      </c>
      <c r="K43" s="51">
        <f>K42</f>
        <v>1</v>
      </c>
      <c r="L43" s="52">
        <f t="shared" si="2"/>
        <v>0</v>
      </c>
      <c r="M43" s="51">
        <f t="shared" si="3"/>
        <v>0</v>
      </c>
      <c r="N43" s="78">
        <f t="shared" si="4"/>
        <v>0</v>
      </c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</row>
    <row r="44" spans="1:50" outlineLevel="1">
      <c r="A44" s="71" t="s">
        <v>374</v>
      </c>
      <c r="B44" s="72" t="s">
        <v>375</v>
      </c>
      <c r="C44" s="73" t="s">
        <v>376</v>
      </c>
      <c r="D44" s="71" t="s">
        <v>320</v>
      </c>
      <c r="E44" s="74" t="s">
        <v>367</v>
      </c>
      <c r="F44" s="17" t="s">
        <v>64</v>
      </c>
      <c r="G44" s="75">
        <f>G42</f>
        <v>0.17499999999999999</v>
      </c>
      <c r="H44" s="76">
        <f>H42*(1+Settings!$C$9)</f>
        <v>235.71428571428572</v>
      </c>
      <c r="I44" s="76">
        <f t="shared" si="1"/>
        <v>41.25</v>
      </c>
      <c r="J44" s="77">
        <f>J42</f>
        <v>0</v>
      </c>
      <c r="K44" s="51">
        <f>K42</f>
        <v>1</v>
      </c>
      <c r="L44" s="52">
        <f t="shared" si="2"/>
        <v>0</v>
      </c>
      <c r="M44" s="51">
        <f t="shared" si="3"/>
        <v>0</v>
      </c>
      <c r="N44" s="78">
        <f t="shared" si="4"/>
        <v>0</v>
      </c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</row>
    <row r="45" spans="1:50" outlineLevel="1">
      <c r="A45" s="71" t="s">
        <v>374</v>
      </c>
      <c r="B45" s="72" t="s">
        <v>375</v>
      </c>
      <c r="C45" s="73" t="s">
        <v>376</v>
      </c>
      <c r="D45" s="71" t="s">
        <v>320</v>
      </c>
      <c r="E45" s="74" t="s">
        <v>367</v>
      </c>
      <c r="F45" s="17" t="s">
        <v>65</v>
      </c>
      <c r="G45" s="80">
        <f>G42</f>
        <v>0.17499999999999999</v>
      </c>
      <c r="H45" s="81">
        <f>H42</f>
        <v>157.14285714285714</v>
      </c>
      <c r="I45" s="76">
        <f t="shared" si="1"/>
        <v>27.499999999999996</v>
      </c>
      <c r="J45" s="77">
        <f>J42</f>
        <v>0</v>
      </c>
      <c r="K45" s="82">
        <f>K42</f>
        <v>1</v>
      </c>
      <c r="L45" s="52">
        <f t="shared" si="2"/>
        <v>0</v>
      </c>
      <c r="M45" s="51">
        <f t="shared" si="3"/>
        <v>0</v>
      </c>
      <c r="N45" s="78">
        <f t="shared" si="4"/>
        <v>0</v>
      </c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</row>
    <row r="46" spans="1:50">
      <c r="A46" s="83" t="s">
        <v>374</v>
      </c>
      <c r="B46" s="16" t="s">
        <v>375</v>
      </c>
      <c r="C46" s="84" t="s">
        <v>376</v>
      </c>
      <c r="D46" s="85" t="s">
        <v>320</v>
      </c>
      <c r="E46" s="86" t="s">
        <v>367</v>
      </c>
      <c r="F46" s="16" t="s">
        <v>179</v>
      </c>
      <c r="G46" s="87">
        <f>CHOOSE(IF(OR($C$3="Expert input",$I$42=0),4,IF($C$3="+25%",2,IF($C$3="+50%",3,1))),G42,G43,G44,G45)</f>
        <v>0.17499999999999999</v>
      </c>
      <c r="H46" s="88">
        <f>CHOOSE(IF(OR($C$3="Expert input",$I$42=0),4,IF($C$3="+25%",2,IF($C$3="+50%",3,1))),H42,H43,H44,H45)</f>
        <v>157.14285714285714</v>
      </c>
      <c r="I46" s="88">
        <f t="shared" si="1"/>
        <v>27.499999999999996</v>
      </c>
      <c r="J46" s="54">
        <f>J42</f>
        <v>0</v>
      </c>
      <c r="K46" s="53">
        <f>CHOOSE(IF(OR($C$3="Expert input",$I$42=0),4,IF($C$3="+25%",2,IF($C$3="+50%",3,1))),K42,K43,K44,K45)</f>
        <v>1</v>
      </c>
      <c r="L46" s="54">
        <f t="shared" si="2"/>
        <v>0</v>
      </c>
      <c r="M46" s="53">
        <f t="shared" si="3"/>
        <v>0</v>
      </c>
      <c r="N46" s="54">
        <f t="shared" si="4"/>
        <v>0</v>
      </c>
      <c r="O46" s="43"/>
      <c r="P46" s="43"/>
      <c r="Q46" s="43"/>
      <c r="R46" s="43"/>
      <c r="S46" s="43"/>
      <c r="T46" s="43"/>
      <c r="U46" s="43">
        <v>0.5</v>
      </c>
      <c r="V46" s="43"/>
      <c r="W46" s="43"/>
      <c r="X46" s="43">
        <v>0.25</v>
      </c>
      <c r="Y46" s="43">
        <v>0.25</v>
      </c>
      <c r="Z46" s="43"/>
      <c r="AA46" s="89">
        <f>O46*$M46</f>
        <v>0</v>
      </c>
      <c r="AB46" s="90">
        <f>O46*$N46</f>
        <v>0</v>
      </c>
      <c r="AC46" s="89">
        <f>P46*$M46</f>
        <v>0</v>
      </c>
      <c r="AD46" s="90">
        <f>P46*$N46</f>
        <v>0</v>
      </c>
      <c r="AE46" s="89">
        <f>Q46*$M46</f>
        <v>0</v>
      </c>
      <c r="AF46" s="90">
        <f>Q46*$N46</f>
        <v>0</v>
      </c>
      <c r="AG46" s="89">
        <f>R46*$M46</f>
        <v>0</v>
      </c>
      <c r="AH46" s="90">
        <f>R46*$N46</f>
        <v>0</v>
      </c>
      <c r="AI46" s="89">
        <f>S46*$M46</f>
        <v>0</v>
      </c>
      <c r="AJ46" s="90">
        <f>S46*$N46</f>
        <v>0</v>
      </c>
      <c r="AK46" s="89">
        <f>T46*$M46</f>
        <v>0</v>
      </c>
      <c r="AL46" s="90">
        <f>T46*$N46</f>
        <v>0</v>
      </c>
      <c r="AM46" s="89">
        <f>U46*$M46</f>
        <v>0</v>
      </c>
      <c r="AN46" s="90">
        <f>U46*$N46</f>
        <v>0</v>
      </c>
      <c r="AO46" s="89">
        <f>V46*$M46</f>
        <v>0</v>
      </c>
      <c r="AP46" s="90">
        <f>V46*$N46</f>
        <v>0</v>
      </c>
      <c r="AQ46" s="89">
        <f>W46*$M46</f>
        <v>0</v>
      </c>
      <c r="AR46" s="90">
        <f>W46*$N46</f>
        <v>0</v>
      </c>
      <c r="AS46" s="89">
        <f>X46*$M46</f>
        <v>0</v>
      </c>
      <c r="AT46" s="90">
        <f>X46*$N46</f>
        <v>0</v>
      </c>
      <c r="AU46" s="89">
        <f>Y46*$M46</f>
        <v>0</v>
      </c>
      <c r="AV46" s="90">
        <f>Y46*$N46</f>
        <v>0</v>
      </c>
      <c r="AW46" s="89">
        <f>Z46*$M46</f>
        <v>0</v>
      </c>
      <c r="AX46" s="90">
        <f>Z46*$N46</f>
        <v>0</v>
      </c>
    </row>
    <row r="47" spans="1:50" outlineLevel="1">
      <c r="A47" s="58" t="s">
        <v>377</v>
      </c>
      <c r="B47" s="59" t="s">
        <v>378</v>
      </c>
      <c r="C47" s="60" t="s">
        <v>379</v>
      </c>
      <c r="D47" s="61" t="s">
        <v>320</v>
      </c>
      <c r="E47" s="62" t="s">
        <v>109</v>
      </c>
      <c r="F47" s="59" t="s">
        <v>62</v>
      </c>
      <c r="G47" s="63">
        <f>IFERROR(INDEX('Benchmark Data'!$AC$7:$AC$130,MATCH($A47,'Benchmark Data'!$A$7:$A$130,0)),0)</f>
        <v>0</v>
      </c>
      <c r="H47" s="64">
        <f>IFERROR(INDEX('Benchmark Data'!$AD$7:$AD$130,MATCH($A47,'Benchmark Data'!$A$7:$A$130,0)),0)</f>
        <v>0</v>
      </c>
      <c r="I47" s="65">
        <f t="shared" si="1"/>
        <v>0</v>
      </c>
      <c r="J47" s="91"/>
      <c r="K47" s="29">
        <f>IFERROR(INDEX('Benchmark Data'!$AE$7:$AE$130,MATCH($A47,'Benchmark Data'!$A$7:$A$130,0)),0)</f>
        <v>1</v>
      </c>
      <c r="L47" s="67">
        <f t="shared" si="2"/>
        <v>0</v>
      </c>
      <c r="M47" s="68">
        <f t="shared" si="3"/>
        <v>0</v>
      </c>
      <c r="N47" s="69">
        <f t="shared" si="4"/>
        <v>0</v>
      </c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</row>
    <row r="48" spans="1:50" outlineLevel="1">
      <c r="A48" s="71" t="s">
        <v>377</v>
      </c>
      <c r="B48" s="72" t="s">
        <v>378</v>
      </c>
      <c r="C48" s="73" t="s">
        <v>379</v>
      </c>
      <c r="D48" s="71" t="s">
        <v>320</v>
      </c>
      <c r="E48" s="74" t="s">
        <v>109</v>
      </c>
      <c r="F48" s="17" t="s">
        <v>63</v>
      </c>
      <c r="G48" s="75">
        <f>G47</f>
        <v>0</v>
      </c>
      <c r="H48" s="76">
        <f>H47*(1+Settings!$C$8)</f>
        <v>0</v>
      </c>
      <c r="I48" s="76">
        <f t="shared" si="1"/>
        <v>0</v>
      </c>
      <c r="J48" s="77">
        <f>J47</f>
        <v>0</v>
      </c>
      <c r="K48" s="51">
        <f>K47</f>
        <v>1</v>
      </c>
      <c r="L48" s="52">
        <f t="shared" si="2"/>
        <v>0</v>
      </c>
      <c r="M48" s="51">
        <f t="shared" si="3"/>
        <v>0</v>
      </c>
      <c r="N48" s="78">
        <f t="shared" si="4"/>
        <v>0</v>
      </c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</row>
    <row r="49" spans="1:50" outlineLevel="1">
      <c r="A49" s="71" t="s">
        <v>377</v>
      </c>
      <c r="B49" s="72" t="s">
        <v>378</v>
      </c>
      <c r="C49" s="73" t="s">
        <v>379</v>
      </c>
      <c r="D49" s="71" t="s">
        <v>320</v>
      </c>
      <c r="E49" s="74" t="s">
        <v>109</v>
      </c>
      <c r="F49" s="17" t="s">
        <v>64</v>
      </c>
      <c r="G49" s="75">
        <f>G47</f>
        <v>0</v>
      </c>
      <c r="H49" s="76">
        <f>H47*(1+Settings!$C$9)</f>
        <v>0</v>
      </c>
      <c r="I49" s="76">
        <f t="shared" ref="I49:I80" si="5">G49*H49</f>
        <v>0</v>
      </c>
      <c r="J49" s="77">
        <f>J47</f>
        <v>0</v>
      </c>
      <c r="K49" s="51">
        <f>K47</f>
        <v>1</v>
      </c>
      <c r="L49" s="52">
        <f t="shared" ref="L49:L80" si="6">J49*K49</f>
        <v>0</v>
      </c>
      <c r="M49" s="51">
        <f t="shared" ref="M49:M80" si="7">L49*G49</f>
        <v>0</v>
      </c>
      <c r="N49" s="78">
        <f t="shared" ref="N49:N80" si="8">L49*I49</f>
        <v>0</v>
      </c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</row>
    <row r="50" spans="1:50" outlineLevel="1">
      <c r="A50" s="71" t="s">
        <v>377</v>
      </c>
      <c r="B50" s="72" t="s">
        <v>378</v>
      </c>
      <c r="C50" s="73" t="s">
        <v>379</v>
      </c>
      <c r="D50" s="71" t="s">
        <v>320</v>
      </c>
      <c r="E50" s="74" t="s">
        <v>109</v>
      </c>
      <c r="F50" s="17" t="s">
        <v>65</v>
      </c>
      <c r="G50" s="80">
        <f>IFERROR(INDEX('Benchmark Data'!$AH$7:$AH$130,MATCH($A50,'Benchmark Data'!$A$7:$A$130,0)),0)</f>
        <v>10</v>
      </c>
      <c r="H50" s="81">
        <f>IFERROR(INDEX('Benchmark Data'!$AI$7:$AI$130,MATCH($A50,'Benchmark Data'!$A$7:$A$130,0)),0)</f>
        <v>100</v>
      </c>
      <c r="I50" s="76">
        <f t="shared" si="5"/>
        <v>1000</v>
      </c>
      <c r="J50" s="77">
        <f>J47</f>
        <v>0</v>
      </c>
      <c r="K50" s="82">
        <f>IFERROR(INDEX('Benchmark Data'!$AJ$7:$AJ$130,MATCH($A50,'Benchmark Data'!$A$7:$A$130,0)),0)</f>
        <v>1</v>
      </c>
      <c r="L50" s="52">
        <f t="shared" si="6"/>
        <v>0</v>
      </c>
      <c r="M50" s="51">
        <f t="shared" si="7"/>
        <v>0</v>
      </c>
      <c r="N50" s="78">
        <f t="shared" si="8"/>
        <v>0</v>
      </c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</row>
    <row r="51" spans="1:50">
      <c r="A51" s="83" t="s">
        <v>377</v>
      </c>
      <c r="B51" s="16" t="s">
        <v>378</v>
      </c>
      <c r="C51" s="84" t="s">
        <v>379</v>
      </c>
      <c r="D51" s="85" t="s">
        <v>320</v>
      </c>
      <c r="E51" s="86" t="s">
        <v>109</v>
      </c>
      <c r="F51" s="16" t="s">
        <v>179</v>
      </c>
      <c r="G51" s="87">
        <f>CHOOSE(IF(OR($C$3="Expert input",$I$47=0),4,IF($C$3="+25%",2,IF($C$3="+50%",3,1))),G47,G48,G49,G50)</f>
        <v>10</v>
      </c>
      <c r="H51" s="88">
        <f>CHOOSE(IF(OR($C$3="Expert input",$I$47=0),4,IF($C$3="+25%",2,IF($C$3="+50%",3,1))),H47,H48,H49,H50)</f>
        <v>100</v>
      </c>
      <c r="I51" s="88">
        <f t="shared" si="5"/>
        <v>1000</v>
      </c>
      <c r="J51" s="54">
        <f>J47</f>
        <v>0</v>
      </c>
      <c r="K51" s="53">
        <f>CHOOSE(IF(OR($C$3="Expert input",$I$47=0),4,IF($C$3="+25%",2,IF($C$3="+50%",3,1))),K47,K48,K49,K50)</f>
        <v>1</v>
      </c>
      <c r="L51" s="54">
        <f t="shared" si="6"/>
        <v>0</v>
      </c>
      <c r="M51" s="53">
        <f t="shared" si="7"/>
        <v>0</v>
      </c>
      <c r="N51" s="54">
        <f t="shared" si="8"/>
        <v>0</v>
      </c>
      <c r="O51" s="43"/>
      <c r="P51" s="43"/>
      <c r="Q51" s="43"/>
      <c r="R51" s="43"/>
      <c r="S51" s="43"/>
      <c r="T51" s="43">
        <v>0.53</v>
      </c>
      <c r="U51" s="43">
        <v>0.47</v>
      </c>
      <c r="V51" s="43"/>
      <c r="W51" s="43"/>
      <c r="X51" s="43"/>
      <c r="Y51" s="43"/>
      <c r="Z51" s="43"/>
      <c r="AA51" s="89">
        <f>O51*$M51</f>
        <v>0</v>
      </c>
      <c r="AB51" s="90">
        <f>O51*$N51</f>
        <v>0</v>
      </c>
      <c r="AC51" s="89">
        <f>P51*$M51</f>
        <v>0</v>
      </c>
      <c r="AD51" s="90">
        <f>P51*$N51</f>
        <v>0</v>
      </c>
      <c r="AE51" s="89">
        <f>Q51*$M51</f>
        <v>0</v>
      </c>
      <c r="AF51" s="90">
        <f>Q51*$N51</f>
        <v>0</v>
      </c>
      <c r="AG51" s="89">
        <f>R51*$M51</f>
        <v>0</v>
      </c>
      <c r="AH51" s="90">
        <f>R51*$N51</f>
        <v>0</v>
      </c>
      <c r="AI51" s="89">
        <f>S51*$M51</f>
        <v>0</v>
      </c>
      <c r="AJ51" s="90">
        <f>S51*$N51</f>
        <v>0</v>
      </c>
      <c r="AK51" s="89">
        <f>T51*$M51</f>
        <v>0</v>
      </c>
      <c r="AL51" s="90">
        <f>T51*$N51</f>
        <v>0</v>
      </c>
      <c r="AM51" s="89">
        <f>U51*$M51</f>
        <v>0</v>
      </c>
      <c r="AN51" s="90">
        <f>U51*$N51</f>
        <v>0</v>
      </c>
      <c r="AO51" s="89">
        <f>V51*$M51</f>
        <v>0</v>
      </c>
      <c r="AP51" s="90">
        <f>V51*$N51</f>
        <v>0</v>
      </c>
      <c r="AQ51" s="89">
        <f>W51*$M51</f>
        <v>0</v>
      </c>
      <c r="AR51" s="90">
        <f>W51*$N51</f>
        <v>0</v>
      </c>
      <c r="AS51" s="89">
        <f>X51*$M51</f>
        <v>0</v>
      </c>
      <c r="AT51" s="90">
        <f>X51*$N51</f>
        <v>0</v>
      </c>
      <c r="AU51" s="89">
        <f>Y51*$M51</f>
        <v>0</v>
      </c>
      <c r="AV51" s="90">
        <f>Y51*$N51</f>
        <v>0</v>
      </c>
      <c r="AW51" s="89">
        <f>Z51*$M51</f>
        <v>0</v>
      </c>
      <c r="AX51" s="90">
        <f>Z51*$N51</f>
        <v>0</v>
      </c>
    </row>
    <row r="52" spans="1:50" outlineLevel="1">
      <c r="A52" s="58" t="s">
        <v>380</v>
      </c>
      <c r="B52" s="59" t="s">
        <v>381</v>
      </c>
      <c r="C52" s="60" t="s">
        <v>382</v>
      </c>
      <c r="D52" s="61" t="s">
        <v>383</v>
      </c>
      <c r="E52" s="62" t="s">
        <v>308</v>
      </c>
      <c r="F52" s="59" t="s">
        <v>62</v>
      </c>
      <c r="G52" s="63">
        <f>IFERROR(INDEX('Benchmark Data'!$AC$7:$AC$130,MATCH($A52,'Benchmark Data'!$A$7:$A$130,0)),0)</f>
        <v>0.01</v>
      </c>
      <c r="H52" s="64">
        <f>IFERROR(INDEX('Benchmark Data'!$AD$7:$AD$130,MATCH($A52,'Benchmark Data'!$A$7:$A$130,0)),0)</f>
        <v>166.66666666666666</v>
      </c>
      <c r="I52" s="65">
        <f t="shared" si="5"/>
        <v>1.6666666666666665</v>
      </c>
      <c r="J52" s="66">
        <f>$E$8</f>
        <v>0</v>
      </c>
      <c r="K52" s="29">
        <f>IFERROR(INDEX('Benchmark Data'!$AE$7:$AE$130,MATCH($A52,'Benchmark Data'!$A$7:$A$130,0)),0)</f>
        <v>1</v>
      </c>
      <c r="L52" s="67">
        <f t="shared" si="6"/>
        <v>0</v>
      </c>
      <c r="M52" s="68">
        <f t="shared" si="7"/>
        <v>0</v>
      </c>
      <c r="N52" s="69">
        <f t="shared" si="8"/>
        <v>0</v>
      </c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</row>
    <row r="53" spans="1:50" outlineLevel="1">
      <c r="A53" s="71" t="s">
        <v>380</v>
      </c>
      <c r="B53" s="72" t="s">
        <v>381</v>
      </c>
      <c r="C53" s="73" t="s">
        <v>382</v>
      </c>
      <c r="D53" s="71" t="s">
        <v>383</v>
      </c>
      <c r="E53" s="74" t="s">
        <v>308</v>
      </c>
      <c r="F53" s="17" t="s">
        <v>63</v>
      </c>
      <c r="G53" s="75">
        <f>G52</f>
        <v>0.01</v>
      </c>
      <c r="H53" s="76">
        <f>H52*(1+Settings!$C$8)</f>
        <v>208.33333333333331</v>
      </c>
      <c r="I53" s="76">
        <f t="shared" si="5"/>
        <v>2.083333333333333</v>
      </c>
      <c r="J53" s="77">
        <f>J52</f>
        <v>0</v>
      </c>
      <c r="K53" s="51">
        <f>K52</f>
        <v>1</v>
      </c>
      <c r="L53" s="52">
        <f t="shared" si="6"/>
        <v>0</v>
      </c>
      <c r="M53" s="51">
        <f t="shared" si="7"/>
        <v>0</v>
      </c>
      <c r="N53" s="78">
        <f t="shared" si="8"/>
        <v>0</v>
      </c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</row>
    <row r="54" spans="1:50" outlineLevel="1">
      <c r="A54" s="71" t="s">
        <v>380</v>
      </c>
      <c r="B54" s="72" t="s">
        <v>381</v>
      </c>
      <c r="C54" s="73" t="s">
        <v>382</v>
      </c>
      <c r="D54" s="71" t="s">
        <v>383</v>
      </c>
      <c r="E54" s="74" t="s">
        <v>308</v>
      </c>
      <c r="F54" s="17" t="s">
        <v>64</v>
      </c>
      <c r="G54" s="75">
        <f>G52</f>
        <v>0.01</v>
      </c>
      <c r="H54" s="76">
        <f>H52*(1+Settings!$C$9)</f>
        <v>250</v>
      </c>
      <c r="I54" s="76">
        <f t="shared" si="5"/>
        <v>2.5</v>
      </c>
      <c r="J54" s="77">
        <f>J52</f>
        <v>0</v>
      </c>
      <c r="K54" s="51">
        <f>K52</f>
        <v>1</v>
      </c>
      <c r="L54" s="52">
        <f t="shared" si="6"/>
        <v>0</v>
      </c>
      <c r="M54" s="51">
        <f t="shared" si="7"/>
        <v>0</v>
      </c>
      <c r="N54" s="78">
        <f t="shared" si="8"/>
        <v>0</v>
      </c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</row>
    <row r="55" spans="1:50" outlineLevel="1">
      <c r="A55" s="71" t="s">
        <v>380</v>
      </c>
      <c r="B55" s="72" t="s">
        <v>381</v>
      </c>
      <c r="C55" s="73" t="s">
        <v>382</v>
      </c>
      <c r="D55" s="71" t="s">
        <v>383</v>
      </c>
      <c r="E55" s="74" t="s">
        <v>308</v>
      </c>
      <c r="F55" s="17" t="s">
        <v>65</v>
      </c>
      <c r="G55" s="80">
        <f>G52</f>
        <v>0.01</v>
      </c>
      <c r="H55" s="81">
        <f>H52</f>
        <v>166.66666666666666</v>
      </c>
      <c r="I55" s="76">
        <f t="shared" si="5"/>
        <v>1.6666666666666665</v>
      </c>
      <c r="J55" s="77">
        <f>J52</f>
        <v>0</v>
      </c>
      <c r="K55" s="82">
        <f>K52</f>
        <v>1</v>
      </c>
      <c r="L55" s="52">
        <f t="shared" si="6"/>
        <v>0</v>
      </c>
      <c r="M55" s="51">
        <f t="shared" si="7"/>
        <v>0</v>
      </c>
      <c r="N55" s="78">
        <f t="shared" si="8"/>
        <v>0</v>
      </c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</row>
    <row r="56" spans="1:50">
      <c r="A56" s="83" t="s">
        <v>380</v>
      </c>
      <c r="B56" s="16" t="s">
        <v>381</v>
      </c>
      <c r="C56" s="84" t="s">
        <v>382</v>
      </c>
      <c r="D56" s="85" t="s">
        <v>383</v>
      </c>
      <c r="E56" s="86" t="s">
        <v>308</v>
      </c>
      <c r="F56" s="16" t="s">
        <v>179</v>
      </c>
      <c r="G56" s="87">
        <f>CHOOSE(IF(OR($C$3="Expert input",$I$52=0),4,IF($C$3="+25%",2,IF($C$3="+50%",3,1))),G52,G53,G54,G55)</f>
        <v>0.01</v>
      </c>
      <c r="H56" s="88">
        <f>CHOOSE(IF(OR($C$3="Expert input",$I$52=0),4,IF($C$3="+25%",2,IF($C$3="+50%",3,1))),H52,H53,H54,H55)</f>
        <v>166.66666666666666</v>
      </c>
      <c r="I56" s="88">
        <f t="shared" si="5"/>
        <v>1.6666666666666665</v>
      </c>
      <c r="J56" s="54">
        <f>J52</f>
        <v>0</v>
      </c>
      <c r="K56" s="53">
        <f>CHOOSE(IF(OR($C$3="Expert input",$I$52=0),4,IF($C$3="+25%",2,IF($C$3="+50%",3,1))),K52,K53,K54,K55)</f>
        <v>1</v>
      </c>
      <c r="L56" s="54">
        <f t="shared" si="6"/>
        <v>0</v>
      </c>
      <c r="M56" s="53">
        <f t="shared" si="7"/>
        <v>0</v>
      </c>
      <c r="N56" s="54">
        <f t="shared" si="8"/>
        <v>0</v>
      </c>
      <c r="O56" s="43"/>
      <c r="P56" s="43"/>
      <c r="Q56" s="43">
        <v>0.11</v>
      </c>
      <c r="R56" s="43">
        <v>0.34</v>
      </c>
      <c r="S56" s="43">
        <v>0.33</v>
      </c>
      <c r="T56" s="43">
        <v>0.22</v>
      </c>
      <c r="U56" s="43"/>
      <c r="V56" s="43"/>
      <c r="W56" s="43"/>
      <c r="X56" s="43"/>
      <c r="Y56" s="43"/>
      <c r="Z56" s="43"/>
      <c r="AA56" s="89">
        <f>O56*$M56</f>
        <v>0</v>
      </c>
      <c r="AB56" s="90">
        <f>O56*$N56</f>
        <v>0</v>
      </c>
      <c r="AC56" s="89">
        <f>P56*$M56</f>
        <v>0</v>
      </c>
      <c r="AD56" s="90">
        <f>P56*$N56</f>
        <v>0</v>
      </c>
      <c r="AE56" s="89">
        <f>Q56*$M56</f>
        <v>0</v>
      </c>
      <c r="AF56" s="90">
        <f>Q56*$N56</f>
        <v>0</v>
      </c>
      <c r="AG56" s="89">
        <f>R56*$M56</f>
        <v>0</v>
      </c>
      <c r="AH56" s="90">
        <f>R56*$N56</f>
        <v>0</v>
      </c>
      <c r="AI56" s="89">
        <f>S56*$M56</f>
        <v>0</v>
      </c>
      <c r="AJ56" s="90">
        <f>S56*$N56</f>
        <v>0</v>
      </c>
      <c r="AK56" s="89">
        <f>T56*$M56</f>
        <v>0</v>
      </c>
      <c r="AL56" s="90">
        <f>T56*$N56</f>
        <v>0</v>
      </c>
      <c r="AM56" s="89">
        <f>U56*$M56</f>
        <v>0</v>
      </c>
      <c r="AN56" s="90">
        <f>U56*$N56</f>
        <v>0</v>
      </c>
      <c r="AO56" s="89">
        <f>V56*$M56</f>
        <v>0</v>
      </c>
      <c r="AP56" s="90">
        <f>V56*$N56</f>
        <v>0</v>
      </c>
      <c r="AQ56" s="89">
        <f>W56*$M56</f>
        <v>0</v>
      </c>
      <c r="AR56" s="90">
        <f>W56*$N56</f>
        <v>0</v>
      </c>
      <c r="AS56" s="89">
        <f>X56*$M56</f>
        <v>0</v>
      </c>
      <c r="AT56" s="90">
        <f>X56*$N56</f>
        <v>0</v>
      </c>
      <c r="AU56" s="89">
        <f>Y56*$M56</f>
        <v>0</v>
      </c>
      <c r="AV56" s="90">
        <f>Y56*$N56</f>
        <v>0</v>
      </c>
      <c r="AW56" s="89">
        <f>Z56*$M56</f>
        <v>0</v>
      </c>
      <c r="AX56" s="90">
        <f>Z56*$N56</f>
        <v>0</v>
      </c>
    </row>
    <row r="57" spans="1:50" outlineLevel="1">
      <c r="A57" s="58" t="s">
        <v>384</v>
      </c>
      <c r="B57" s="59" t="s">
        <v>328</v>
      </c>
      <c r="C57" s="60" t="s">
        <v>329</v>
      </c>
      <c r="D57" s="61" t="s">
        <v>383</v>
      </c>
      <c r="E57" s="62" t="s">
        <v>308</v>
      </c>
      <c r="F57" s="59" t="s">
        <v>62</v>
      </c>
      <c r="G57" s="63">
        <f>IFERROR(INDEX('Benchmark Data'!$AC$7:$AC$130,MATCH($A57,'Benchmark Data'!$A$7:$A$130,0)),0)</f>
        <v>0.01</v>
      </c>
      <c r="H57" s="64">
        <f>IFERROR(INDEX('Benchmark Data'!$AD$7:$AD$130,MATCH($A57,'Benchmark Data'!$A$7:$A$130,0)),0)</f>
        <v>90</v>
      </c>
      <c r="I57" s="65">
        <f t="shared" si="5"/>
        <v>0.9</v>
      </c>
      <c r="J57" s="91"/>
      <c r="K57" s="29">
        <f>IFERROR(INDEX('Benchmark Data'!$AE$7:$AE$130,MATCH($A57,'Benchmark Data'!$A$7:$A$130,0)),0)</f>
        <v>1</v>
      </c>
      <c r="L57" s="67">
        <f t="shared" si="6"/>
        <v>0</v>
      </c>
      <c r="M57" s="68">
        <f t="shared" si="7"/>
        <v>0</v>
      </c>
      <c r="N57" s="69">
        <f t="shared" si="8"/>
        <v>0</v>
      </c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</row>
    <row r="58" spans="1:50" outlineLevel="1">
      <c r="A58" s="71" t="s">
        <v>384</v>
      </c>
      <c r="B58" s="72" t="s">
        <v>328</v>
      </c>
      <c r="C58" s="73" t="s">
        <v>329</v>
      </c>
      <c r="D58" s="71" t="s">
        <v>383</v>
      </c>
      <c r="E58" s="74" t="s">
        <v>308</v>
      </c>
      <c r="F58" s="17" t="s">
        <v>63</v>
      </c>
      <c r="G58" s="75">
        <f>G57</f>
        <v>0.01</v>
      </c>
      <c r="H58" s="76">
        <f>H57*(1+Settings!$C$8)</f>
        <v>112.5</v>
      </c>
      <c r="I58" s="76">
        <f t="shared" si="5"/>
        <v>1.125</v>
      </c>
      <c r="J58" s="77">
        <f>J57</f>
        <v>0</v>
      </c>
      <c r="K58" s="51">
        <f>K57</f>
        <v>1</v>
      </c>
      <c r="L58" s="52">
        <f t="shared" si="6"/>
        <v>0</v>
      </c>
      <c r="M58" s="51">
        <f t="shared" si="7"/>
        <v>0</v>
      </c>
      <c r="N58" s="78">
        <f t="shared" si="8"/>
        <v>0</v>
      </c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</row>
    <row r="59" spans="1:50" outlineLevel="1">
      <c r="A59" s="71" t="s">
        <v>384</v>
      </c>
      <c r="B59" s="72" t="s">
        <v>328</v>
      </c>
      <c r="C59" s="73" t="s">
        <v>329</v>
      </c>
      <c r="D59" s="71" t="s">
        <v>383</v>
      </c>
      <c r="E59" s="74" t="s">
        <v>308</v>
      </c>
      <c r="F59" s="17" t="s">
        <v>64</v>
      </c>
      <c r="G59" s="75">
        <f>G57</f>
        <v>0.01</v>
      </c>
      <c r="H59" s="76">
        <f>H57*(1+Settings!$C$9)</f>
        <v>135</v>
      </c>
      <c r="I59" s="76">
        <f t="shared" si="5"/>
        <v>1.35</v>
      </c>
      <c r="J59" s="77">
        <f>J57</f>
        <v>0</v>
      </c>
      <c r="K59" s="51">
        <f>K57</f>
        <v>1</v>
      </c>
      <c r="L59" s="52">
        <f t="shared" si="6"/>
        <v>0</v>
      </c>
      <c r="M59" s="51">
        <f t="shared" si="7"/>
        <v>0</v>
      </c>
      <c r="N59" s="78">
        <f t="shared" si="8"/>
        <v>0</v>
      </c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</row>
    <row r="60" spans="1:50" outlineLevel="1">
      <c r="A60" s="71" t="s">
        <v>384</v>
      </c>
      <c r="B60" s="72" t="s">
        <v>328</v>
      </c>
      <c r="C60" s="73" t="s">
        <v>329</v>
      </c>
      <c r="D60" s="71" t="s">
        <v>383</v>
      </c>
      <c r="E60" s="74" t="s">
        <v>308</v>
      </c>
      <c r="F60" s="17" t="s">
        <v>65</v>
      </c>
      <c r="G60" s="80">
        <f>G57</f>
        <v>0.01</v>
      </c>
      <c r="H60" s="81">
        <f>H57</f>
        <v>90</v>
      </c>
      <c r="I60" s="76">
        <f t="shared" si="5"/>
        <v>0.9</v>
      </c>
      <c r="J60" s="77">
        <f>J57</f>
        <v>0</v>
      </c>
      <c r="K60" s="82">
        <f>K57</f>
        <v>1</v>
      </c>
      <c r="L60" s="52">
        <f t="shared" si="6"/>
        <v>0</v>
      </c>
      <c r="M60" s="51">
        <f t="shared" si="7"/>
        <v>0</v>
      </c>
      <c r="N60" s="78">
        <f t="shared" si="8"/>
        <v>0</v>
      </c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</row>
    <row r="61" spans="1:50">
      <c r="A61" s="83" t="s">
        <v>384</v>
      </c>
      <c r="B61" s="16" t="s">
        <v>328</v>
      </c>
      <c r="C61" s="84" t="s">
        <v>329</v>
      </c>
      <c r="D61" s="85" t="s">
        <v>383</v>
      </c>
      <c r="E61" s="86" t="s">
        <v>308</v>
      </c>
      <c r="F61" s="16" t="s">
        <v>179</v>
      </c>
      <c r="G61" s="87">
        <f>CHOOSE(IF(OR($C$3="Expert input",$I$57=0),4,IF($C$3="+25%",2,IF($C$3="+50%",3,1))),G57,G58,G59,G60)</f>
        <v>0.01</v>
      </c>
      <c r="H61" s="88">
        <f>CHOOSE(IF(OR($C$3="Expert input",$I$57=0),4,IF($C$3="+25%",2,IF($C$3="+50%",3,1))),H57,H58,H59,H60)</f>
        <v>90</v>
      </c>
      <c r="I61" s="88">
        <f t="shared" si="5"/>
        <v>0.9</v>
      </c>
      <c r="J61" s="54">
        <f>J57</f>
        <v>0</v>
      </c>
      <c r="K61" s="53">
        <f>CHOOSE(IF(OR($C$3="Expert input",$I$57=0),4,IF($C$3="+25%",2,IF($C$3="+50%",3,1))),K57,K58,K59,K60)</f>
        <v>1</v>
      </c>
      <c r="L61" s="54">
        <f t="shared" si="6"/>
        <v>0</v>
      </c>
      <c r="M61" s="53">
        <f t="shared" si="7"/>
        <v>0</v>
      </c>
      <c r="N61" s="54">
        <f t="shared" si="8"/>
        <v>0</v>
      </c>
      <c r="O61" s="43"/>
      <c r="P61" s="43"/>
      <c r="Q61" s="43"/>
      <c r="R61" s="43"/>
      <c r="S61" s="43">
        <v>0.25</v>
      </c>
      <c r="T61" s="43">
        <v>0.25</v>
      </c>
      <c r="U61" s="43">
        <v>0.28000000000000003</v>
      </c>
      <c r="V61" s="43">
        <v>0.22</v>
      </c>
      <c r="W61" s="43"/>
      <c r="X61" s="43"/>
      <c r="Y61" s="43"/>
      <c r="Z61" s="43"/>
      <c r="AA61" s="89">
        <f>O61*$M61</f>
        <v>0</v>
      </c>
      <c r="AB61" s="90">
        <f>O61*$N61</f>
        <v>0</v>
      </c>
      <c r="AC61" s="89">
        <f>P61*$M61</f>
        <v>0</v>
      </c>
      <c r="AD61" s="90">
        <f>P61*$N61</f>
        <v>0</v>
      </c>
      <c r="AE61" s="89">
        <f>Q61*$M61</f>
        <v>0</v>
      </c>
      <c r="AF61" s="90">
        <f>Q61*$N61</f>
        <v>0</v>
      </c>
      <c r="AG61" s="89">
        <f>R61*$M61</f>
        <v>0</v>
      </c>
      <c r="AH61" s="90">
        <f>R61*$N61</f>
        <v>0</v>
      </c>
      <c r="AI61" s="89">
        <f>S61*$M61</f>
        <v>0</v>
      </c>
      <c r="AJ61" s="90">
        <f>S61*$N61</f>
        <v>0</v>
      </c>
      <c r="AK61" s="89">
        <f>T61*$M61</f>
        <v>0</v>
      </c>
      <c r="AL61" s="90">
        <f>T61*$N61</f>
        <v>0</v>
      </c>
      <c r="AM61" s="89">
        <f>U61*$M61</f>
        <v>0</v>
      </c>
      <c r="AN61" s="90">
        <f>U61*$N61</f>
        <v>0</v>
      </c>
      <c r="AO61" s="89">
        <f>V61*$M61</f>
        <v>0</v>
      </c>
      <c r="AP61" s="90">
        <f>V61*$N61</f>
        <v>0</v>
      </c>
      <c r="AQ61" s="89">
        <f>W61*$M61</f>
        <v>0</v>
      </c>
      <c r="AR61" s="90">
        <f>W61*$N61</f>
        <v>0</v>
      </c>
      <c r="AS61" s="89">
        <f>X61*$M61</f>
        <v>0</v>
      </c>
      <c r="AT61" s="90">
        <f>X61*$N61</f>
        <v>0</v>
      </c>
      <c r="AU61" s="89">
        <f>Y61*$M61</f>
        <v>0</v>
      </c>
      <c r="AV61" s="90">
        <f>Y61*$N61</f>
        <v>0</v>
      </c>
      <c r="AW61" s="89">
        <f>Z61*$M61</f>
        <v>0</v>
      </c>
      <c r="AX61" s="90">
        <f>Z61*$N61</f>
        <v>0</v>
      </c>
    </row>
    <row r="62" spans="1:50" outlineLevel="1">
      <c r="A62" s="58" t="s">
        <v>385</v>
      </c>
      <c r="B62" s="59" t="s">
        <v>386</v>
      </c>
      <c r="C62" s="60" t="s">
        <v>387</v>
      </c>
      <c r="D62" s="61" t="s">
        <v>383</v>
      </c>
      <c r="E62" s="62" t="s">
        <v>308</v>
      </c>
      <c r="F62" s="59" t="s">
        <v>62</v>
      </c>
      <c r="G62" s="63">
        <f>IFERROR(INDEX('Benchmark Data'!$AC$7:$AC$130,MATCH($A62,'Benchmark Data'!$A$7:$A$130,0)),0)</f>
        <v>8.3333333333333332E-3</v>
      </c>
      <c r="H62" s="64">
        <f>IFERROR(INDEX('Benchmark Data'!$AD$7:$AD$130,MATCH($A62,'Benchmark Data'!$A$7:$A$130,0)),0)</f>
        <v>200</v>
      </c>
      <c r="I62" s="65">
        <f t="shared" si="5"/>
        <v>1.6666666666666667</v>
      </c>
      <c r="J62" s="66">
        <f>$E$8</f>
        <v>0</v>
      </c>
      <c r="K62" s="29">
        <f>IFERROR(INDEX('Benchmark Data'!$AE$7:$AE$130,MATCH($A62,'Benchmark Data'!$A$7:$A$130,0)),0)</f>
        <v>1</v>
      </c>
      <c r="L62" s="67">
        <f t="shared" si="6"/>
        <v>0</v>
      </c>
      <c r="M62" s="68">
        <f t="shared" si="7"/>
        <v>0</v>
      </c>
      <c r="N62" s="69">
        <f t="shared" si="8"/>
        <v>0</v>
      </c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</row>
    <row r="63" spans="1:50" outlineLevel="1">
      <c r="A63" s="71" t="s">
        <v>385</v>
      </c>
      <c r="B63" s="72" t="s">
        <v>386</v>
      </c>
      <c r="C63" s="73" t="s">
        <v>387</v>
      </c>
      <c r="D63" s="71" t="s">
        <v>383</v>
      </c>
      <c r="E63" s="74" t="s">
        <v>308</v>
      </c>
      <c r="F63" s="17" t="s">
        <v>63</v>
      </c>
      <c r="G63" s="75">
        <f>G62</f>
        <v>8.3333333333333332E-3</v>
      </c>
      <c r="H63" s="76">
        <f>H62*(1+Settings!$C$8)</f>
        <v>250</v>
      </c>
      <c r="I63" s="76">
        <f t="shared" si="5"/>
        <v>2.0833333333333335</v>
      </c>
      <c r="J63" s="77">
        <f>J62</f>
        <v>0</v>
      </c>
      <c r="K63" s="51">
        <f>K62</f>
        <v>1</v>
      </c>
      <c r="L63" s="52">
        <f t="shared" si="6"/>
        <v>0</v>
      </c>
      <c r="M63" s="51">
        <f t="shared" si="7"/>
        <v>0</v>
      </c>
      <c r="N63" s="78">
        <f t="shared" si="8"/>
        <v>0</v>
      </c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</row>
    <row r="64" spans="1:50" outlineLevel="1">
      <c r="A64" s="71" t="s">
        <v>385</v>
      </c>
      <c r="B64" s="72" t="s">
        <v>386</v>
      </c>
      <c r="C64" s="73" t="s">
        <v>387</v>
      </c>
      <c r="D64" s="71" t="s">
        <v>383</v>
      </c>
      <c r="E64" s="74" t="s">
        <v>308</v>
      </c>
      <c r="F64" s="17" t="s">
        <v>64</v>
      </c>
      <c r="G64" s="75">
        <f>G62</f>
        <v>8.3333333333333332E-3</v>
      </c>
      <c r="H64" s="76">
        <f>H62*(1+Settings!$C$9)</f>
        <v>300</v>
      </c>
      <c r="I64" s="76">
        <f t="shared" si="5"/>
        <v>2.5</v>
      </c>
      <c r="J64" s="77">
        <f>J62</f>
        <v>0</v>
      </c>
      <c r="K64" s="51">
        <f>K62</f>
        <v>1</v>
      </c>
      <c r="L64" s="52">
        <f t="shared" si="6"/>
        <v>0</v>
      </c>
      <c r="M64" s="51">
        <f t="shared" si="7"/>
        <v>0</v>
      </c>
      <c r="N64" s="78">
        <f t="shared" si="8"/>
        <v>0</v>
      </c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</row>
    <row r="65" spans="1:50" outlineLevel="1">
      <c r="A65" s="71" t="s">
        <v>385</v>
      </c>
      <c r="B65" s="72" t="s">
        <v>386</v>
      </c>
      <c r="C65" s="73" t="s">
        <v>387</v>
      </c>
      <c r="D65" s="71" t="s">
        <v>383</v>
      </c>
      <c r="E65" s="74" t="s">
        <v>308</v>
      </c>
      <c r="F65" s="17" t="s">
        <v>65</v>
      </c>
      <c r="G65" s="80">
        <f>G62</f>
        <v>8.3333333333333332E-3</v>
      </c>
      <c r="H65" s="81">
        <f>H62</f>
        <v>200</v>
      </c>
      <c r="I65" s="76">
        <f t="shared" si="5"/>
        <v>1.6666666666666667</v>
      </c>
      <c r="J65" s="77">
        <f>J62</f>
        <v>0</v>
      </c>
      <c r="K65" s="82">
        <f>K62</f>
        <v>1</v>
      </c>
      <c r="L65" s="52">
        <f t="shared" si="6"/>
        <v>0</v>
      </c>
      <c r="M65" s="51">
        <f t="shared" si="7"/>
        <v>0</v>
      </c>
      <c r="N65" s="78">
        <f t="shared" si="8"/>
        <v>0</v>
      </c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</row>
    <row r="66" spans="1:50">
      <c r="A66" s="83" t="s">
        <v>385</v>
      </c>
      <c r="B66" s="16" t="s">
        <v>386</v>
      </c>
      <c r="C66" s="84" t="s">
        <v>387</v>
      </c>
      <c r="D66" s="85" t="s">
        <v>383</v>
      </c>
      <c r="E66" s="86" t="s">
        <v>308</v>
      </c>
      <c r="F66" s="16" t="s">
        <v>179</v>
      </c>
      <c r="G66" s="87">
        <f>CHOOSE(IF(OR($C$3="Expert input",$I$62=0),4,IF($C$3="+25%",2,IF($C$3="+50%",3,1))),G62,G63,G64,G65)</f>
        <v>8.3333333333333332E-3</v>
      </c>
      <c r="H66" s="88">
        <f>CHOOSE(IF(OR($C$3="Expert input",$I$62=0),4,IF($C$3="+25%",2,IF($C$3="+50%",3,1))),H62,H63,H64,H65)</f>
        <v>200</v>
      </c>
      <c r="I66" s="88">
        <f t="shared" si="5"/>
        <v>1.6666666666666667</v>
      </c>
      <c r="J66" s="54">
        <f>J62</f>
        <v>0</v>
      </c>
      <c r="K66" s="53">
        <f>CHOOSE(IF(OR($C$3="Expert input",$I$62=0),4,IF($C$3="+25%",2,IF($C$3="+50%",3,1))),K62,K63,K64,K65)</f>
        <v>1</v>
      </c>
      <c r="L66" s="54">
        <f t="shared" si="6"/>
        <v>0</v>
      </c>
      <c r="M66" s="53">
        <f t="shared" si="7"/>
        <v>0</v>
      </c>
      <c r="N66" s="54">
        <f t="shared" si="8"/>
        <v>0</v>
      </c>
      <c r="O66" s="43"/>
      <c r="P66" s="43"/>
      <c r="Q66" s="43"/>
      <c r="R66" s="43"/>
      <c r="S66" s="43"/>
      <c r="T66" s="43">
        <v>0.11</v>
      </c>
      <c r="U66" s="43">
        <v>0.34</v>
      </c>
      <c r="V66" s="43">
        <v>0.33</v>
      </c>
      <c r="W66" s="43">
        <v>0.22</v>
      </c>
      <c r="X66" s="43"/>
      <c r="Y66" s="43"/>
      <c r="Z66" s="43"/>
      <c r="AA66" s="89">
        <f>O66*$M66</f>
        <v>0</v>
      </c>
      <c r="AB66" s="90">
        <f>O66*$N66</f>
        <v>0</v>
      </c>
      <c r="AC66" s="89">
        <f>P66*$M66</f>
        <v>0</v>
      </c>
      <c r="AD66" s="90">
        <f>P66*$N66</f>
        <v>0</v>
      </c>
      <c r="AE66" s="89">
        <f>Q66*$M66</f>
        <v>0</v>
      </c>
      <c r="AF66" s="90">
        <f>Q66*$N66</f>
        <v>0</v>
      </c>
      <c r="AG66" s="89">
        <f>R66*$M66</f>
        <v>0</v>
      </c>
      <c r="AH66" s="90">
        <f>R66*$N66</f>
        <v>0</v>
      </c>
      <c r="AI66" s="89">
        <f>S66*$M66</f>
        <v>0</v>
      </c>
      <c r="AJ66" s="90">
        <f>S66*$N66</f>
        <v>0</v>
      </c>
      <c r="AK66" s="89">
        <f>T66*$M66</f>
        <v>0</v>
      </c>
      <c r="AL66" s="90">
        <f>T66*$N66</f>
        <v>0</v>
      </c>
      <c r="AM66" s="89">
        <f>U66*$M66</f>
        <v>0</v>
      </c>
      <c r="AN66" s="90">
        <f>U66*$N66</f>
        <v>0</v>
      </c>
      <c r="AO66" s="89">
        <f>V66*$M66</f>
        <v>0</v>
      </c>
      <c r="AP66" s="90">
        <f>V66*$N66</f>
        <v>0</v>
      </c>
      <c r="AQ66" s="89">
        <f>W66*$M66</f>
        <v>0</v>
      </c>
      <c r="AR66" s="90">
        <f>W66*$N66</f>
        <v>0</v>
      </c>
      <c r="AS66" s="89">
        <f>X66*$M66</f>
        <v>0</v>
      </c>
      <c r="AT66" s="90">
        <f>X66*$N66</f>
        <v>0</v>
      </c>
      <c r="AU66" s="89">
        <f>Y66*$M66</f>
        <v>0</v>
      </c>
      <c r="AV66" s="90">
        <f>Y66*$N66</f>
        <v>0</v>
      </c>
      <c r="AW66" s="89">
        <f>Z66*$M66</f>
        <v>0</v>
      </c>
      <c r="AX66" s="90">
        <f>Z66*$N66</f>
        <v>0</v>
      </c>
    </row>
    <row r="67" spans="1:50" outlineLevel="1">
      <c r="A67" s="58" t="s">
        <v>388</v>
      </c>
      <c r="B67" s="59" t="s">
        <v>389</v>
      </c>
      <c r="C67" s="60" t="s">
        <v>390</v>
      </c>
      <c r="D67" s="61" t="s">
        <v>383</v>
      </c>
      <c r="E67" s="62" t="s">
        <v>308</v>
      </c>
      <c r="F67" s="59" t="s">
        <v>62</v>
      </c>
      <c r="G67" s="63">
        <f>IFERROR(INDEX('Benchmark Data'!$AC$7:$AC$130,MATCH($A67,'Benchmark Data'!$A$7:$A$130,0)),0)</f>
        <v>0.02</v>
      </c>
      <c r="H67" s="64">
        <f>IFERROR(INDEX('Benchmark Data'!$AD$7:$AD$130,MATCH($A67,'Benchmark Data'!$A$7:$A$130,0)),0)</f>
        <v>70</v>
      </c>
      <c r="I67" s="65">
        <f t="shared" si="5"/>
        <v>1.4000000000000001</v>
      </c>
      <c r="J67" s="91"/>
      <c r="K67" s="29">
        <f>IFERROR(INDEX('Benchmark Data'!$AE$7:$AE$130,MATCH($A67,'Benchmark Data'!$A$7:$A$130,0)),0)</f>
        <v>1</v>
      </c>
      <c r="L67" s="67">
        <f t="shared" si="6"/>
        <v>0</v>
      </c>
      <c r="M67" s="68">
        <f t="shared" si="7"/>
        <v>0</v>
      </c>
      <c r="N67" s="69">
        <f t="shared" si="8"/>
        <v>0</v>
      </c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</row>
    <row r="68" spans="1:50" outlineLevel="1">
      <c r="A68" s="71" t="s">
        <v>388</v>
      </c>
      <c r="B68" s="72" t="s">
        <v>389</v>
      </c>
      <c r="C68" s="73" t="s">
        <v>390</v>
      </c>
      <c r="D68" s="71" t="s">
        <v>383</v>
      </c>
      <c r="E68" s="74" t="s">
        <v>308</v>
      </c>
      <c r="F68" s="17" t="s">
        <v>63</v>
      </c>
      <c r="G68" s="75">
        <f>G67</f>
        <v>0.02</v>
      </c>
      <c r="H68" s="76">
        <f>H67*(1+Settings!$C$8)</f>
        <v>87.5</v>
      </c>
      <c r="I68" s="76">
        <f t="shared" si="5"/>
        <v>1.75</v>
      </c>
      <c r="J68" s="77">
        <f>J67</f>
        <v>0</v>
      </c>
      <c r="K68" s="51">
        <f>K67</f>
        <v>1</v>
      </c>
      <c r="L68" s="52">
        <f t="shared" si="6"/>
        <v>0</v>
      </c>
      <c r="M68" s="51">
        <f t="shared" si="7"/>
        <v>0</v>
      </c>
      <c r="N68" s="78">
        <f t="shared" si="8"/>
        <v>0</v>
      </c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</row>
    <row r="69" spans="1:50" outlineLevel="1">
      <c r="A69" s="71" t="s">
        <v>388</v>
      </c>
      <c r="B69" s="72" t="s">
        <v>389</v>
      </c>
      <c r="C69" s="73" t="s">
        <v>390</v>
      </c>
      <c r="D69" s="71" t="s">
        <v>383</v>
      </c>
      <c r="E69" s="74" t="s">
        <v>308</v>
      </c>
      <c r="F69" s="17" t="s">
        <v>64</v>
      </c>
      <c r="G69" s="75">
        <f>G67</f>
        <v>0.02</v>
      </c>
      <c r="H69" s="76">
        <f>H67*(1+Settings!$C$9)</f>
        <v>105</v>
      </c>
      <c r="I69" s="76">
        <f t="shared" si="5"/>
        <v>2.1</v>
      </c>
      <c r="J69" s="77">
        <f>J67</f>
        <v>0</v>
      </c>
      <c r="K69" s="51">
        <f>K67</f>
        <v>1</v>
      </c>
      <c r="L69" s="52">
        <f t="shared" si="6"/>
        <v>0</v>
      </c>
      <c r="M69" s="51">
        <f t="shared" si="7"/>
        <v>0</v>
      </c>
      <c r="N69" s="78">
        <f t="shared" si="8"/>
        <v>0</v>
      </c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</row>
    <row r="70" spans="1:50" outlineLevel="1">
      <c r="A70" s="71" t="s">
        <v>388</v>
      </c>
      <c r="B70" s="72" t="s">
        <v>389</v>
      </c>
      <c r="C70" s="73" t="s">
        <v>390</v>
      </c>
      <c r="D70" s="71" t="s">
        <v>383</v>
      </c>
      <c r="E70" s="74" t="s">
        <v>308</v>
      </c>
      <c r="F70" s="17" t="s">
        <v>65</v>
      </c>
      <c r="G70" s="80">
        <f>G67</f>
        <v>0.02</v>
      </c>
      <c r="H70" s="81">
        <f>H67</f>
        <v>70</v>
      </c>
      <c r="I70" s="76">
        <f t="shared" si="5"/>
        <v>1.4000000000000001</v>
      </c>
      <c r="J70" s="77">
        <f>J67</f>
        <v>0</v>
      </c>
      <c r="K70" s="82">
        <f>K67</f>
        <v>1</v>
      </c>
      <c r="L70" s="52">
        <f t="shared" si="6"/>
        <v>0</v>
      </c>
      <c r="M70" s="51">
        <f t="shared" si="7"/>
        <v>0</v>
      </c>
      <c r="N70" s="78">
        <f t="shared" si="8"/>
        <v>0</v>
      </c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</row>
    <row r="71" spans="1:50">
      <c r="A71" s="83" t="s">
        <v>388</v>
      </c>
      <c r="B71" s="16" t="s">
        <v>389</v>
      </c>
      <c r="C71" s="84" t="s">
        <v>390</v>
      </c>
      <c r="D71" s="85" t="s">
        <v>383</v>
      </c>
      <c r="E71" s="86" t="s">
        <v>308</v>
      </c>
      <c r="F71" s="16" t="s">
        <v>179</v>
      </c>
      <c r="G71" s="87">
        <f>CHOOSE(IF(OR($C$3="Expert input",$I$67=0),4,IF($C$3="+25%",2,IF($C$3="+50%",3,1))),G67,G68,G69,G70)</f>
        <v>0.02</v>
      </c>
      <c r="H71" s="88">
        <f>CHOOSE(IF(OR($C$3="Expert input",$I$67=0),4,IF($C$3="+25%",2,IF($C$3="+50%",3,1))),H67,H68,H69,H70)</f>
        <v>70</v>
      </c>
      <c r="I71" s="88">
        <f t="shared" si="5"/>
        <v>1.4000000000000001</v>
      </c>
      <c r="J71" s="54">
        <f>J67</f>
        <v>0</v>
      </c>
      <c r="K71" s="53">
        <f>CHOOSE(IF(OR($C$3="Expert input",$I$67=0),4,IF($C$3="+25%",2,IF($C$3="+50%",3,1))),K67,K68,K69,K70)</f>
        <v>1</v>
      </c>
      <c r="L71" s="54">
        <f t="shared" si="6"/>
        <v>0</v>
      </c>
      <c r="M71" s="53">
        <f t="shared" si="7"/>
        <v>0</v>
      </c>
      <c r="N71" s="54">
        <f t="shared" si="8"/>
        <v>0</v>
      </c>
      <c r="O71" s="43"/>
      <c r="P71" s="43"/>
      <c r="Q71" s="43"/>
      <c r="R71" s="43"/>
      <c r="S71" s="43"/>
      <c r="T71" s="43"/>
      <c r="U71" s="43"/>
      <c r="V71" s="43"/>
      <c r="W71" s="43"/>
      <c r="X71" s="43">
        <v>0.5</v>
      </c>
      <c r="Y71" s="43">
        <v>0.5</v>
      </c>
      <c r="Z71" s="43"/>
      <c r="AA71" s="89">
        <f>O71*$M71</f>
        <v>0</v>
      </c>
      <c r="AB71" s="90">
        <f>O71*$N71</f>
        <v>0</v>
      </c>
      <c r="AC71" s="89">
        <f>P71*$M71</f>
        <v>0</v>
      </c>
      <c r="AD71" s="90">
        <f>P71*$N71</f>
        <v>0</v>
      </c>
      <c r="AE71" s="89">
        <f>Q71*$M71</f>
        <v>0</v>
      </c>
      <c r="AF71" s="90">
        <f>Q71*$N71</f>
        <v>0</v>
      </c>
      <c r="AG71" s="89">
        <f>R71*$M71</f>
        <v>0</v>
      </c>
      <c r="AH71" s="90">
        <f>R71*$N71</f>
        <v>0</v>
      </c>
      <c r="AI71" s="89">
        <f>S71*$M71</f>
        <v>0</v>
      </c>
      <c r="AJ71" s="90">
        <f>S71*$N71</f>
        <v>0</v>
      </c>
      <c r="AK71" s="89">
        <f>T71*$M71</f>
        <v>0</v>
      </c>
      <c r="AL71" s="90">
        <f>T71*$N71</f>
        <v>0</v>
      </c>
      <c r="AM71" s="89">
        <f>U71*$M71</f>
        <v>0</v>
      </c>
      <c r="AN71" s="90">
        <f>U71*$N71</f>
        <v>0</v>
      </c>
      <c r="AO71" s="89">
        <f>V71*$M71</f>
        <v>0</v>
      </c>
      <c r="AP71" s="90">
        <f>V71*$N71</f>
        <v>0</v>
      </c>
      <c r="AQ71" s="89">
        <f>W71*$M71</f>
        <v>0</v>
      </c>
      <c r="AR71" s="90">
        <f>W71*$N71</f>
        <v>0</v>
      </c>
      <c r="AS71" s="89">
        <f>X71*$M71</f>
        <v>0</v>
      </c>
      <c r="AT71" s="90">
        <f>X71*$N71</f>
        <v>0</v>
      </c>
      <c r="AU71" s="89">
        <f>Y71*$M71</f>
        <v>0</v>
      </c>
      <c r="AV71" s="90">
        <f>Y71*$N71</f>
        <v>0</v>
      </c>
      <c r="AW71" s="89">
        <f>Z71*$M71</f>
        <v>0</v>
      </c>
      <c r="AX71" s="90">
        <f>Z71*$N71</f>
        <v>0</v>
      </c>
    </row>
    <row r="72" spans="1:50" outlineLevel="1">
      <c r="A72" s="58" t="s">
        <v>391</v>
      </c>
      <c r="B72" s="59" t="s">
        <v>392</v>
      </c>
      <c r="C72" s="60" t="s">
        <v>393</v>
      </c>
      <c r="D72" s="61" t="s">
        <v>383</v>
      </c>
      <c r="E72" s="62" t="s">
        <v>308</v>
      </c>
      <c r="F72" s="59" t="s">
        <v>62</v>
      </c>
      <c r="G72" s="63">
        <f>IFERROR(INDEX('Benchmark Data'!$AC$7:$AC$130,MATCH($A72,'Benchmark Data'!$A$7:$A$130,0)),0)</f>
        <v>5.0000000000000001E-3</v>
      </c>
      <c r="H72" s="64">
        <f>IFERROR(INDEX('Benchmark Data'!$AD$7:$AD$130,MATCH($A72,'Benchmark Data'!$A$7:$A$130,0)),0)</f>
        <v>200</v>
      </c>
      <c r="I72" s="65">
        <f t="shared" si="5"/>
        <v>1</v>
      </c>
      <c r="J72" s="91"/>
      <c r="K72" s="29">
        <f>IFERROR(INDEX('Benchmark Data'!$AE$7:$AE$130,MATCH($A72,'Benchmark Data'!$A$7:$A$130,0)),0)</f>
        <v>1</v>
      </c>
      <c r="L72" s="67">
        <f t="shared" si="6"/>
        <v>0</v>
      </c>
      <c r="M72" s="68">
        <f t="shared" si="7"/>
        <v>0</v>
      </c>
      <c r="N72" s="69">
        <f t="shared" si="8"/>
        <v>0</v>
      </c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</row>
    <row r="73" spans="1:50" outlineLevel="1">
      <c r="A73" s="71" t="s">
        <v>391</v>
      </c>
      <c r="B73" s="72" t="s">
        <v>392</v>
      </c>
      <c r="C73" s="73" t="s">
        <v>393</v>
      </c>
      <c r="D73" s="71" t="s">
        <v>383</v>
      </c>
      <c r="E73" s="74" t="s">
        <v>308</v>
      </c>
      <c r="F73" s="17" t="s">
        <v>63</v>
      </c>
      <c r="G73" s="75">
        <f>G72</f>
        <v>5.0000000000000001E-3</v>
      </c>
      <c r="H73" s="76">
        <f>H72*(1+Settings!$C$8)</f>
        <v>250</v>
      </c>
      <c r="I73" s="76">
        <f t="shared" si="5"/>
        <v>1.25</v>
      </c>
      <c r="J73" s="77">
        <f>J72</f>
        <v>0</v>
      </c>
      <c r="K73" s="51">
        <f>K72</f>
        <v>1</v>
      </c>
      <c r="L73" s="52">
        <f t="shared" si="6"/>
        <v>0</v>
      </c>
      <c r="M73" s="51">
        <f t="shared" si="7"/>
        <v>0</v>
      </c>
      <c r="N73" s="78">
        <f t="shared" si="8"/>
        <v>0</v>
      </c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</row>
    <row r="74" spans="1:50" outlineLevel="1">
      <c r="A74" s="71" t="s">
        <v>391</v>
      </c>
      <c r="B74" s="72" t="s">
        <v>392</v>
      </c>
      <c r="C74" s="73" t="s">
        <v>393</v>
      </c>
      <c r="D74" s="71" t="s">
        <v>383</v>
      </c>
      <c r="E74" s="74" t="s">
        <v>308</v>
      </c>
      <c r="F74" s="17" t="s">
        <v>64</v>
      </c>
      <c r="G74" s="75">
        <f>G72</f>
        <v>5.0000000000000001E-3</v>
      </c>
      <c r="H74" s="76">
        <f>H72*(1+Settings!$C$9)</f>
        <v>300</v>
      </c>
      <c r="I74" s="76">
        <f t="shared" si="5"/>
        <v>1.5</v>
      </c>
      <c r="J74" s="77">
        <f>J72</f>
        <v>0</v>
      </c>
      <c r="K74" s="51">
        <f>K72</f>
        <v>1</v>
      </c>
      <c r="L74" s="52">
        <f t="shared" si="6"/>
        <v>0</v>
      </c>
      <c r="M74" s="51">
        <f t="shared" si="7"/>
        <v>0</v>
      </c>
      <c r="N74" s="78">
        <f t="shared" si="8"/>
        <v>0</v>
      </c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</row>
    <row r="75" spans="1:50" outlineLevel="1">
      <c r="A75" s="71" t="s">
        <v>391</v>
      </c>
      <c r="B75" s="72" t="s">
        <v>392</v>
      </c>
      <c r="C75" s="73" t="s">
        <v>393</v>
      </c>
      <c r="D75" s="71" t="s">
        <v>383</v>
      </c>
      <c r="E75" s="74" t="s">
        <v>308</v>
      </c>
      <c r="F75" s="17" t="s">
        <v>65</v>
      </c>
      <c r="G75" s="80">
        <f>G72</f>
        <v>5.0000000000000001E-3</v>
      </c>
      <c r="H75" s="81">
        <f>H72</f>
        <v>200</v>
      </c>
      <c r="I75" s="76">
        <f t="shared" si="5"/>
        <v>1</v>
      </c>
      <c r="J75" s="77">
        <f>J72</f>
        <v>0</v>
      </c>
      <c r="K75" s="82">
        <f>K72</f>
        <v>1</v>
      </c>
      <c r="L75" s="52">
        <f t="shared" si="6"/>
        <v>0</v>
      </c>
      <c r="M75" s="51">
        <f t="shared" si="7"/>
        <v>0</v>
      </c>
      <c r="N75" s="78">
        <f t="shared" si="8"/>
        <v>0</v>
      </c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</row>
    <row r="76" spans="1:50">
      <c r="A76" s="83" t="s">
        <v>391</v>
      </c>
      <c r="B76" s="16" t="s">
        <v>392</v>
      </c>
      <c r="C76" s="84" t="s">
        <v>393</v>
      </c>
      <c r="D76" s="85" t="s">
        <v>383</v>
      </c>
      <c r="E76" s="86" t="s">
        <v>308</v>
      </c>
      <c r="F76" s="16" t="s">
        <v>179</v>
      </c>
      <c r="G76" s="87">
        <f>CHOOSE(IF(OR($C$3="Expert input",$I$72=0),4,IF($C$3="+25%",2,IF($C$3="+50%",3,1))),G72,G73,G74,G75)</f>
        <v>5.0000000000000001E-3</v>
      </c>
      <c r="H76" s="88">
        <f>CHOOSE(IF(OR($C$3="Expert input",$I$72=0),4,IF($C$3="+25%",2,IF($C$3="+50%",3,1))),H72,H73,H74,H75)</f>
        <v>200</v>
      </c>
      <c r="I76" s="88">
        <f t="shared" si="5"/>
        <v>1</v>
      </c>
      <c r="J76" s="54">
        <f>J72</f>
        <v>0</v>
      </c>
      <c r="K76" s="53">
        <f>CHOOSE(IF(OR($C$3="Expert input",$I$72=0),4,IF($C$3="+25%",2,IF($C$3="+50%",3,1))),K72,K73,K74,K75)</f>
        <v>1</v>
      </c>
      <c r="L76" s="54">
        <f t="shared" si="6"/>
        <v>0</v>
      </c>
      <c r="M76" s="53">
        <f t="shared" si="7"/>
        <v>0</v>
      </c>
      <c r="N76" s="54">
        <f t="shared" si="8"/>
        <v>0</v>
      </c>
      <c r="O76" s="43"/>
      <c r="P76" s="43"/>
      <c r="Q76" s="43"/>
      <c r="R76" s="43">
        <v>0.12</v>
      </c>
      <c r="S76" s="43"/>
      <c r="T76" s="43">
        <v>0.12</v>
      </c>
      <c r="U76" s="43"/>
      <c r="V76" s="43">
        <v>0.39</v>
      </c>
      <c r="W76" s="43">
        <v>0.25</v>
      </c>
      <c r="X76" s="43">
        <v>0.12</v>
      </c>
      <c r="Y76" s="43"/>
      <c r="Z76" s="43"/>
      <c r="AA76" s="89">
        <f>O76*$M76</f>
        <v>0</v>
      </c>
      <c r="AB76" s="90">
        <f>O76*$N76</f>
        <v>0</v>
      </c>
      <c r="AC76" s="89">
        <f>P76*$M76</f>
        <v>0</v>
      </c>
      <c r="AD76" s="90">
        <f>P76*$N76</f>
        <v>0</v>
      </c>
      <c r="AE76" s="89">
        <f>Q76*$M76</f>
        <v>0</v>
      </c>
      <c r="AF76" s="90">
        <f>Q76*$N76</f>
        <v>0</v>
      </c>
      <c r="AG76" s="89">
        <f>R76*$M76</f>
        <v>0</v>
      </c>
      <c r="AH76" s="90">
        <f>R76*$N76</f>
        <v>0</v>
      </c>
      <c r="AI76" s="89">
        <f>S76*$M76</f>
        <v>0</v>
      </c>
      <c r="AJ76" s="90">
        <f>S76*$N76</f>
        <v>0</v>
      </c>
      <c r="AK76" s="89">
        <f>T76*$M76</f>
        <v>0</v>
      </c>
      <c r="AL76" s="90">
        <f>T76*$N76</f>
        <v>0</v>
      </c>
      <c r="AM76" s="89">
        <f>U76*$M76</f>
        <v>0</v>
      </c>
      <c r="AN76" s="90">
        <f>U76*$N76</f>
        <v>0</v>
      </c>
      <c r="AO76" s="89">
        <f>V76*$M76</f>
        <v>0</v>
      </c>
      <c r="AP76" s="90">
        <f>V76*$N76</f>
        <v>0</v>
      </c>
      <c r="AQ76" s="89">
        <f>W76*$M76</f>
        <v>0</v>
      </c>
      <c r="AR76" s="90">
        <f>W76*$N76</f>
        <v>0</v>
      </c>
      <c r="AS76" s="89">
        <f>X76*$M76</f>
        <v>0</v>
      </c>
      <c r="AT76" s="90">
        <f>X76*$N76</f>
        <v>0</v>
      </c>
      <c r="AU76" s="89">
        <f>Y76*$M76</f>
        <v>0</v>
      </c>
      <c r="AV76" s="90">
        <f>Y76*$N76</f>
        <v>0</v>
      </c>
      <c r="AW76" s="89">
        <f>Z76*$M76</f>
        <v>0</v>
      </c>
      <c r="AX76" s="90">
        <f>Z76*$N76</f>
        <v>0</v>
      </c>
    </row>
    <row r="77" spans="1:50" outlineLevel="1">
      <c r="A77" s="58" t="s">
        <v>394</v>
      </c>
      <c r="B77" s="59" t="s">
        <v>395</v>
      </c>
      <c r="C77" s="60" t="s">
        <v>396</v>
      </c>
      <c r="D77" s="61" t="s">
        <v>383</v>
      </c>
      <c r="E77" s="62" t="s">
        <v>308</v>
      </c>
      <c r="F77" s="59" t="s">
        <v>62</v>
      </c>
      <c r="G77" s="63">
        <f>IFERROR(INDEX('Benchmark Data'!$AC$7:$AC$130,MATCH($A77,'Benchmark Data'!$A$7:$A$130,0)),0)</f>
        <v>6.6666666666666697E-3</v>
      </c>
      <c r="H77" s="64">
        <f>IFERROR(INDEX('Benchmark Data'!$AD$7:$AD$130,MATCH($A77,'Benchmark Data'!$A$7:$A$130,0)),0)</f>
        <v>299.99999999999989</v>
      </c>
      <c r="I77" s="65">
        <f t="shared" si="5"/>
        <v>2</v>
      </c>
      <c r="J77" s="91"/>
      <c r="K77" s="29">
        <f>IFERROR(INDEX('Benchmark Data'!$AE$7:$AE$130,MATCH($A77,'Benchmark Data'!$A$7:$A$130,0)),0)</f>
        <v>1</v>
      </c>
      <c r="L77" s="67">
        <f t="shared" si="6"/>
        <v>0</v>
      </c>
      <c r="M77" s="68">
        <f t="shared" si="7"/>
        <v>0</v>
      </c>
      <c r="N77" s="69">
        <f t="shared" si="8"/>
        <v>0</v>
      </c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</row>
    <row r="78" spans="1:50" outlineLevel="1">
      <c r="A78" s="71" t="s">
        <v>394</v>
      </c>
      <c r="B78" s="72" t="s">
        <v>395</v>
      </c>
      <c r="C78" s="73" t="s">
        <v>396</v>
      </c>
      <c r="D78" s="71" t="s">
        <v>383</v>
      </c>
      <c r="E78" s="74" t="s">
        <v>308</v>
      </c>
      <c r="F78" s="17" t="s">
        <v>63</v>
      </c>
      <c r="G78" s="75">
        <f>G77</f>
        <v>6.6666666666666697E-3</v>
      </c>
      <c r="H78" s="76">
        <f>H77*(1+Settings!$C$8)</f>
        <v>374.99999999999989</v>
      </c>
      <c r="I78" s="76">
        <f t="shared" si="5"/>
        <v>2.5000000000000004</v>
      </c>
      <c r="J78" s="77">
        <f>J77</f>
        <v>0</v>
      </c>
      <c r="K78" s="51">
        <f>K77</f>
        <v>1</v>
      </c>
      <c r="L78" s="52">
        <f t="shared" si="6"/>
        <v>0</v>
      </c>
      <c r="M78" s="51">
        <f t="shared" si="7"/>
        <v>0</v>
      </c>
      <c r="N78" s="78">
        <f t="shared" si="8"/>
        <v>0</v>
      </c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</row>
    <row r="79" spans="1:50" outlineLevel="1">
      <c r="A79" s="71" t="s">
        <v>394</v>
      </c>
      <c r="B79" s="72" t="s">
        <v>395</v>
      </c>
      <c r="C79" s="73" t="s">
        <v>396</v>
      </c>
      <c r="D79" s="71" t="s">
        <v>383</v>
      </c>
      <c r="E79" s="74" t="s">
        <v>308</v>
      </c>
      <c r="F79" s="17" t="s">
        <v>64</v>
      </c>
      <c r="G79" s="75">
        <f>G77</f>
        <v>6.6666666666666697E-3</v>
      </c>
      <c r="H79" s="76">
        <f>H77*(1+Settings!$C$9)</f>
        <v>449.99999999999983</v>
      </c>
      <c r="I79" s="76">
        <f t="shared" si="5"/>
        <v>3.0000000000000004</v>
      </c>
      <c r="J79" s="77">
        <f>J77</f>
        <v>0</v>
      </c>
      <c r="K79" s="51">
        <f>K77</f>
        <v>1</v>
      </c>
      <c r="L79" s="52">
        <f t="shared" si="6"/>
        <v>0</v>
      </c>
      <c r="M79" s="51">
        <f t="shared" si="7"/>
        <v>0</v>
      </c>
      <c r="N79" s="78">
        <f t="shared" si="8"/>
        <v>0</v>
      </c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</row>
    <row r="80" spans="1:50" outlineLevel="1">
      <c r="A80" s="71" t="s">
        <v>394</v>
      </c>
      <c r="B80" s="72" t="s">
        <v>395</v>
      </c>
      <c r="C80" s="73" t="s">
        <v>396</v>
      </c>
      <c r="D80" s="71" t="s">
        <v>383</v>
      </c>
      <c r="E80" s="74" t="s">
        <v>308</v>
      </c>
      <c r="F80" s="17" t="s">
        <v>65</v>
      </c>
      <c r="G80" s="80">
        <f>G77</f>
        <v>6.6666666666666697E-3</v>
      </c>
      <c r="H80" s="81">
        <f>H77</f>
        <v>299.99999999999989</v>
      </c>
      <c r="I80" s="76">
        <f t="shared" si="5"/>
        <v>2</v>
      </c>
      <c r="J80" s="77">
        <f>J77</f>
        <v>0</v>
      </c>
      <c r="K80" s="82">
        <f>K77</f>
        <v>1</v>
      </c>
      <c r="L80" s="52">
        <f t="shared" si="6"/>
        <v>0</v>
      </c>
      <c r="M80" s="51">
        <f t="shared" si="7"/>
        <v>0</v>
      </c>
      <c r="N80" s="78">
        <f t="shared" si="8"/>
        <v>0</v>
      </c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</row>
    <row r="81" spans="1:50">
      <c r="A81" s="83" t="s">
        <v>394</v>
      </c>
      <c r="B81" s="16" t="s">
        <v>395</v>
      </c>
      <c r="C81" s="84" t="s">
        <v>396</v>
      </c>
      <c r="D81" s="85" t="s">
        <v>383</v>
      </c>
      <c r="E81" s="86" t="s">
        <v>308</v>
      </c>
      <c r="F81" s="16" t="s">
        <v>179</v>
      </c>
      <c r="G81" s="87">
        <f>CHOOSE(IF(OR($C$3="Expert input",$I$77=0),4,IF($C$3="+25%",2,IF($C$3="+50%",3,1))),G77,G78,G79,G80)</f>
        <v>6.6666666666666697E-3</v>
      </c>
      <c r="H81" s="88">
        <f>CHOOSE(IF(OR($C$3="Expert input",$I$77=0),4,IF($C$3="+25%",2,IF($C$3="+50%",3,1))),H77,H78,H79,H80)</f>
        <v>299.99999999999989</v>
      </c>
      <c r="I81" s="88">
        <f t="shared" ref="I81:I112" si="9">G81*H81</f>
        <v>2</v>
      </c>
      <c r="J81" s="54">
        <f>J77</f>
        <v>0</v>
      </c>
      <c r="K81" s="53">
        <f>CHOOSE(IF(OR($C$3="Expert input",$I$77=0),4,IF($C$3="+25%",2,IF($C$3="+50%",3,1))),K77,K78,K79,K80)</f>
        <v>1</v>
      </c>
      <c r="L81" s="54">
        <f t="shared" ref="L81:L112" si="10">J81*K81</f>
        <v>0</v>
      </c>
      <c r="M81" s="53">
        <f t="shared" ref="M81:M112" si="11">L81*G81</f>
        <v>0</v>
      </c>
      <c r="N81" s="54">
        <f t="shared" ref="N81:N112" si="12">L81*I81</f>
        <v>0</v>
      </c>
      <c r="O81" s="43"/>
      <c r="P81" s="43"/>
      <c r="Q81" s="43"/>
      <c r="R81" s="43"/>
      <c r="S81" s="43"/>
      <c r="T81" s="43"/>
      <c r="U81" s="43"/>
      <c r="V81" s="43"/>
      <c r="W81" s="43"/>
      <c r="X81" s="43">
        <v>0.5</v>
      </c>
      <c r="Y81" s="43">
        <v>0.5</v>
      </c>
      <c r="Z81" s="43"/>
      <c r="AA81" s="89">
        <f>O81*$M81</f>
        <v>0</v>
      </c>
      <c r="AB81" s="90">
        <f>O81*$N81</f>
        <v>0</v>
      </c>
      <c r="AC81" s="89">
        <f>P81*$M81</f>
        <v>0</v>
      </c>
      <c r="AD81" s="90">
        <f>P81*$N81</f>
        <v>0</v>
      </c>
      <c r="AE81" s="89">
        <f>Q81*$M81</f>
        <v>0</v>
      </c>
      <c r="AF81" s="90">
        <f>Q81*$N81</f>
        <v>0</v>
      </c>
      <c r="AG81" s="89">
        <f>R81*$M81</f>
        <v>0</v>
      </c>
      <c r="AH81" s="90">
        <f>R81*$N81</f>
        <v>0</v>
      </c>
      <c r="AI81" s="89">
        <f>S81*$M81</f>
        <v>0</v>
      </c>
      <c r="AJ81" s="90">
        <f>S81*$N81</f>
        <v>0</v>
      </c>
      <c r="AK81" s="89">
        <f>T81*$M81</f>
        <v>0</v>
      </c>
      <c r="AL81" s="90">
        <f>T81*$N81</f>
        <v>0</v>
      </c>
      <c r="AM81" s="89">
        <f>U81*$M81</f>
        <v>0</v>
      </c>
      <c r="AN81" s="90">
        <f>U81*$N81</f>
        <v>0</v>
      </c>
      <c r="AO81" s="89">
        <f>V81*$M81</f>
        <v>0</v>
      </c>
      <c r="AP81" s="90">
        <f>V81*$N81</f>
        <v>0</v>
      </c>
      <c r="AQ81" s="89">
        <f>W81*$M81</f>
        <v>0</v>
      </c>
      <c r="AR81" s="90">
        <f>W81*$N81</f>
        <v>0</v>
      </c>
      <c r="AS81" s="89">
        <f>X81*$M81</f>
        <v>0</v>
      </c>
      <c r="AT81" s="90">
        <f>X81*$N81</f>
        <v>0</v>
      </c>
      <c r="AU81" s="89">
        <f>Y81*$M81</f>
        <v>0</v>
      </c>
      <c r="AV81" s="90">
        <f>Y81*$N81</f>
        <v>0</v>
      </c>
      <c r="AW81" s="89">
        <f>Z81*$M81</f>
        <v>0</v>
      </c>
      <c r="AX81" s="90">
        <f>Z81*$N81</f>
        <v>0</v>
      </c>
    </row>
    <row r="82" spans="1:50" outlineLevel="1">
      <c r="A82" s="58" t="s">
        <v>397</v>
      </c>
      <c r="B82" s="59" t="s">
        <v>398</v>
      </c>
      <c r="C82" s="60" t="s">
        <v>399</v>
      </c>
      <c r="D82" s="61" t="s">
        <v>400</v>
      </c>
      <c r="E82" s="62" t="s">
        <v>308</v>
      </c>
      <c r="F82" s="59" t="s">
        <v>62</v>
      </c>
      <c r="G82" s="63">
        <f>IFERROR(INDEX('Benchmark Data'!$AC$7:$AC$130,MATCH($A82,'Benchmark Data'!$A$7:$A$130,0)),0)</f>
        <v>0.01</v>
      </c>
      <c r="H82" s="64">
        <f>IFERROR(INDEX('Benchmark Data'!$AD$7:$AD$130,MATCH($A82,'Benchmark Data'!$A$7:$A$130,0)),0)</f>
        <v>166.66666666666666</v>
      </c>
      <c r="I82" s="65">
        <f t="shared" si="9"/>
        <v>1.6666666666666665</v>
      </c>
      <c r="J82" s="66">
        <f>$E$10</f>
        <v>0</v>
      </c>
      <c r="K82" s="29">
        <f>IFERROR(INDEX('Benchmark Data'!$AE$7:$AE$130,MATCH($A82,'Benchmark Data'!$A$7:$A$130,0)),0)</f>
        <v>1</v>
      </c>
      <c r="L82" s="67">
        <f t="shared" si="10"/>
        <v>0</v>
      </c>
      <c r="M82" s="68">
        <f t="shared" si="11"/>
        <v>0</v>
      </c>
      <c r="N82" s="69">
        <f t="shared" si="12"/>
        <v>0</v>
      </c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</row>
    <row r="83" spans="1:50" outlineLevel="1">
      <c r="A83" s="71" t="s">
        <v>397</v>
      </c>
      <c r="B83" s="72" t="s">
        <v>398</v>
      </c>
      <c r="C83" s="73" t="s">
        <v>399</v>
      </c>
      <c r="D83" s="71" t="s">
        <v>400</v>
      </c>
      <c r="E83" s="74" t="s">
        <v>308</v>
      </c>
      <c r="F83" s="17" t="s">
        <v>63</v>
      </c>
      <c r="G83" s="75">
        <f>G82</f>
        <v>0.01</v>
      </c>
      <c r="H83" s="76">
        <f>H82*(1+Settings!$C$8)</f>
        <v>208.33333333333331</v>
      </c>
      <c r="I83" s="76">
        <f t="shared" si="9"/>
        <v>2.083333333333333</v>
      </c>
      <c r="J83" s="77">
        <f>J82</f>
        <v>0</v>
      </c>
      <c r="K83" s="51">
        <f>K82</f>
        <v>1</v>
      </c>
      <c r="L83" s="52">
        <f t="shared" si="10"/>
        <v>0</v>
      </c>
      <c r="M83" s="51">
        <f t="shared" si="11"/>
        <v>0</v>
      </c>
      <c r="N83" s="78">
        <f t="shared" si="12"/>
        <v>0</v>
      </c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</row>
    <row r="84" spans="1:50" outlineLevel="1">
      <c r="A84" s="71" t="s">
        <v>397</v>
      </c>
      <c r="B84" s="72" t="s">
        <v>398</v>
      </c>
      <c r="C84" s="73" t="s">
        <v>399</v>
      </c>
      <c r="D84" s="71" t="s">
        <v>400</v>
      </c>
      <c r="E84" s="74" t="s">
        <v>308</v>
      </c>
      <c r="F84" s="17" t="s">
        <v>64</v>
      </c>
      <c r="G84" s="75">
        <f>G82</f>
        <v>0.01</v>
      </c>
      <c r="H84" s="76">
        <f>H82*(1+Settings!$C$9)</f>
        <v>250</v>
      </c>
      <c r="I84" s="76">
        <f t="shared" si="9"/>
        <v>2.5</v>
      </c>
      <c r="J84" s="77">
        <f>J82</f>
        <v>0</v>
      </c>
      <c r="K84" s="51">
        <f>K82</f>
        <v>1</v>
      </c>
      <c r="L84" s="52">
        <f t="shared" si="10"/>
        <v>0</v>
      </c>
      <c r="M84" s="51">
        <f t="shared" si="11"/>
        <v>0</v>
      </c>
      <c r="N84" s="78">
        <f t="shared" si="12"/>
        <v>0</v>
      </c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</row>
    <row r="85" spans="1:50" outlineLevel="1">
      <c r="A85" s="71" t="s">
        <v>397</v>
      </c>
      <c r="B85" s="72" t="s">
        <v>398</v>
      </c>
      <c r="C85" s="73" t="s">
        <v>399</v>
      </c>
      <c r="D85" s="71" t="s">
        <v>400</v>
      </c>
      <c r="E85" s="74" t="s">
        <v>308</v>
      </c>
      <c r="F85" s="17" t="s">
        <v>65</v>
      </c>
      <c r="G85" s="80">
        <f>G82</f>
        <v>0.01</v>
      </c>
      <c r="H85" s="81">
        <f>H82</f>
        <v>166.66666666666666</v>
      </c>
      <c r="I85" s="76">
        <f t="shared" si="9"/>
        <v>1.6666666666666665</v>
      </c>
      <c r="J85" s="77">
        <f>J82</f>
        <v>0</v>
      </c>
      <c r="K85" s="82">
        <f>K82</f>
        <v>1</v>
      </c>
      <c r="L85" s="52">
        <f t="shared" si="10"/>
        <v>0</v>
      </c>
      <c r="M85" s="51">
        <f t="shared" si="11"/>
        <v>0</v>
      </c>
      <c r="N85" s="78">
        <f t="shared" si="12"/>
        <v>0</v>
      </c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</row>
    <row r="86" spans="1:50">
      <c r="A86" s="83" t="s">
        <v>397</v>
      </c>
      <c r="B86" s="16" t="s">
        <v>398</v>
      </c>
      <c r="C86" s="84" t="s">
        <v>399</v>
      </c>
      <c r="D86" s="85" t="s">
        <v>400</v>
      </c>
      <c r="E86" s="86" t="s">
        <v>308</v>
      </c>
      <c r="F86" s="16" t="s">
        <v>179</v>
      </c>
      <c r="G86" s="87">
        <f>CHOOSE(IF(OR($C$3="Expert input",$I$82=0),4,IF($C$3="+25%",2,IF($C$3="+50%",3,1))),G82,G83,G84,G85)</f>
        <v>0.01</v>
      </c>
      <c r="H86" s="88">
        <f>CHOOSE(IF(OR($C$3="Expert input",$I$82=0),4,IF($C$3="+25%",2,IF($C$3="+50%",3,1))),H82,H83,H84,H85)</f>
        <v>166.66666666666666</v>
      </c>
      <c r="I86" s="88">
        <f t="shared" si="9"/>
        <v>1.6666666666666665</v>
      </c>
      <c r="J86" s="54">
        <f>J82</f>
        <v>0</v>
      </c>
      <c r="K86" s="53">
        <f>CHOOSE(IF(OR($C$3="Expert input",$I$82=0),4,IF($C$3="+25%",2,IF($C$3="+50%",3,1))),K82,K83,K84,K85)</f>
        <v>1</v>
      </c>
      <c r="L86" s="54">
        <f t="shared" si="10"/>
        <v>0</v>
      </c>
      <c r="M86" s="53">
        <f t="shared" si="11"/>
        <v>0</v>
      </c>
      <c r="N86" s="54">
        <f t="shared" si="12"/>
        <v>0</v>
      </c>
      <c r="O86" s="43"/>
      <c r="P86" s="43"/>
      <c r="Q86" s="43"/>
      <c r="R86" s="43">
        <v>0.33</v>
      </c>
      <c r="S86" s="43">
        <v>0.67</v>
      </c>
      <c r="T86" s="43"/>
      <c r="U86" s="43"/>
      <c r="V86" s="43"/>
      <c r="W86" s="43"/>
      <c r="X86" s="43"/>
      <c r="Y86" s="43"/>
      <c r="Z86" s="43"/>
      <c r="AA86" s="89">
        <f>O86*$M86</f>
        <v>0</v>
      </c>
      <c r="AB86" s="90">
        <f>O86*$N86</f>
        <v>0</v>
      </c>
      <c r="AC86" s="89">
        <f>P86*$M86</f>
        <v>0</v>
      </c>
      <c r="AD86" s="90">
        <f>P86*$N86</f>
        <v>0</v>
      </c>
      <c r="AE86" s="89">
        <f>Q86*$M86</f>
        <v>0</v>
      </c>
      <c r="AF86" s="90">
        <f>Q86*$N86</f>
        <v>0</v>
      </c>
      <c r="AG86" s="89">
        <f>R86*$M86</f>
        <v>0</v>
      </c>
      <c r="AH86" s="90">
        <f>R86*$N86</f>
        <v>0</v>
      </c>
      <c r="AI86" s="89">
        <f>S86*$M86</f>
        <v>0</v>
      </c>
      <c r="AJ86" s="90">
        <f>S86*$N86</f>
        <v>0</v>
      </c>
      <c r="AK86" s="89">
        <f>T86*$M86</f>
        <v>0</v>
      </c>
      <c r="AL86" s="90">
        <f>T86*$N86</f>
        <v>0</v>
      </c>
      <c r="AM86" s="89">
        <f>U86*$M86</f>
        <v>0</v>
      </c>
      <c r="AN86" s="90">
        <f>U86*$N86</f>
        <v>0</v>
      </c>
      <c r="AO86" s="89">
        <f>V86*$M86</f>
        <v>0</v>
      </c>
      <c r="AP86" s="90">
        <f>V86*$N86</f>
        <v>0</v>
      </c>
      <c r="AQ86" s="89">
        <f>W86*$M86</f>
        <v>0</v>
      </c>
      <c r="AR86" s="90">
        <f>W86*$N86</f>
        <v>0</v>
      </c>
      <c r="AS86" s="89">
        <f>X86*$M86</f>
        <v>0</v>
      </c>
      <c r="AT86" s="90">
        <f>X86*$N86</f>
        <v>0</v>
      </c>
      <c r="AU86" s="89">
        <f>Y86*$M86</f>
        <v>0</v>
      </c>
      <c r="AV86" s="90">
        <f>Y86*$N86</f>
        <v>0</v>
      </c>
      <c r="AW86" s="89">
        <f>Z86*$M86</f>
        <v>0</v>
      </c>
      <c r="AX86" s="90">
        <f>Z86*$N86</f>
        <v>0</v>
      </c>
    </row>
    <row r="87" spans="1:50" outlineLevel="1">
      <c r="A87" s="58" t="s">
        <v>401</v>
      </c>
      <c r="B87" s="59" t="s">
        <v>402</v>
      </c>
      <c r="C87" s="60" t="s">
        <v>403</v>
      </c>
      <c r="D87" s="61" t="s">
        <v>400</v>
      </c>
      <c r="E87" s="62" t="s">
        <v>308</v>
      </c>
      <c r="F87" s="59" t="s">
        <v>62</v>
      </c>
      <c r="G87" s="63">
        <f>IFERROR(INDEX('Benchmark Data'!$AC$7:$AC$130,MATCH($A87,'Benchmark Data'!$A$7:$A$130,0)),0)</f>
        <v>0.01</v>
      </c>
      <c r="H87" s="64">
        <f>IFERROR(INDEX('Benchmark Data'!$AD$7:$AD$130,MATCH($A87,'Benchmark Data'!$A$7:$A$130,0)),0)</f>
        <v>200</v>
      </c>
      <c r="I87" s="65">
        <f t="shared" si="9"/>
        <v>2</v>
      </c>
      <c r="J87" s="91"/>
      <c r="K87" s="29">
        <f>IFERROR(INDEX('Benchmark Data'!$AE$7:$AE$130,MATCH($A87,'Benchmark Data'!$A$7:$A$130,0)),0)</f>
        <v>1</v>
      </c>
      <c r="L87" s="67">
        <f t="shared" si="10"/>
        <v>0</v>
      </c>
      <c r="M87" s="68">
        <f t="shared" si="11"/>
        <v>0</v>
      </c>
      <c r="N87" s="69">
        <f t="shared" si="12"/>
        <v>0</v>
      </c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</row>
    <row r="88" spans="1:50" outlineLevel="1">
      <c r="A88" s="71" t="s">
        <v>401</v>
      </c>
      <c r="B88" s="72" t="s">
        <v>402</v>
      </c>
      <c r="C88" s="73" t="s">
        <v>403</v>
      </c>
      <c r="D88" s="71" t="s">
        <v>400</v>
      </c>
      <c r="E88" s="74" t="s">
        <v>308</v>
      </c>
      <c r="F88" s="17" t="s">
        <v>63</v>
      </c>
      <c r="G88" s="75">
        <f>G87</f>
        <v>0.01</v>
      </c>
      <c r="H88" s="76">
        <f>H87*(1+Settings!$C$8)</f>
        <v>250</v>
      </c>
      <c r="I88" s="76">
        <f t="shared" si="9"/>
        <v>2.5</v>
      </c>
      <c r="J88" s="77">
        <f>J87</f>
        <v>0</v>
      </c>
      <c r="K88" s="51">
        <f>K87</f>
        <v>1</v>
      </c>
      <c r="L88" s="52">
        <f t="shared" si="10"/>
        <v>0</v>
      </c>
      <c r="M88" s="51">
        <f t="shared" si="11"/>
        <v>0</v>
      </c>
      <c r="N88" s="78">
        <f t="shared" si="12"/>
        <v>0</v>
      </c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</row>
    <row r="89" spans="1:50" outlineLevel="1">
      <c r="A89" s="71" t="s">
        <v>401</v>
      </c>
      <c r="B89" s="72" t="s">
        <v>402</v>
      </c>
      <c r="C89" s="73" t="s">
        <v>403</v>
      </c>
      <c r="D89" s="71" t="s">
        <v>400</v>
      </c>
      <c r="E89" s="74" t="s">
        <v>308</v>
      </c>
      <c r="F89" s="17" t="s">
        <v>64</v>
      </c>
      <c r="G89" s="75">
        <f>G87</f>
        <v>0.01</v>
      </c>
      <c r="H89" s="76">
        <f>H87*(1+Settings!$C$9)</f>
        <v>300</v>
      </c>
      <c r="I89" s="76">
        <f t="shared" si="9"/>
        <v>3</v>
      </c>
      <c r="J89" s="77">
        <f>J87</f>
        <v>0</v>
      </c>
      <c r="K89" s="51">
        <f>K87</f>
        <v>1</v>
      </c>
      <c r="L89" s="52">
        <f t="shared" si="10"/>
        <v>0</v>
      </c>
      <c r="M89" s="51">
        <f t="shared" si="11"/>
        <v>0</v>
      </c>
      <c r="N89" s="78">
        <f t="shared" si="12"/>
        <v>0</v>
      </c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</row>
    <row r="90" spans="1:50" outlineLevel="1">
      <c r="A90" s="71" t="s">
        <v>401</v>
      </c>
      <c r="B90" s="72" t="s">
        <v>402</v>
      </c>
      <c r="C90" s="73" t="s">
        <v>403</v>
      </c>
      <c r="D90" s="71" t="s">
        <v>400</v>
      </c>
      <c r="E90" s="74" t="s">
        <v>308</v>
      </c>
      <c r="F90" s="17" t="s">
        <v>65</v>
      </c>
      <c r="G90" s="80">
        <f>G87</f>
        <v>0.01</v>
      </c>
      <c r="H90" s="81">
        <f>H87</f>
        <v>200</v>
      </c>
      <c r="I90" s="76">
        <f t="shared" si="9"/>
        <v>2</v>
      </c>
      <c r="J90" s="77">
        <f>J87</f>
        <v>0</v>
      </c>
      <c r="K90" s="82">
        <f>K87</f>
        <v>1</v>
      </c>
      <c r="L90" s="52">
        <f t="shared" si="10"/>
        <v>0</v>
      </c>
      <c r="M90" s="51">
        <f t="shared" si="11"/>
        <v>0</v>
      </c>
      <c r="N90" s="78">
        <f t="shared" si="12"/>
        <v>0</v>
      </c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</row>
    <row r="91" spans="1:50">
      <c r="A91" s="83" t="s">
        <v>401</v>
      </c>
      <c r="B91" s="16" t="s">
        <v>402</v>
      </c>
      <c r="C91" s="84" t="s">
        <v>403</v>
      </c>
      <c r="D91" s="85" t="s">
        <v>400</v>
      </c>
      <c r="E91" s="86" t="s">
        <v>308</v>
      </c>
      <c r="F91" s="16" t="s">
        <v>179</v>
      </c>
      <c r="G91" s="87">
        <f>CHOOSE(IF(OR($C$3="Expert input",$I$87=0),4,IF($C$3="+25%",2,IF($C$3="+50%",3,1))),G87,G88,G89,G90)</f>
        <v>0.01</v>
      </c>
      <c r="H91" s="88">
        <f>CHOOSE(IF(OR($C$3="Expert input",$I$87=0),4,IF($C$3="+25%",2,IF($C$3="+50%",3,1))),H87,H88,H89,H90)</f>
        <v>200</v>
      </c>
      <c r="I91" s="88">
        <f t="shared" si="9"/>
        <v>2</v>
      </c>
      <c r="J91" s="54">
        <f>J87</f>
        <v>0</v>
      </c>
      <c r="K91" s="53">
        <f>CHOOSE(IF(OR($C$3="Expert input",$I$87=0),4,IF($C$3="+25%",2,IF($C$3="+50%",3,1))),K87,K88,K89,K90)</f>
        <v>1</v>
      </c>
      <c r="L91" s="54">
        <f t="shared" si="10"/>
        <v>0</v>
      </c>
      <c r="M91" s="53">
        <f t="shared" si="11"/>
        <v>0</v>
      </c>
      <c r="N91" s="54">
        <f t="shared" si="12"/>
        <v>0</v>
      </c>
      <c r="O91" s="43"/>
      <c r="P91" s="43"/>
      <c r="Q91" s="43"/>
      <c r="R91" s="43"/>
      <c r="S91" s="43"/>
      <c r="T91" s="43"/>
      <c r="U91" s="43">
        <v>0.5</v>
      </c>
      <c r="V91" s="43">
        <v>0.5</v>
      </c>
      <c r="W91" s="43"/>
      <c r="X91" s="43"/>
      <c r="Y91" s="43"/>
      <c r="Z91" s="43"/>
      <c r="AA91" s="89">
        <f>O91*$M91</f>
        <v>0</v>
      </c>
      <c r="AB91" s="90">
        <f>O91*$N91</f>
        <v>0</v>
      </c>
      <c r="AC91" s="89">
        <f>P91*$M91</f>
        <v>0</v>
      </c>
      <c r="AD91" s="90">
        <f>P91*$N91</f>
        <v>0</v>
      </c>
      <c r="AE91" s="89">
        <f>Q91*$M91</f>
        <v>0</v>
      </c>
      <c r="AF91" s="90">
        <f>Q91*$N91</f>
        <v>0</v>
      </c>
      <c r="AG91" s="89">
        <f>R91*$M91</f>
        <v>0</v>
      </c>
      <c r="AH91" s="90">
        <f>R91*$N91</f>
        <v>0</v>
      </c>
      <c r="AI91" s="89">
        <f>S91*$M91</f>
        <v>0</v>
      </c>
      <c r="AJ91" s="90">
        <f>S91*$N91</f>
        <v>0</v>
      </c>
      <c r="AK91" s="89">
        <f>T91*$M91</f>
        <v>0</v>
      </c>
      <c r="AL91" s="90">
        <f>T91*$N91</f>
        <v>0</v>
      </c>
      <c r="AM91" s="89">
        <f>U91*$M91</f>
        <v>0</v>
      </c>
      <c r="AN91" s="90">
        <f>U91*$N91</f>
        <v>0</v>
      </c>
      <c r="AO91" s="89">
        <f>V91*$M91</f>
        <v>0</v>
      </c>
      <c r="AP91" s="90">
        <f>V91*$N91</f>
        <v>0</v>
      </c>
      <c r="AQ91" s="89">
        <f>W91*$M91</f>
        <v>0</v>
      </c>
      <c r="AR91" s="90">
        <f>W91*$N91</f>
        <v>0</v>
      </c>
      <c r="AS91" s="89">
        <f>X91*$M91</f>
        <v>0</v>
      </c>
      <c r="AT91" s="90">
        <f>X91*$N91</f>
        <v>0</v>
      </c>
      <c r="AU91" s="89">
        <f>Y91*$M91</f>
        <v>0</v>
      </c>
      <c r="AV91" s="90">
        <f>Y91*$N91</f>
        <v>0</v>
      </c>
      <c r="AW91" s="89">
        <f>Z91*$M91</f>
        <v>0</v>
      </c>
      <c r="AX91" s="90">
        <f>Z91*$N91</f>
        <v>0</v>
      </c>
    </row>
    <row r="92" spans="1:50" outlineLevel="1">
      <c r="A92" s="58" t="s">
        <v>404</v>
      </c>
      <c r="B92" s="59" t="s">
        <v>405</v>
      </c>
      <c r="C92" s="60" t="s">
        <v>406</v>
      </c>
      <c r="D92" s="61" t="s">
        <v>400</v>
      </c>
      <c r="E92" s="62" t="s">
        <v>109</v>
      </c>
      <c r="F92" s="59" t="s">
        <v>62</v>
      </c>
      <c r="G92" s="63">
        <f>IFERROR(INDEX('Benchmark Data'!$AC$7:$AC$130,MATCH($A92,'Benchmark Data'!$A$7:$A$130,0)),0)</f>
        <v>10</v>
      </c>
      <c r="H92" s="64">
        <f>IFERROR(INDEX('Benchmark Data'!$AD$7:$AD$130,MATCH($A92,'Benchmark Data'!$A$7:$A$130,0)),0)</f>
        <v>300</v>
      </c>
      <c r="I92" s="65">
        <f t="shared" si="9"/>
        <v>3000</v>
      </c>
      <c r="J92" s="91"/>
      <c r="K92" s="29">
        <f>IFERROR(INDEX('Benchmark Data'!$AE$7:$AE$130,MATCH($A92,'Benchmark Data'!$A$7:$A$130,0)),0)</f>
        <v>1</v>
      </c>
      <c r="L92" s="67">
        <f t="shared" si="10"/>
        <v>0</v>
      </c>
      <c r="M92" s="68">
        <f t="shared" si="11"/>
        <v>0</v>
      </c>
      <c r="N92" s="69">
        <f t="shared" si="12"/>
        <v>0</v>
      </c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</row>
    <row r="93" spans="1:50" outlineLevel="1">
      <c r="A93" s="71" t="s">
        <v>404</v>
      </c>
      <c r="B93" s="72" t="s">
        <v>405</v>
      </c>
      <c r="C93" s="73" t="s">
        <v>406</v>
      </c>
      <c r="D93" s="71" t="s">
        <v>400</v>
      </c>
      <c r="E93" s="74" t="s">
        <v>109</v>
      </c>
      <c r="F93" s="17" t="s">
        <v>63</v>
      </c>
      <c r="G93" s="75">
        <f>G92</f>
        <v>10</v>
      </c>
      <c r="H93" s="76">
        <f>H92*(1+Settings!$C$8)</f>
        <v>375</v>
      </c>
      <c r="I93" s="76">
        <f t="shared" si="9"/>
        <v>3750</v>
      </c>
      <c r="J93" s="77">
        <f>J92</f>
        <v>0</v>
      </c>
      <c r="K93" s="51">
        <f>K92</f>
        <v>1</v>
      </c>
      <c r="L93" s="52">
        <f t="shared" si="10"/>
        <v>0</v>
      </c>
      <c r="M93" s="51">
        <f t="shared" si="11"/>
        <v>0</v>
      </c>
      <c r="N93" s="78">
        <f t="shared" si="12"/>
        <v>0</v>
      </c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</row>
    <row r="94" spans="1:50" outlineLevel="1">
      <c r="A94" s="71" t="s">
        <v>404</v>
      </c>
      <c r="B94" s="72" t="s">
        <v>405</v>
      </c>
      <c r="C94" s="73" t="s">
        <v>406</v>
      </c>
      <c r="D94" s="71" t="s">
        <v>400</v>
      </c>
      <c r="E94" s="74" t="s">
        <v>109</v>
      </c>
      <c r="F94" s="17" t="s">
        <v>64</v>
      </c>
      <c r="G94" s="75">
        <f>G92</f>
        <v>10</v>
      </c>
      <c r="H94" s="76">
        <f>H92*(1+Settings!$C$9)</f>
        <v>450</v>
      </c>
      <c r="I94" s="76">
        <f t="shared" si="9"/>
        <v>4500</v>
      </c>
      <c r="J94" s="77">
        <f>J92</f>
        <v>0</v>
      </c>
      <c r="K94" s="51">
        <f>K92</f>
        <v>1</v>
      </c>
      <c r="L94" s="52">
        <f t="shared" si="10"/>
        <v>0</v>
      </c>
      <c r="M94" s="51">
        <f t="shared" si="11"/>
        <v>0</v>
      </c>
      <c r="N94" s="78">
        <f t="shared" si="12"/>
        <v>0</v>
      </c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</row>
    <row r="95" spans="1:50" outlineLevel="1">
      <c r="A95" s="71" t="s">
        <v>404</v>
      </c>
      <c r="B95" s="72" t="s">
        <v>405</v>
      </c>
      <c r="C95" s="73" t="s">
        <v>406</v>
      </c>
      <c r="D95" s="71" t="s">
        <v>400</v>
      </c>
      <c r="E95" s="74" t="s">
        <v>109</v>
      </c>
      <c r="F95" s="17" t="s">
        <v>65</v>
      </c>
      <c r="G95" s="80">
        <f>G92</f>
        <v>10</v>
      </c>
      <c r="H95" s="81">
        <f>H92</f>
        <v>300</v>
      </c>
      <c r="I95" s="76">
        <f t="shared" si="9"/>
        <v>3000</v>
      </c>
      <c r="J95" s="77">
        <f>J92</f>
        <v>0</v>
      </c>
      <c r="K95" s="82">
        <f>K92</f>
        <v>1</v>
      </c>
      <c r="L95" s="52">
        <f t="shared" si="10"/>
        <v>0</v>
      </c>
      <c r="M95" s="51">
        <f t="shared" si="11"/>
        <v>0</v>
      </c>
      <c r="N95" s="78">
        <f t="shared" si="12"/>
        <v>0</v>
      </c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</row>
    <row r="96" spans="1:50">
      <c r="A96" s="83" t="s">
        <v>404</v>
      </c>
      <c r="B96" s="16" t="s">
        <v>405</v>
      </c>
      <c r="C96" s="84" t="s">
        <v>406</v>
      </c>
      <c r="D96" s="85" t="s">
        <v>400</v>
      </c>
      <c r="E96" s="86" t="s">
        <v>109</v>
      </c>
      <c r="F96" s="16" t="s">
        <v>179</v>
      </c>
      <c r="G96" s="87">
        <f>CHOOSE(IF(OR($C$3="Expert input",$I$92=0),4,IF($C$3="+25%",2,IF($C$3="+50%",3,1))),G92,G93,G94,G95)</f>
        <v>10</v>
      </c>
      <c r="H96" s="88">
        <f>CHOOSE(IF(OR($C$3="Expert input",$I$92=0),4,IF($C$3="+25%",2,IF($C$3="+50%",3,1))),H92,H93,H94,H95)</f>
        <v>300</v>
      </c>
      <c r="I96" s="88">
        <f t="shared" si="9"/>
        <v>3000</v>
      </c>
      <c r="J96" s="54">
        <f>J92</f>
        <v>0</v>
      </c>
      <c r="K96" s="53">
        <f>CHOOSE(IF(OR($C$3="Expert input",$I$92=0),4,IF($C$3="+25%",2,IF($C$3="+50%",3,1))),K92,K93,K94,K95)</f>
        <v>1</v>
      </c>
      <c r="L96" s="54">
        <f t="shared" si="10"/>
        <v>0</v>
      </c>
      <c r="M96" s="53">
        <f t="shared" si="11"/>
        <v>0</v>
      </c>
      <c r="N96" s="54">
        <f t="shared" si="12"/>
        <v>0</v>
      </c>
      <c r="O96" s="43"/>
      <c r="P96" s="43"/>
      <c r="Q96" s="43"/>
      <c r="R96" s="43">
        <v>0.5</v>
      </c>
      <c r="S96" s="43">
        <v>0.5</v>
      </c>
      <c r="T96" s="43"/>
      <c r="U96" s="43"/>
      <c r="V96" s="43"/>
      <c r="W96" s="43"/>
      <c r="X96" s="43"/>
      <c r="Y96" s="43"/>
      <c r="Z96" s="43"/>
      <c r="AA96" s="89">
        <f>O96*$M96</f>
        <v>0</v>
      </c>
      <c r="AB96" s="90">
        <f>O96*$N96</f>
        <v>0</v>
      </c>
      <c r="AC96" s="89">
        <f>P96*$M96</f>
        <v>0</v>
      </c>
      <c r="AD96" s="90">
        <f>P96*$N96</f>
        <v>0</v>
      </c>
      <c r="AE96" s="89">
        <f>Q96*$M96</f>
        <v>0</v>
      </c>
      <c r="AF96" s="90">
        <f>Q96*$N96</f>
        <v>0</v>
      </c>
      <c r="AG96" s="89">
        <f>R96*$M96</f>
        <v>0</v>
      </c>
      <c r="AH96" s="90">
        <f>R96*$N96</f>
        <v>0</v>
      </c>
      <c r="AI96" s="89">
        <f>S96*$M96</f>
        <v>0</v>
      </c>
      <c r="AJ96" s="90">
        <f>S96*$N96</f>
        <v>0</v>
      </c>
      <c r="AK96" s="89">
        <f>T96*$M96</f>
        <v>0</v>
      </c>
      <c r="AL96" s="90">
        <f>T96*$N96</f>
        <v>0</v>
      </c>
      <c r="AM96" s="89">
        <f>U96*$M96</f>
        <v>0</v>
      </c>
      <c r="AN96" s="90">
        <f>U96*$N96</f>
        <v>0</v>
      </c>
      <c r="AO96" s="89">
        <f>V96*$M96</f>
        <v>0</v>
      </c>
      <c r="AP96" s="90">
        <f>V96*$N96</f>
        <v>0</v>
      </c>
      <c r="AQ96" s="89">
        <f>W96*$M96</f>
        <v>0</v>
      </c>
      <c r="AR96" s="90">
        <f>W96*$N96</f>
        <v>0</v>
      </c>
      <c r="AS96" s="89">
        <f>X96*$M96</f>
        <v>0</v>
      </c>
      <c r="AT96" s="90">
        <f>X96*$N96</f>
        <v>0</v>
      </c>
      <c r="AU96" s="89">
        <f>Y96*$M96</f>
        <v>0</v>
      </c>
      <c r="AV96" s="90">
        <f>Y96*$N96</f>
        <v>0</v>
      </c>
      <c r="AW96" s="89">
        <f>Z96*$M96</f>
        <v>0</v>
      </c>
      <c r="AX96" s="90">
        <f>Z96*$N96</f>
        <v>0</v>
      </c>
    </row>
    <row r="97" spans="1:50" outlineLevel="1">
      <c r="A97" s="58" t="s">
        <v>407</v>
      </c>
      <c r="B97" s="59" t="s">
        <v>408</v>
      </c>
      <c r="C97" s="60" t="s">
        <v>409</v>
      </c>
      <c r="D97" s="61" t="s">
        <v>400</v>
      </c>
      <c r="E97" s="62" t="s">
        <v>308</v>
      </c>
      <c r="F97" s="59" t="s">
        <v>62</v>
      </c>
      <c r="G97" s="63">
        <f>IFERROR(INDEX('Benchmark Data'!$AC$7:$AC$130,MATCH($A97,'Benchmark Data'!$A$7:$A$130,0)),0)</f>
        <v>0.01</v>
      </c>
      <c r="H97" s="64">
        <f>IFERROR(INDEX('Benchmark Data'!$AD$7:$AD$130,MATCH($A97,'Benchmark Data'!$A$7:$A$130,0)),0)</f>
        <v>300</v>
      </c>
      <c r="I97" s="65">
        <f t="shared" si="9"/>
        <v>3</v>
      </c>
      <c r="J97" s="91"/>
      <c r="K97" s="29">
        <f>IFERROR(INDEX('Benchmark Data'!$AE$7:$AE$130,MATCH($A97,'Benchmark Data'!$A$7:$A$130,0)),0)</f>
        <v>1</v>
      </c>
      <c r="L97" s="67">
        <f t="shared" si="10"/>
        <v>0</v>
      </c>
      <c r="M97" s="68">
        <f t="shared" si="11"/>
        <v>0</v>
      </c>
      <c r="N97" s="69">
        <f t="shared" si="12"/>
        <v>0</v>
      </c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</row>
    <row r="98" spans="1:50" outlineLevel="1">
      <c r="A98" s="71" t="s">
        <v>407</v>
      </c>
      <c r="B98" s="72" t="s">
        <v>408</v>
      </c>
      <c r="C98" s="73" t="s">
        <v>409</v>
      </c>
      <c r="D98" s="71" t="s">
        <v>400</v>
      </c>
      <c r="E98" s="74" t="s">
        <v>308</v>
      </c>
      <c r="F98" s="17" t="s">
        <v>63</v>
      </c>
      <c r="G98" s="75">
        <f>G97</f>
        <v>0.01</v>
      </c>
      <c r="H98" s="76">
        <f>H97*(1+Settings!$C$8)</f>
        <v>375</v>
      </c>
      <c r="I98" s="76">
        <f t="shared" si="9"/>
        <v>3.75</v>
      </c>
      <c r="J98" s="77">
        <f>J97</f>
        <v>0</v>
      </c>
      <c r="K98" s="51">
        <f>K97</f>
        <v>1</v>
      </c>
      <c r="L98" s="52">
        <f t="shared" si="10"/>
        <v>0</v>
      </c>
      <c r="M98" s="51">
        <f t="shared" si="11"/>
        <v>0</v>
      </c>
      <c r="N98" s="78">
        <f t="shared" si="12"/>
        <v>0</v>
      </c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</row>
    <row r="99" spans="1:50" outlineLevel="1">
      <c r="A99" s="71" t="s">
        <v>407</v>
      </c>
      <c r="B99" s="72" t="s">
        <v>408</v>
      </c>
      <c r="C99" s="73" t="s">
        <v>409</v>
      </c>
      <c r="D99" s="71" t="s">
        <v>400</v>
      </c>
      <c r="E99" s="74" t="s">
        <v>308</v>
      </c>
      <c r="F99" s="17" t="s">
        <v>64</v>
      </c>
      <c r="G99" s="75">
        <f>G97</f>
        <v>0.01</v>
      </c>
      <c r="H99" s="76">
        <f>H97*(1+Settings!$C$9)</f>
        <v>450</v>
      </c>
      <c r="I99" s="76">
        <f t="shared" si="9"/>
        <v>4.5</v>
      </c>
      <c r="J99" s="77">
        <f>J97</f>
        <v>0</v>
      </c>
      <c r="K99" s="51">
        <f>K97</f>
        <v>1</v>
      </c>
      <c r="L99" s="52">
        <f t="shared" si="10"/>
        <v>0</v>
      </c>
      <c r="M99" s="51">
        <f t="shared" si="11"/>
        <v>0</v>
      </c>
      <c r="N99" s="78">
        <f t="shared" si="12"/>
        <v>0</v>
      </c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79"/>
      <c r="AX99" s="79"/>
    </row>
    <row r="100" spans="1:50" outlineLevel="1">
      <c r="A100" s="71" t="s">
        <v>407</v>
      </c>
      <c r="B100" s="72" t="s">
        <v>408</v>
      </c>
      <c r="C100" s="73" t="s">
        <v>409</v>
      </c>
      <c r="D100" s="71" t="s">
        <v>400</v>
      </c>
      <c r="E100" s="74" t="s">
        <v>308</v>
      </c>
      <c r="F100" s="17" t="s">
        <v>65</v>
      </c>
      <c r="G100" s="80">
        <f>G97</f>
        <v>0.01</v>
      </c>
      <c r="H100" s="81">
        <f>H97</f>
        <v>300</v>
      </c>
      <c r="I100" s="76">
        <f t="shared" si="9"/>
        <v>3</v>
      </c>
      <c r="J100" s="77">
        <f>J97</f>
        <v>0</v>
      </c>
      <c r="K100" s="82">
        <f>K97</f>
        <v>1</v>
      </c>
      <c r="L100" s="52">
        <f t="shared" si="10"/>
        <v>0</v>
      </c>
      <c r="M100" s="51">
        <f t="shared" si="11"/>
        <v>0</v>
      </c>
      <c r="N100" s="78">
        <f t="shared" si="12"/>
        <v>0</v>
      </c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</row>
    <row r="101" spans="1:50">
      <c r="A101" s="83" t="s">
        <v>407</v>
      </c>
      <c r="B101" s="16" t="s">
        <v>408</v>
      </c>
      <c r="C101" s="84" t="s">
        <v>409</v>
      </c>
      <c r="D101" s="85" t="s">
        <v>400</v>
      </c>
      <c r="E101" s="86" t="s">
        <v>308</v>
      </c>
      <c r="F101" s="16" t="s">
        <v>179</v>
      </c>
      <c r="G101" s="87">
        <f>CHOOSE(IF(OR($C$3="Expert input",$I$97=0),4,IF($C$3="+25%",2,IF($C$3="+50%",3,1))),G97,G98,G99,G100)</f>
        <v>0.01</v>
      </c>
      <c r="H101" s="88">
        <f>CHOOSE(IF(OR($C$3="Expert input",$I$97=0),4,IF($C$3="+25%",2,IF($C$3="+50%",3,1))),H97,H98,H99,H100)</f>
        <v>300</v>
      </c>
      <c r="I101" s="88">
        <f t="shared" si="9"/>
        <v>3</v>
      </c>
      <c r="J101" s="54">
        <f>J97</f>
        <v>0</v>
      </c>
      <c r="K101" s="53">
        <f>CHOOSE(IF(OR($C$3="Expert input",$I$97=0),4,IF($C$3="+25%",2,IF($C$3="+50%",3,1))),K97,K98,K99,K100)</f>
        <v>1</v>
      </c>
      <c r="L101" s="54">
        <f t="shared" si="10"/>
        <v>0</v>
      </c>
      <c r="M101" s="53">
        <f t="shared" si="11"/>
        <v>0</v>
      </c>
      <c r="N101" s="54">
        <f t="shared" si="12"/>
        <v>0</v>
      </c>
      <c r="O101" s="43"/>
      <c r="P101" s="43"/>
      <c r="Q101" s="43"/>
      <c r="R101" s="43">
        <v>0.34</v>
      </c>
      <c r="S101" s="43">
        <v>0.33</v>
      </c>
      <c r="T101" s="43">
        <v>0.33</v>
      </c>
      <c r="U101" s="43"/>
      <c r="V101" s="43"/>
      <c r="W101" s="43"/>
      <c r="X101" s="43"/>
      <c r="Y101" s="43"/>
      <c r="Z101" s="43"/>
      <c r="AA101" s="89">
        <f>O101*$M101</f>
        <v>0</v>
      </c>
      <c r="AB101" s="90">
        <f>O101*$N101</f>
        <v>0</v>
      </c>
      <c r="AC101" s="89">
        <f>P101*$M101</f>
        <v>0</v>
      </c>
      <c r="AD101" s="90">
        <f>P101*$N101</f>
        <v>0</v>
      </c>
      <c r="AE101" s="89">
        <f>Q101*$M101</f>
        <v>0</v>
      </c>
      <c r="AF101" s="90">
        <f>Q101*$N101</f>
        <v>0</v>
      </c>
      <c r="AG101" s="89">
        <f>R101*$M101</f>
        <v>0</v>
      </c>
      <c r="AH101" s="90">
        <f>R101*$N101</f>
        <v>0</v>
      </c>
      <c r="AI101" s="89">
        <f>S101*$M101</f>
        <v>0</v>
      </c>
      <c r="AJ101" s="90">
        <f>S101*$N101</f>
        <v>0</v>
      </c>
      <c r="AK101" s="89">
        <f>T101*$M101</f>
        <v>0</v>
      </c>
      <c r="AL101" s="90">
        <f>T101*$N101</f>
        <v>0</v>
      </c>
      <c r="AM101" s="89">
        <f>U101*$M101</f>
        <v>0</v>
      </c>
      <c r="AN101" s="90">
        <f>U101*$N101</f>
        <v>0</v>
      </c>
      <c r="AO101" s="89">
        <f>V101*$M101</f>
        <v>0</v>
      </c>
      <c r="AP101" s="90">
        <f>V101*$N101</f>
        <v>0</v>
      </c>
      <c r="AQ101" s="89">
        <f>W101*$M101</f>
        <v>0</v>
      </c>
      <c r="AR101" s="90">
        <f>W101*$N101</f>
        <v>0</v>
      </c>
      <c r="AS101" s="89">
        <f>X101*$M101</f>
        <v>0</v>
      </c>
      <c r="AT101" s="90">
        <f>X101*$N101</f>
        <v>0</v>
      </c>
      <c r="AU101" s="89">
        <f>Y101*$M101</f>
        <v>0</v>
      </c>
      <c r="AV101" s="90">
        <f>Y101*$N101</f>
        <v>0</v>
      </c>
      <c r="AW101" s="89">
        <f>Z101*$M101</f>
        <v>0</v>
      </c>
      <c r="AX101" s="90">
        <f>Z101*$N101</f>
        <v>0</v>
      </c>
    </row>
    <row r="102" spans="1:50" outlineLevel="1">
      <c r="A102" s="58" t="s">
        <v>410</v>
      </c>
      <c r="B102" s="59" t="s">
        <v>332</v>
      </c>
      <c r="C102" s="60" t="s">
        <v>333</v>
      </c>
      <c r="D102" s="61" t="s">
        <v>411</v>
      </c>
      <c r="E102" s="62" t="s">
        <v>109</v>
      </c>
      <c r="F102" s="59" t="s">
        <v>62</v>
      </c>
      <c r="G102" s="63">
        <f>IFERROR(INDEX('Benchmark Data'!$AC$7:$AC$130,MATCH($A102,'Benchmark Data'!$A$7:$A$130,0)),0)</f>
        <v>10</v>
      </c>
      <c r="H102" s="64">
        <f>IFERROR(INDEX('Benchmark Data'!$AD$7:$AD$130,MATCH($A102,'Benchmark Data'!$A$7:$A$130,0)),0)</f>
        <v>80</v>
      </c>
      <c r="I102" s="65">
        <f t="shared" si="9"/>
        <v>800</v>
      </c>
      <c r="J102" s="66">
        <f>$E$7</f>
        <v>0</v>
      </c>
      <c r="K102" s="29">
        <f>IFERROR(INDEX('Benchmark Data'!$AE$7:$AE$130,MATCH($A102,'Benchmark Data'!$A$7:$A$130,0)),0)</f>
        <v>1</v>
      </c>
      <c r="L102" s="67">
        <f t="shared" si="10"/>
        <v>0</v>
      </c>
      <c r="M102" s="68">
        <f t="shared" si="11"/>
        <v>0</v>
      </c>
      <c r="N102" s="69">
        <f t="shared" si="12"/>
        <v>0</v>
      </c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</row>
    <row r="103" spans="1:50" outlineLevel="1">
      <c r="A103" s="71" t="s">
        <v>410</v>
      </c>
      <c r="B103" s="72" t="s">
        <v>332</v>
      </c>
      <c r="C103" s="73" t="s">
        <v>333</v>
      </c>
      <c r="D103" s="71" t="s">
        <v>411</v>
      </c>
      <c r="E103" s="74" t="s">
        <v>109</v>
      </c>
      <c r="F103" s="17" t="s">
        <v>63</v>
      </c>
      <c r="G103" s="75">
        <f>G102</f>
        <v>10</v>
      </c>
      <c r="H103" s="76">
        <f>H102*(1+Settings!$C$8)</f>
        <v>100</v>
      </c>
      <c r="I103" s="76">
        <f t="shared" si="9"/>
        <v>1000</v>
      </c>
      <c r="J103" s="77">
        <f>J102</f>
        <v>0</v>
      </c>
      <c r="K103" s="51">
        <f>K102</f>
        <v>1</v>
      </c>
      <c r="L103" s="52">
        <f t="shared" si="10"/>
        <v>0</v>
      </c>
      <c r="M103" s="51">
        <f t="shared" si="11"/>
        <v>0</v>
      </c>
      <c r="N103" s="78">
        <f t="shared" si="12"/>
        <v>0</v>
      </c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</row>
    <row r="104" spans="1:50" outlineLevel="1">
      <c r="A104" s="71" t="s">
        <v>410</v>
      </c>
      <c r="B104" s="72" t="s">
        <v>332</v>
      </c>
      <c r="C104" s="73" t="s">
        <v>333</v>
      </c>
      <c r="D104" s="71" t="s">
        <v>411</v>
      </c>
      <c r="E104" s="74" t="s">
        <v>109</v>
      </c>
      <c r="F104" s="17" t="s">
        <v>64</v>
      </c>
      <c r="G104" s="75">
        <f>G102</f>
        <v>10</v>
      </c>
      <c r="H104" s="76">
        <f>H102*(1+Settings!$C$9)</f>
        <v>120</v>
      </c>
      <c r="I104" s="76">
        <f t="shared" si="9"/>
        <v>1200</v>
      </c>
      <c r="J104" s="77">
        <f>J102</f>
        <v>0</v>
      </c>
      <c r="K104" s="51">
        <f>K102</f>
        <v>1</v>
      </c>
      <c r="L104" s="52">
        <f t="shared" si="10"/>
        <v>0</v>
      </c>
      <c r="M104" s="51">
        <f t="shared" si="11"/>
        <v>0</v>
      </c>
      <c r="N104" s="78">
        <f t="shared" si="12"/>
        <v>0</v>
      </c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</row>
    <row r="105" spans="1:50" outlineLevel="1">
      <c r="A105" s="71" t="s">
        <v>410</v>
      </c>
      <c r="B105" s="72" t="s">
        <v>332</v>
      </c>
      <c r="C105" s="73" t="s">
        <v>333</v>
      </c>
      <c r="D105" s="71" t="s">
        <v>411</v>
      </c>
      <c r="E105" s="74" t="s">
        <v>109</v>
      </c>
      <c r="F105" s="17" t="s">
        <v>65</v>
      </c>
      <c r="G105" s="80">
        <f>G102</f>
        <v>10</v>
      </c>
      <c r="H105" s="81">
        <f>H102</f>
        <v>80</v>
      </c>
      <c r="I105" s="76">
        <f t="shared" si="9"/>
        <v>800</v>
      </c>
      <c r="J105" s="77">
        <f>J102</f>
        <v>0</v>
      </c>
      <c r="K105" s="82">
        <f>K102</f>
        <v>1</v>
      </c>
      <c r="L105" s="52">
        <f t="shared" si="10"/>
        <v>0</v>
      </c>
      <c r="M105" s="51">
        <f t="shared" si="11"/>
        <v>0</v>
      </c>
      <c r="N105" s="78">
        <f t="shared" si="12"/>
        <v>0</v>
      </c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</row>
    <row r="106" spans="1:50">
      <c r="A106" s="83" t="s">
        <v>410</v>
      </c>
      <c r="B106" s="16" t="s">
        <v>332</v>
      </c>
      <c r="C106" s="84" t="s">
        <v>333</v>
      </c>
      <c r="D106" s="85" t="s">
        <v>411</v>
      </c>
      <c r="E106" s="86" t="s">
        <v>109</v>
      </c>
      <c r="F106" s="16" t="s">
        <v>179</v>
      </c>
      <c r="G106" s="87">
        <f>CHOOSE(IF(OR($C$3="Expert input",$I$102=0),4,IF($C$3="+25%",2,IF($C$3="+50%",3,1))),G102,G103,G104,G105)</f>
        <v>10</v>
      </c>
      <c r="H106" s="88">
        <f>CHOOSE(IF(OR($C$3="Expert input",$I$102=0),4,IF($C$3="+25%",2,IF($C$3="+50%",3,1))),H102,H103,H104,H105)</f>
        <v>80</v>
      </c>
      <c r="I106" s="88">
        <f t="shared" si="9"/>
        <v>800</v>
      </c>
      <c r="J106" s="54">
        <f>J102</f>
        <v>0</v>
      </c>
      <c r="K106" s="53">
        <f>CHOOSE(IF(OR($C$3="Expert input",$I$102=0),4,IF($C$3="+25%",2,IF($C$3="+50%",3,1))),K102,K103,K104,K105)</f>
        <v>1</v>
      </c>
      <c r="L106" s="54">
        <f t="shared" si="10"/>
        <v>0</v>
      </c>
      <c r="M106" s="53">
        <f t="shared" si="11"/>
        <v>0</v>
      </c>
      <c r="N106" s="54">
        <f t="shared" si="12"/>
        <v>0</v>
      </c>
      <c r="O106" s="43"/>
      <c r="P106" s="43"/>
      <c r="Q106" s="43"/>
      <c r="R106" s="43"/>
      <c r="S106" s="43">
        <v>0.5</v>
      </c>
      <c r="T106" s="43">
        <v>0.5</v>
      </c>
      <c r="U106" s="43"/>
      <c r="V106" s="43"/>
      <c r="W106" s="43"/>
      <c r="X106" s="43"/>
      <c r="Y106" s="43"/>
      <c r="Z106" s="43"/>
      <c r="AA106" s="89">
        <f>O106*$M106</f>
        <v>0</v>
      </c>
      <c r="AB106" s="90">
        <f>O106*$N106</f>
        <v>0</v>
      </c>
      <c r="AC106" s="89">
        <f>P106*$M106</f>
        <v>0</v>
      </c>
      <c r="AD106" s="90">
        <f>P106*$N106</f>
        <v>0</v>
      </c>
      <c r="AE106" s="89">
        <f>Q106*$M106</f>
        <v>0</v>
      </c>
      <c r="AF106" s="90">
        <f>Q106*$N106</f>
        <v>0</v>
      </c>
      <c r="AG106" s="89">
        <f>R106*$M106</f>
        <v>0</v>
      </c>
      <c r="AH106" s="90">
        <f>R106*$N106</f>
        <v>0</v>
      </c>
      <c r="AI106" s="89">
        <f>S106*$M106</f>
        <v>0</v>
      </c>
      <c r="AJ106" s="90">
        <f>S106*$N106</f>
        <v>0</v>
      </c>
      <c r="AK106" s="89">
        <f>T106*$M106</f>
        <v>0</v>
      </c>
      <c r="AL106" s="90">
        <f>T106*$N106</f>
        <v>0</v>
      </c>
      <c r="AM106" s="89">
        <f>U106*$M106</f>
        <v>0</v>
      </c>
      <c r="AN106" s="90">
        <f>U106*$N106</f>
        <v>0</v>
      </c>
      <c r="AO106" s="89">
        <f>V106*$M106</f>
        <v>0</v>
      </c>
      <c r="AP106" s="90">
        <f>V106*$N106</f>
        <v>0</v>
      </c>
      <c r="AQ106" s="89">
        <f>W106*$M106</f>
        <v>0</v>
      </c>
      <c r="AR106" s="90">
        <f>W106*$N106</f>
        <v>0</v>
      </c>
      <c r="AS106" s="89">
        <f>X106*$M106</f>
        <v>0</v>
      </c>
      <c r="AT106" s="90">
        <f>X106*$N106</f>
        <v>0</v>
      </c>
      <c r="AU106" s="89">
        <f>Y106*$M106</f>
        <v>0</v>
      </c>
      <c r="AV106" s="90">
        <f>Y106*$N106</f>
        <v>0</v>
      </c>
      <c r="AW106" s="89">
        <f>Z106*$M106</f>
        <v>0</v>
      </c>
      <c r="AX106" s="90">
        <f>Z106*$N106</f>
        <v>0</v>
      </c>
    </row>
    <row r="107" spans="1:50" outlineLevel="1">
      <c r="A107" s="58" t="s">
        <v>412</v>
      </c>
      <c r="B107" s="59" t="s">
        <v>413</v>
      </c>
      <c r="C107" s="60" t="s">
        <v>414</v>
      </c>
      <c r="D107" s="61" t="s">
        <v>411</v>
      </c>
      <c r="E107" s="62" t="s">
        <v>109</v>
      </c>
      <c r="F107" s="59" t="s">
        <v>62</v>
      </c>
      <c r="G107" s="63">
        <f>IFERROR(INDEX('Benchmark Data'!$AC$7:$AC$130,MATCH($A107,'Benchmark Data'!$A$7:$A$130,0)),0)</f>
        <v>20</v>
      </c>
      <c r="H107" s="64">
        <f>IFERROR(INDEX('Benchmark Data'!$AD$7:$AD$130,MATCH($A107,'Benchmark Data'!$A$7:$A$130,0)),0)</f>
        <v>70</v>
      </c>
      <c r="I107" s="65">
        <f t="shared" si="9"/>
        <v>1400</v>
      </c>
      <c r="J107" s="91"/>
      <c r="K107" s="29">
        <f>IFERROR(INDEX('Benchmark Data'!$AE$7:$AE$130,MATCH($A107,'Benchmark Data'!$A$7:$A$130,0)),0)</f>
        <v>1</v>
      </c>
      <c r="L107" s="67">
        <f t="shared" si="10"/>
        <v>0</v>
      </c>
      <c r="M107" s="68">
        <f t="shared" si="11"/>
        <v>0</v>
      </c>
      <c r="N107" s="69">
        <f t="shared" si="12"/>
        <v>0</v>
      </c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</row>
    <row r="108" spans="1:50" outlineLevel="1">
      <c r="A108" s="71" t="s">
        <v>412</v>
      </c>
      <c r="B108" s="72" t="s">
        <v>413</v>
      </c>
      <c r="C108" s="73" t="s">
        <v>414</v>
      </c>
      <c r="D108" s="71" t="s">
        <v>411</v>
      </c>
      <c r="E108" s="74" t="s">
        <v>109</v>
      </c>
      <c r="F108" s="17" t="s">
        <v>63</v>
      </c>
      <c r="G108" s="75">
        <f>G107</f>
        <v>20</v>
      </c>
      <c r="H108" s="76">
        <f>H107*(1+Settings!$C$8)</f>
        <v>87.5</v>
      </c>
      <c r="I108" s="76">
        <f t="shared" si="9"/>
        <v>1750</v>
      </c>
      <c r="J108" s="77">
        <f>J107</f>
        <v>0</v>
      </c>
      <c r="K108" s="51">
        <f>K107</f>
        <v>1</v>
      </c>
      <c r="L108" s="52">
        <f t="shared" si="10"/>
        <v>0</v>
      </c>
      <c r="M108" s="51">
        <f t="shared" si="11"/>
        <v>0</v>
      </c>
      <c r="N108" s="78">
        <f t="shared" si="12"/>
        <v>0</v>
      </c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</row>
    <row r="109" spans="1:50" outlineLevel="1">
      <c r="A109" s="71" t="s">
        <v>412</v>
      </c>
      <c r="B109" s="72" t="s">
        <v>413</v>
      </c>
      <c r="C109" s="73" t="s">
        <v>414</v>
      </c>
      <c r="D109" s="71" t="s">
        <v>411</v>
      </c>
      <c r="E109" s="74" t="s">
        <v>109</v>
      </c>
      <c r="F109" s="17" t="s">
        <v>64</v>
      </c>
      <c r="G109" s="75">
        <f>G107</f>
        <v>20</v>
      </c>
      <c r="H109" s="76">
        <f>H107*(1+Settings!$C$9)</f>
        <v>105</v>
      </c>
      <c r="I109" s="76">
        <f t="shared" si="9"/>
        <v>2100</v>
      </c>
      <c r="J109" s="77">
        <f>J107</f>
        <v>0</v>
      </c>
      <c r="K109" s="51">
        <f>K107</f>
        <v>1</v>
      </c>
      <c r="L109" s="52">
        <f t="shared" si="10"/>
        <v>0</v>
      </c>
      <c r="M109" s="51">
        <f t="shared" si="11"/>
        <v>0</v>
      </c>
      <c r="N109" s="78">
        <f t="shared" si="12"/>
        <v>0</v>
      </c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</row>
    <row r="110" spans="1:50" outlineLevel="1">
      <c r="A110" s="71" t="s">
        <v>412</v>
      </c>
      <c r="B110" s="72" t="s">
        <v>413</v>
      </c>
      <c r="C110" s="73" t="s">
        <v>414</v>
      </c>
      <c r="D110" s="71" t="s">
        <v>411</v>
      </c>
      <c r="E110" s="74" t="s">
        <v>109</v>
      </c>
      <c r="F110" s="17" t="s">
        <v>65</v>
      </c>
      <c r="G110" s="80">
        <f>G107</f>
        <v>20</v>
      </c>
      <c r="H110" s="81">
        <f>H107</f>
        <v>70</v>
      </c>
      <c r="I110" s="76">
        <f t="shared" si="9"/>
        <v>1400</v>
      </c>
      <c r="J110" s="77">
        <f>J107</f>
        <v>0</v>
      </c>
      <c r="K110" s="82">
        <f>K107</f>
        <v>1</v>
      </c>
      <c r="L110" s="52">
        <f t="shared" si="10"/>
        <v>0</v>
      </c>
      <c r="M110" s="51">
        <f t="shared" si="11"/>
        <v>0</v>
      </c>
      <c r="N110" s="78">
        <f t="shared" si="12"/>
        <v>0</v>
      </c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</row>
    <row r="111" spans="1:50">
      <c r="A111" s="83" t="s">
        <v>412</v>
      </c>
      <c r="B111" s="16" t="s">
        <v>413</v>
      </c>
      <c r="C111" s="84" t="s">
        <v>414</v>
      </c>
      <c r="D111" s="85" t="s">
        <v>411</v>
      </c>
      <c r="E111" s="86" t="s">
        <v>109</v>
      </c>
      <c r="F111" s="16" t="s">
        <v>179</v>
      </c>
      <c r="G111" s="87">
        <f>CHOOSE(IF(OR($C$3="Expert input",$I$107=0),4,IF($C$3="+25%",2,IF($C$3="+50%",3,1))),G107,G108,G109,G110)</f>
        <v>20</v>
      </c>
      <c r="H111" s="88">
        <f>CHOOSE(IF(OR($C$3="Expert input",$I$107=0),4,IF($C$3="+25%",2,IF($C$3="+50%",3,1))),H107,H108,H109,H110)</f>
        <v>70</v>
      </c>
      <c r="I111" s="88">
        <f t="shared" si="9"/>
        <v>1400</v>
      </c>
      <c r="J111" s="54">
        <f>J107</f>
        <v>0</v>
      </c>
      <c r="K111" s="53">
        <f>CHOOSE(IF(OR($C$3="Expert input",$I$107=0),4,IF($C$3="+25%",2,IF($C$3="+50%",3,1))),K107,K108,K109,K110)</f>
        <v>1</v>
      </c>
      <c r="L111" s="54">
        <f t="shared" si="10"/>
        <v>0</v>
      </c>
      <c r="M111" s="53">
        <f t="shared" si="11"/>
        <v>0</v>
      </c>
      <c r="N111" s="54">
        <f t="shared" si="12"/>
        <v>0</v>
      </c>
      <c r="O111" s="43"/>
      <c r="P111" s="43"/>
      <c r="Q111" s="43"/>
      <c r="R111" s="43"/>
      <c r="S111" s="43">
        <v>0.25</v>
      </c>
      <c r="T111" s="43">
        <v>0.25</v>
      </c>
      <c r="U111" s="43">
        <v>0.25</v>
      </c>
      <c r="V111" s="43">
        <v>0.25</v>
      </c>
      <c r="W111" s="43"/>
      <c r="X111" s="43"/>
      <c r="Y111" s="43"/>
      <c r="Z111" s="43"/>
      <c r="AA111" s="89">
        <f>O111*$M111</f>
        <v>0</v>
      </c>
      <c r="AB111" s="90">
        <f>O111*$N111</f>
        <v>0</v>
      </c>
      <c r="AC111" s="89">
        <f>P111*$M111</f>
        <v>0</v>
      </c>
      <c r="AD111" s="90">
        <f>P111*$N111</f>
        <v>0</v>
      </c>
      <c r="AE111" s="89">
        <f>Q111*$M111</f>
        <v>0</v>
      </c>
      <c r="AF111" s="90">
        <f>Q111*$N111</f>
        <v>0</v>
      </c>
      <c r="AG111" s="89">
        <f>R111*$M111</f>
        <v>0</v>
      </c>
      <c r="AH111" s="90">
        <f>R111*$N111</f>
        <v>0</v>
      </c>
      <c r="AI111" s="89">
        <f>S111*$M111</f>
        <v>0</v>
      </c>
      <c r="AJ111" s="90">
        <f>S111*$N111</f>
        <v>0</v>
      </c>
      <c r="AK111" s="89">
        <f>T111*$M111</f>
        <v>0</v>
      </c>
      <c r="AL111" s="90">
        <f>T111*$N111</f>
        <v>0</v>
      </c>
      <c r="AM111" s="89">
        <f>U111*$M111</f>
        <v>0</v>
      </c>
      <c r="AN111" s="90">
        <f>U111*$N111</f>
        <v>0</v>
      </c>
      <c r="AO111" s="89">
        <f>V111*$M111</f>
        <v>0</v>
      </c>
      <c r="AP111" s="90">
        <f>V111*$N111</f>
        <v>0</v>
      </c>
      <c r="AQ111" s="89">
        <f>W111*$M111</f>
        <v>0</v>
      </c>
      <c r="AR111" s="90">
        <f>W111*$N111</f>
        <v>0</v>
      </c>
      <c r="AS111" s="89">
        <f>X111*$M111</f>
        <v>0</v>
      </c>
      <c r="AT111" s="90">
        <f>X111*$N111</f>
        <v>0</v>
      </c>
      <c r="AU111" s="89">
        <f>Y111*$M111</f>
        <v>0</v>
      </c>
      <c r="AV111" s="90">
        <f>Y111*$N111</f>
        <v>0</v>
      </c>
      <c r="AW111" s="89">
        <f>Z111*$M111</f>
        <v>0</v>
      </c>
      <c r="AX111" s="90">
        <f>Z111*$N111</f>
        <v>0</v>
      </c>
    </row>
    <row r="112" spans="1:50" outlineLevel="1">
      <c r="A112" s="58" t="s">
        <v>415</v>
      </c>
      <c r="B112" s="59" t="s">
        <v>416</v>
      </c>
      <c r="C112" s="60" t="s">
        <v>417</v>
      </c>
      <c r="D112" s="61" t="s">
        <v>411</v>
      </c>
      <c r="E112" s="62" t="s">
        <v>112</v>
      </c>
      <c r="F112" s="59" t="s">
        <v>62</v>
      </c>
      <c r="G112" s="63">
        <f>IFERROR(INDEX('Benchmark Data'!$AC$7:$AC$130,MATCH($A112,'Benchmark Data'!$A$7:$A$130,0)),0)</f>
        <v>1.75</v>
      </c>
      <c r="H112" s="64">
        <f>IFERROR(INDEX('Benchmark Data'!$AD$7:$AD$130,MATCH($A112,'Benchmark Data'!$A$7:$A$130,0)),0)</f>
        <v>800</v>
      </c>
      <c r="I112" s="65">
        <f t="shared" si="9"/>
        <v>1400</v>
      </c>
      <c r="J112" s="91"/>
      <c r="K112" s="29">
        <f>IFERROR(INDEX('Benchmark Data'!$AE$7:$AE$130,MATCH($A112,'Benchmark Data'!$A$7:$A$130,0)),0)</f>
        <v>1</v>
      </c>
      <c r="L112" s="67">
        <f t="shared" si="10"/>
        <v>0</v>
      </c>
      <c r="M112" s="68">
        <f t="shared" si="11"/>
        <v>0</v>
      </c>
      <c r="N112" s="69">
        <f t="shared" si="12"/>
        <v>0</v>
      </c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</row>
    <row r="113" spans="1:50" outlineLevel="1">
      <c r="A113" s="71" t="s">
        <v>415</v>
      </c>
      <c r="B113" s="72" t="s">
        <v>416</v>
      </c>
      <c r="C113" s="73" t="s">
        <v>417</v>
      </c>
      <c r="D113" s="71" t="s">
        <v>411</v>
      </c>
      <c r="E113" s="74" t="s">
        <v>112</v>
      </c>
      <c r="F113" s="17" t="s">
        <v>63</v>
      </c>
      <c r="G113" s="75">
        <f>G112</f>
        <v>1.75</v>
      </c>
      <c r="H113" s="76">
        <f>H112*(1+Settings!$C$8)</f>
        <v>1000</v>
      </c>
      <c r="I113" s="76">
        <f t="shared" ref="I113:I144" si="13">G113*H113</f>
        <v>1750</v>
      </c>
      <c r="J113" s="77">
        <f>J112</f>
        <v>0</v>
      </c>
      <c r="K113" s="51">
        <f>K112</f>
        <v>1</v>
      </c>
      <c r="L113" s="52">
        <f t="shared" ref="L113:L144" si="14">J113*K113</f>
        <v>0</v>
      </c>
      <c r="M113" s="51">
        <f t="shared" ref="M113:M144" si="15">L113*G113</f>
        <v>0</v>
      </c>
      <c r="N113" s="78">
        <f t="shared" ref="N113:N144" si="16">L113*I113</f>
        <v>0</v>
      </c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</row>
    <row r="114" spans="1:50" outlineLevel="1">
      <c r="A114" s="71" t="s">
        <v>415</v>
      </c>
      <c r="B114" s="72" t="s">
        <v>416</v>
      </c>
      <c r="C114" s="73" t="s">
        <v>417</v>
      </c>
      <c r="D114" s="71" t="s">
        <v>411</v>
      </c>
      <c r="E114" s="74" t="s">
        <v>112</v>
      </c>
      <c r="F114" s="17" t="s">
        <v>64</v>
      </c>
      <c r="G114" s="75">
        <f>G112</f>
        <v>1.75</v>
      </c>
      <c r="H114" s="76">
        <f>H112*(1+Settings!$C$9)</f>
        <v>1200</v>
      </c>
      <c r="I114" s="76">
        <f t="shared" si="13"/>
        <v>2100</v>
      </c>
      <c r="J114" s="77">
        <f>J112</f>
        <v>0</v>
      </c>
      <c r="K114" s="51">
        <f>K112</f>
        <v>1</v>
      </c>
      <c r="L114" s="52">
        <f t="shared" si="14"/>
        <v>0</v>
      </c>
      <c r="M114" s="51">
        <f t="shared" si="15"/>
        <v>0</v>
      </c>
      <c r="N114" s="78">
        <f t="shared" si="16"/>
        <v>0</v>
      </c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</row>
    <row r="115" spans="1:50" outlineLevel="1">
      <c r="A115" s="71" t="s">
        <v>415</v>
      </c>
      <c r="B115" s="72" t="s">
        <v>416</v>
      </c>
      <c r="C115" s="73" t="s">
        <v>417</v>
      </c>
      <c r="D115" s="71" t="s">
        <v>411</v>
      </c>
      <c r="E115" s="74" t="s">
        <v>112</v>
      </c>
      <c r="F115" s="17" t="s">
        <v>65</v>
      </c>
      <c r="G115" s="80">
        <f>G112</f>
        <v>1.75</v>
      </c>
      <c r="H115" s="81">
        <f>H112</f>
        <v>800</v>
      </c>
      <c r="I115" s="76">
        <f t="shared" si="13"/>
        <v>1400</v>
      </c>
      <c r="J115" s="77">
        <f>J112</f>
        <v>0</v>
      </c>
      <c r="K115" s="82">
        <f>K112</f>
        <v>1</v>
      </c>
      <c r="L115" s="52">
        <f t="shared" si="14"/>
        <v>0</v>
      </c>
      <c r="M115" s="51">
        <f t="shared" si="15"/>
        <v>0</v>
      </c>
      <c r="N115" s="78">
        <f t="shared" si="16"/>
        <v>0</v>
      </c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</row>
    <row r="116" spans="1:50">
      <c r="A116" s="83" t="s">
        <v>415</v>
      </c>
      <c r="B116" s="16" t="s">
        <v>416</v>
      </c>
      <c r="C116" s="84" t="s">
        <v>417</v>
      </c>
      <c r="D116" s="85" t="s">
        <v>411</v>
      </c>
      <c r="E116" s="86" t="s">
        <v>112</v>
      </c>
      <c r="F116" s="16" t="s">
        <v>179</v>
      </c>
      <c r="G116" s="87">
        <f>CHOOSE(IF(OR($C$3="Expert input",$I$112=0),4,IF($C$3="+25%",2,IF($C$3="+50%",3,1))),G112,G113,G114,G115)</f>
        <v>1.75</v>
      </c>
      <c r="H116" s="88">
        <f>CHOOSE(IF(OR($C$3="Expert input",$I$112=0),4,IF($C$3="+25%",2,IF($C$3="+50%",3,1))),H112,H113,H114,H115)</f>
        <v>800</v>
      </c>
      <c r="I116" s="88">
        <f t="shared" si="13"/>
        <v>1400</v>
      </c>
      <c r="J116" s="54">
        <f>J112</f>
        <v>0</v>
      </c>
      <c r="K116" s="53">
        <f>CHOOSE(IF(OR($C$3="Expert input",$I$112=0),4,IF($C$3="+25%",2,IF($C$3="+50%",3,1))),K112,K113,K114,K115)</f>
        <v>1</v>
      </c>
      <c r="L116" s="54">
        <f t="shared" si="14"/>
        <v>0</v>
      </c>
      <c r="M116" s="53">
        <f t="shared" si="15"/>
        <v>0</v>
      </c>
      <c r="N116" s="54">
        <f t="shared" si="16"/>
        <v>0</v>
      </c>
      <c r="O116" s="43">
        <v>0.24</v>
      </c>
      <c r="P116" s="43"/>
      <c r="Q116" s="43"/>
      <c r="R116" s="43">
        <v>0.22</v>
      </c>
      <c r="S116" s="43"/>
      <c r="T116" s="43"/>
      <c r="U116" s="43">
        <v>0.22</v>
      </c>
      <c r="V116" s="43"/>
      <c r="W116" s="43"/>
      <c r="X116" s="43">
        <v>0.22</v>
      </c>
      <c r="Y116" s="43"/>
      <c r="Z116" s="43">
        <v>0.1</v>
      </c>
      <c r="AA116" s="89">
        <f>O116*$M116</f>
        <v>0</v>
      </c>
      <c r="AB116" s="90">
        <f>O116*$N116</f>
        <v>0</v>
      </c>
      <c r="AC116" s="89">
        <f>P116*$M116</f>
        <v>0</v>
      </c>
      <c r="AD116" s="90">
        <f>P116*$N116</f>
        <v>0</v>
      </c>
      <c r="AE116" s="89">
        <f>Q116*$M116</f>
        <v>0</v>
      </c>
      <c r="AF116" s="90">
        <f>Q116*$N116</f>
        <v>0</v>
      </c>
      <c r="AG116" s="89">
        <f>R116*$M116</f>
        <v>0</v>
      </c>
      <c r="AH116" s="90">
        <f>R116*$N116</f>
        <v>0</v>
      </c>
      <c r="AI116" s="89">
        <f>S116*$M116</f>
        <v>0</v>
      </c>
      <c r="AJ116" s="90">
        <f>S116*$N116</f>
        <v>0</v>
      </c>
      <c r="AK116" s="89">
        <f>T116*$M116</f>
        <v>0</v>
      </c>
      <c r="AL116" s="90">
        <f>T116*$N116</f>
        <v>0</v>
      </c>
      <c r="AM116" s="89">
        <f>U116*$M116</f>
        <v>0</v>
      </c>
      <c r="AN116" s="90">
        <f>U116*$N116</f>
        <v>0</v>
      </c>
      <c r="AO116" s="89">
        <f>V116*$M116</f>
        <v>0</v>
      </c>
      <c r="AP116" s="90">
        <f>V116*$N116</f>
        <v>0</v>
      </c>
      <c r="AQ116" s="89">
        <f>W116*$M116</f>
        <v>0</v>
      </c>
      <c r="AR116" s="90">
        <f>W116*$N116</f>
        <v>0</v>
      </c>
      <c r="AS116" s="89">
        <f>X116*$M116</f>
        <v>0</v>
      </c>
      <c r="AT116" s="90">
        <f>X116*$N116</f>
        <v>0</v>
      </c>
      <c r="AU116" s="89">
        <f>Y116*$M116</f>
        <v>0</v>
      </c>
      <c r="AV116" s="90">
        <f>Y116*$N116</f>
        <v>0</v>
      </c>
      <c r="AW116" s="89">
        <f>Z116*$M116</f>
        <v>0</v>
      </c>
      <c r="AX116" s="90">
        <f>Z116*$N116</f>
        <v>0</v>
      </c>
    </row>
    <row r="117" spans="1:50" outlineLevel="1">
      <c r="A117" s="58" t="s">
        <v>418</v>
      </c>
      <c r="B117" s="59" t="s">
        <v>419</v>
      </c>
      <c r="C117" s="60" t="s">
        <v>420</v>
      </c>
      <c r="D117" s="61" t="s">
        <v>421</v>
      </c>
      <c r="E117" s="62" t="s">
        <v>109</v>
      </c>
      <c r="F117" s="59" t="s">
        <v>62</v>
      </c>
      <c r="G117" s="63">
        <f>IFERROR(INDEX('Benchmark Data'!$AC$7:$AC$130,MATCH($A117,'Benchmark Data'!$A$7:$A$130,0)),0)</f>
        <v>1.3333333333333333</v>
      </c>
      <c r="H117" s="64">
        <f>IFERROR(INDEX('Benchmark Data'!$AD$7:$AD$130,MATCH($A117,'Benchmark Data'!$A$7:$A$130,0)),0)</f>
        <v>150</v>
      </c>
      <c r="I117" s="65">
        <f t="shared" si="13"/>
        <v>200</v>
      </c>
      <c r="J117" s="66">
        <f>$E$7</f>
        <v>0</v>
      </c>
      <c r="K117" s="29">
        <f>IFERROR(INDEX('Benchmark Data'!$AE$7:$AE$130,MATCH($A117,'Benchmark Data'!$A$7:$A$130,0)),0)</f>
        <v>1</v>
      </c>
      <c r="L117" s="67">
        <f t="shared" si="14"/>
        <v>0</v>
      </c>
      <c r="M117" s="68">
        <f t="shared" si="15"/>
        <v>0</v>
      </c>
      <c r="N117" s="69">
        <f t="shared" si="16"/>
        <v>0</v>
      </c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</row>
    <row r="118" spans="1:50" outlineLevel="1">
      <c r="A118" s="71" t="s">
        <v>418</v>
      </c>
      <c r="B118" s="72" t="s">
        <v>419</v>
      </c>
      <c r="C118" s="73" t="s">
        <v>420</v>
      </c>
      <c r="D118" s="71" t="s">
        <v>421</v>
      </c>
      <c r="E118" s="74" t="s">
        <v>109</v>
      </c>
      <c r="F118" s="17" t="s">
        <v>63</v>
      </c>
      <c r="G118" s="75">
        <f>G117</f>
        <v>1.3333333333333333</v>
      </c>
      <c r="H118" s="76">
        <f>H117*(1+Settings!$C$8)</f>
        <v>187.5</v>
      </c>
      <c r="I118" s="76">
        <f t="shared" si="13"/>
        <v>250</v>
      </c>
      <c r="J118" s="77">
        <f>J117</f>
        <v>0</v>
      </c>
      <c r="K118" s="51">
        <f>K117</f>
        <v>1</v>
      </c>
      <c r="L118" s="52">
        <f t="shared" si="14"/>
        <v>0</v>
      </c>
      <c r="M118" s="51">
        <f t="shared" si="15"/>
        <v>0</v>
      </c>
      <c r="N118" s="78">
        <f t="shared" si="16"/>
        <v>0</v>
      </c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79"/>
      <c r="AX118" s="79"/>
    </row>
    <row r="119" spans="1:50" outlineLevel="1">
      <c r="A119" s="71" t="s">
        <v>418</v>
      </c>
      <c r="B119" s="72" t="s">
        <v>419</v>
      </c>
      <c r="C119" s="73" t="s">
        <v>420</v>
      </c>
      <c r="D119" s="71" t="s">
        <v>421</v>
      </c>
      <c r="E119" s="74" t="s">
        <v>109</v>
      </c>
      <c r="F119" s="17" t="s">
        <v>64</v>
      </c>
      <c r="G119" s="75">
        <f>G117</f>
        <v>1.3333333333333333</v>
      </c>
      <c r="H119" s="76">
        <f>H117*(1+Settings!$C$9)</f>
        <v>225</v>
      </c>
      <c r="I119" s="76">
        <f t="shared" si="13"/>
        <v>300</v>
      </c>
      <c r="J119" s="77">
        <f>J117</f>
        <v>0</v>
      </c>
      <c r="K119" s="51">
        <f>K117</f>
        <v>1</v>
      </c>
      <c r="L119" s="52">
        <f t="shared" si="14"/>
        <v>0</v>
      </c>
      <c r="M119" s="51">
        <f t="shared" si="15"/>
        <v>0</v>
      </c>
      <c r="N119" s="78">
        <f t="shared" si="16"/>
        <v>0</v>
      </c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</row>
    <row r="120" spans="1:50" outlineLevel="1">
      <c r="A120" s="71" t="s">
        <v>418</v>
      </c>
      <c r="B120" s="72" t="s">
        <v>419</v>
      </c>
      <c r="C120" s="73" t="s">
        <v>420</v>
      </c>
      <c r="D120" s="71" t="s">
        <v>421</v>
      </c>
      <c r="E120" s="74" t="s">
        <v>109</v>
      </c>
      <c r="F120" s="17" t="s">
        <v>65</v>
      </c>
      <c r="G120" s="80">
        <f>G117</f>
        <v>1.3333333333333333</v>
      </c>
      <c r="H120" s="81">
        <f>H117</f>
        <v>150</v>
      </c>
      <c r="I120" s="76">
        <f t="shared" si="13"/>
        <v>200</v>
      </c>
      <c r="J120" s="77">
        <f>J117</f>
        <v>0</v>
      </c>
      <c r="K120" s="82">
        <f>K117</f>
        <v>1</v>
      </c>
      <c r="L120" s="52">
        <f t="shared" si="14"/>
        <v>0</v>
      </c>
      <c r="M120" s="51">
        <f t="shared" si="15"/>
        <v>0</v>
      </c>
      <c r="N120" s="78">
        <f t="shared" si="16"/>
        <v>0</v>
      </c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</row>
    <row r="121" spans="1:50">
      <c r="A121" s="83" t="s">
        <v>418</v>
      </c>
      <c r="B121" s="16" t="s">
        <v>419</v>
      </c>
      <c r="C121" s="84" t="s">
        <v>420</v>
      </c>
      <c r="D121" s="85" t="s">
        <v>421</v>
      </c>
      <c r="E121" s="86" t="s">
        <v>109</v>
      </c>
      <c r="F121" s="16" t="s">
        <v>179</v>
      </c>
      <c r="G121" s="87">
        <f>CHOOSE(IF(OR($C$3="Expert input",$I$117=0),4,IF($C$3="+25%",2,IF($C$3="+50%",3,1))),G117,G118,G119,G120)</f>
        <v>1.3333333333333333</v>
      </c>
      <c r="H121" s="88">
        <f>CHOOSE(IF(OR($C$3="Expert input",$I$117=0),4,IF($C$3="+25%",2,IF($C$3="+50%",3,1))),H117,H118,H119,H120)</f>
        <v>150</v>
      </c>
      <c r="I121" s="88">
        <f t="shared" si="13"/>
        <v>200</v>
      </c>
      <c r="J121" s="54">
        <f>J117</f>
        <v>0</v>
      </c>
      <c r="K121" s="53">
        <f>CHOOSE(IF(OR($C$3="Expert input",$I$117=0),4,IF($C$3="+25%",2,IF($C$3="+50%",3,1))),K117,K118,K119,K120)</f>
        <v>1</v>
      </c>
      <c r="L121" s="54">
        <f t="shared" si="14"/>
        <v>0</v>
      </c>
      <c r="M121" s="53">
        <f t="shared" si="15"/>
        <v>0</v>
      </c>
      <c r="N121" s="54">
        <f t="shared" si="16"/>
        <v>0</v>
      </c>
      <c r="O121" s="43"/>
      <c r="P121" s="43"/>
      <c r="Q121" s="43"/>
      <c r="R121" s="43"/>
      <c r="S121" s="43"/>
      <c r="T121" s="43"/>
      <c r="U121" s="43">
        <v>0.08</v>
      </c>
      <c r="V121" s="43">
        <v>0.17</v>
      </c>
      <c r="W121" s="43">
        <v>0.08</v>
      </c>
      <c r="X121" s="43">
        <v>0.67</v>
      </c>
      <c r="Y121" s="43"/>
      <c r="Z121" s="43"/>
      <c r="AA121" s="89">
        <f>O121*$M121</f>
        <v>0</v>
      </c>
      <c r="AB121" s="90">
        <f>O121*$N121</f>
        <v>0</v>
      </c>
      <c r="AC121" s="89">
        <f>P121*$M121</f>
        <v>0</v>
      </c>
      <c r="AD121" s="90">
        <f>P121*$N121</f>
        <v>0</v>
      </c>
      <c r="AE121" s="89">
        <f>Q121*$M121</f>
        <v>0</v>
      </c>
      <c r="AF121" s="90">
        <f>Q121*$N121</f>
        <v>0</v>
      </c>
      <c r="AG121" s="89">
        <f>R121*$M121</f>
        <v>0</v>
      </c>
      <c r="AH121" s="90">
        <f>R121*$N121</f>
        <v>0</v>
      </c>
      <c r="AI121" s="89">
        <f>S121*$M121</f>
        <v>0</v>
      </c>
      <c r="AJ121" s="90">
        <f>S121*$N121</f>
        <v>0</v>
      </c>
      <c r="AK121" s="89">
        <f>T121*$M121</f>
        <v>0</v>
      </c>
      <c r="AL121" s="90">
        <f>T121*$N121</f>
        <v>0</v>
      </c>
      <c r="AM121" s="89">
        <f>U121*$M121</f>
        <v>0</v>
      </c>
      <c r="AN121" s="90">
        <f>U121*$N121</f>
        <v>0</v>
      </c>
      <c r="AO121" s="89">
        <f>V121*$M121</f>
        <v>0</v>
      </c>
      <c r="AP121" s="90">
        <f>V121*$N121</f>
        <v>0</v>
      </c>
      <c r="AQ121" s="89">
        <f>W121*$M121</f>
        <v>0</v>
      </c>
      <c r="AR121" s="90">
        <f>W121*$N121</f>
        <v>0</v>
      </c>
      <c r="AS121" s="89">
        <f>X121*$M121</f>
        <v>0</v>
      </c>
      <c r="AT121" s="90">
        <f>X121*$N121</f>
        <v>0</v>
      </c>
      <c r="AU121" s="89">
        <f>Y121*$M121</f>
        <v>0</v>
      </c>
      <c r="AV121" s="90">
        <f>Y121*$N121</f>
        <v>0</v>
      </c>
      <c r="AW121" s="89">
        <f>Z121*$M121</f>
        <v>0</v>
      </c>
      <c r="AX121" s="90">
        <f>Z121*$N121</f>
        <v>0</v>
      </c>
    </row>
    <row r="122" spans="1:50" outlineLevel="1">
      <c r="A122" s="58" t="s">
        <v>422</v>
      </c>
      <c r="B122" s="59" t="s">
        <v>423</v>
      </c>
      <c r="C122" s="60" t="s">
        <v>424</v>
      </c>
      <c r="D122" s="61" t="s">
        <v>421</v>
      </c>
      <c r="E122" s="62" t="s">
        <v>109</v>
      </c>
      <c r="F122" s="59" t="s">
        <v>62</v>
      </c>
      <c r="G122" s="63">
        <f>IFERROR(INDEX('Benchmark Data'!$AC$7:$AC$130,MATCH($A122,'Benchmark Data'!$A$7:$A$130,0)),0)</f>
        <v>0</v>
      </c>
      <c r="H122" s="64">
        <f>IFERROR(INDEX('Benchmark Data'!$AD$7:$AD$130,MATCH($A122,'Benchmark Data'!$A$7:$A$130,0)),0)</f>
        <v>0</v>
      </c>
      <c r="I122" s="65">
        <f t="shared" si="13"/>
        <v>0</v>
      </c>
      <c r="J122" s="66">
        <f>$E$7</f>
        <v>0</v>
      </c>
      <c r="K122" s="29">
        <f>IFERROR(INDEX('Benchmark Data'!$AE$7:$AE$130,MATCH($A122,'Benchmark Data'!$A$7:$A$130,0)),0)</f>
        <v>1</v>
      </c>
      <c r="L122" s="67">
        <f t="shared" si="14"/>
        <v>0</v>
      </c>
      <c r="M122" s="68">
        <f t="shared" si="15"/>
        <v>0</v>
      </c>
      <c r="N122" s="69">
        <f t="shared" si="16"/>
        <v>0</v>
      </c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</row>
    <row r="123" spans="1:50" outlineLevel="1">
      <c r="A123" s="71" t="s">
        <v>422</v>
      </c>
      <c r="B123" s="72" t="s">
        <v>423</v>
      </c>
      <c r="C123" s="73" t="s">
        <v>424</v>
      </c>
      <c r="D123" s="71" t="s">
        <v>421</v>
      </c>
      <c r="E123" s="74" t="s">
        <v>109</v>
      </c>
      <c r="F123" s="17" t="s">
        <v>63</v>
      </c>
      <c r="G123" s="75">
        <f>G122</f>
        <v>0</v>
      </c>
      <c r="H123" s="76">
        <f>H122*(1+Settings!$C$8)</f>
        <v>0</v>
      </c>
      <c r="I123" s="76">
        <f t="shared" si="13"/>
        <v>0</v>
      </c>
      <c r="J123" s="77">
        <f>J122</f>
        <v>0</v>
      </c>
      <c r="K123" s="51">
        <f>K122</f>
        <v>1</v>
      </c>
      <c r="L123" s="52">
        <f t="shared" si="14"/>
        <v>0</v>
      </c>
      <c r="M123" s="51">
        <f t="shared" si="15"/>
        <v>0</v>
      </c>
      <c r="N123" s="78">
        <f t="shared" si="16"/>
        <v>0</v>
      </c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79"/>
      <c r="AX123" s="79"/>
    </row>
    <row r="124" spans="1:50" outlineLevel="1">
      <c r="A124" s="71" t="s">
        <v>422</v>
      </c>
      <c r="B124" s="72" t="s">
        <v>423</v>
      </c>
      <c r="C124" s="73" t="s">
        <v>424</v>
      </c>
      <c r="D124" s="71" t="s">
        <v>421</v>
      </c>
      <c r="E124" s="74" t="s">
        <v>109</v>
      </c>
      <c r="F124" s="17" t="s">
        <v>64</v>
      </c>
      <c r="G124" s="75">
        <f>G122</f>
        <v>0</v>
      </c>
      <c r="H124" s="76">
        <f>H122*(1+Settings!$C$9)</f>
        <v>0</v>
      </c>
      <c r="I124" s="76">
        <f t="shared" si="13"/>
        <v>0</v>
      </c>
      <c r="J124" s="77">
        <f>J122</f>
        <v>0</v>
      </c>
      <c r="K124" s="51">
        <f>K122</f>
        <v>1</v>
      </c>
      <c r="L124" s="52">
        <f t="shared" si="14"/>
        <v>0</v>
      </c>
      <c r="M124" s="51">
        <f t="shared" si="15"/>
        <v>0</v>
      </c>
      <c r="N124" s="78">
        <f t="shared" si="16"/>
        <v>0</v>
      </c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/>
      <c r="AX124" s="79"/>
    </row>
    <row r="125" spans="1:50" outlineLevel="1">
      <c r="A125" s="71" t="s">
        <v>422</v>
      </c>
      <c r="B125" s="72" t="s">
        <v>423</v>
      </c>
      <c r="C125" s="73" t="s">
        <v>424</v>
      </c>
      <c r="D125" s="71" t="s">
        <v>421</v>
      </c>
      <c r="E125" s="74" t="s">
        <v>109</v>
      </c>
      <c r="F125" s="17" t="s">
        <v>65</v>
      </c>
      <c r="G125" s="80">
        <f>IFERROR(INDEX('Benchmark Data'!$AH$7:$AH$130,MATCH($A125,'Benchmark Data'!$A$7:$A$130,0)),0)</f>
        <v>1</v>
      </c>
      <c r="H125" s="81">
        <f>IFERROR(INDEX('Benchmark Data'!$AI$7:$AI$130,MATCH($A125,'Benchmark Data'!$A$7:$A$130,0)),0)</f>
        <v>200</v>
      </c>
      <c r="I125" s="76">
        <f t="shared" si="13"/>
        <v>200</v>
      </c>
      <c r="J125" s="77">
        <f>J122</f>
        <v>0</v>
      </c>
      <c r="K125" s="82">
        <f>IFERROR(INDEX('Benchmark Data'!$AJ$7:$AJ$130,MATCH($A125,'Benchmark Data'!$A$7:$A$130,0)),0)</f>
        <v>1</v>
      </c>
      <c r="L125" s="52">
        <f t="shared" si="14"/>
        <v>0</v>
      </c>
      <c r="M125" s="51">
        <f t="shared" si="15"/>
        <v>0</v>
      </c>
      <c r="N125" s="78">
        <f t="shared" si="16"/>
        <v>0</v>
      </c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/>
      <c r="AX125" s="79"/>
    </row>
    <row r="126" spans="1:50">
      <c r="A126" s="83" t="s">
        <v>422</v>
      </c>
      <c r="B126" s="16" t="s">
        <v>423</v>
      </c>
      <c r="C126" s="84" t="s">
        <v>424</v>
      </c>
      <c r="D126" s="85" t="s">
        <v>421</v>
      </c>
      <c r="E126" s="86" t="s">
        <v>109</v>
      </c>
      <c r="F126" s="16" t="s">
        <v>179</v>
      </c>
      <c r="G126" s="87">
        <f>CHOOSE(IF(OR($C$3="Expert input",$I$122=0),4,IF($C$3="+25%",2,IF($C$3="+50%",3,1))),G122,G123,G124,G125)</f>
        <v>1</v>
      </c>
      <c r="H126" s="88">
        <f>CHOOSE(IF(OR($C$3="Expert input",$I$122=0),4,IF($C$3="+25%",2,IF($C$3="+50%",3,1))),H122,H123,H124,H125)</f>
        <v>200</v>
      </c>
      <c r="I126" s="88">
        <f t="shared" si="13"/>
        <v>200</v>
      </c>
      <c r="J126" s="54">
        <f>J122</f>
        <v>0</v>
      </c>
      <c r="K126" s="53">
        <f>CHOOSE(IF(OR($C$3="Expert input",$I$122=0),4,IF($C$3="+25%",2,IF($C$3="+50%",3,1))),K122,K123,K124,K125)</f>
        <v>1</v>
      </c>
      <c r="L126" s="54">
        <f t="shared" si="14"/>
        <v>0</v>
      </c>
      <c r="M126" s="53">
        <f t="shared" si="15"/>
        <v>0</v>
      </c>
      <c r="N126" s="54">
        <f t="shared" si="16"/>
        <v>0</v>
      </c>
      <c r="O126" s="43"/>
      <c r="P126" s="43"/>
      <c r="Q126" s="43"/>
      <c r="R126" s="43"/>
      <c r="S126" s="43"/>
      <c r="T126" s="43"/>
      <c r="U126" s="43"/>
      <c r="V126" s="43"/>
      <c r="W126" s="43"/>
      <c r="X126" s="43">
        <v>1</v>
      </c>
      <c r="Y126" s="43"/>
      <c r="Z126" s="43"/>
      <c r="AA126" s="89">
        <f>O126*$M126</f>
        <v>0</v>
      </c>
      <c r="AB126" s="90">
        <f>O126*$N126</f>
        <v>0</v>
      </c>
      <c r="AC126" s="89">
        <f>P126*$M126</f>
        <v>0</v>
      </c>
      <c r="AD126" s="90">
        <f>P126*$N126</f>
        <v>0</v>
      </c>
      <c r="AE126" s="89">
        <f>Q126*$M126</f>
        <v>0</v>
      </c>
      <c r="AF126" s="90">
        <f>Q126*$N126</f>
        <v>0</v>
      </c>
      <c r="AG126" s="89">
        <f>R126*$M126</f>
        <v>0</v>
      </c>
      <c r="AH126" s="90">
        <f>R126*$N126</f>
        <v>0</v>
      </c>
      <c r="AI126" s="89">
        <f>S126*$M126</f>
        <v>0</v>
      </c>
      <c r="AJ126" s="90">
        <f>S126*$N126</f>
        <v>0</v>
      </c>
      <c r="AK126" s="89">
        <f>T126*$M126</f>
        <v>0</v>
      </c>
      <c r="AL126" s="90">
        <f>T126*$N126</f>
        <v>0</v>
      </c>
      <c r="AM126" s="89">
        <f>U126*$M126</f>
        <v>0</v>
      </c>
      <c r="AN126" s="90">
        <f>U126*$N126</f>
        <v>0</v>
      </c>
      <c r="AO126" s="89">
        <f>V126*$M126</f>
        <v>0</v>
      </c>
      <c r="AP126" s="90">
        <f>V126*$N126</f>
        <v>0</v>
      </c>
      <c r="AQ126" s="89">
        <f>W126*$M126</f>
        <v>0</v>
      </c>
      <c r="AR126" s="90">
        <f>W126*$N126</f>
        <v>0</v>
      </c>
      <c r="AS126" s="89">
        <f>X126*$M126</f>
        <v>0</v>
      </c>
      <c r="AT126" s="90">
        <f>X126*$N126</f>
        <v>0</v>
      </c>
      <c r="AU126" s="89">
        <f>Y126*$M126</f>
        <v>0</v>
      </c>
      <c r="AV126" s="90">
        <f>Y126*$N126</f>
        <v>0</v>
      </c>
      <c r="AW126" s="89">
        <f>Z126*$M126</f>
        <v>0</v>
      </c>
      <c r="AX126" s="90">
        <f>Z126*$N126</f>
        <v>0</v>
      </c>
    </row>
    <row r="127" spans="1:50" outlineLevel="1">
      <c r="A127" s="58" t="s">
        <v>425</v>
      </c>
      <c r="B127" s="59" t="s">
        <v>426</v>
      </c>
      <c r="C127" s="60" t="s">
        <v>427</v>
      </c>
      <c r="D127" s="61" t="s">
        <v>428</v>
      </c>
      <c r="E127" s="62" t="s">
        <v>338</v>
      </c>
      <c r="F127" s="59" t="s">
        <v>62</v>
      </c>
      <c r="G127" s="63">
        <f>IFERROR(INDEX('Benchmark Data'!$AC$7:$AC$130,MATCH($A127,'Benchmark Data'!$A$7:$A$130,0)),0)</f>
        <v>0.05</v>
      </c>
      <c r="H127" s="64">
        <f>IFERROR(INDEX('Benchmark Data'!$AD$7:$AD$130,MATCH($A127,'Benchmark Data'!$A$7:$A$130,0)),0)</f>
        <v>200</v>
      </c>
      <c r="I127" s="65">
        <f t="shared" si="13"/>
        <v>10</v>
      </c>
      <c r="J127" s="91"/>
      <c r="K127" s="29">
        <f>IFERROR(INDEX('Benchmark Data'!$AE$7:$AE$130,MATCH($A127,'Benchmark Data'!$A$7:$A$130,0)),0)</f>
        <v>2</v>
      </c>
      <c r="L127" s="67">
        <f t="shared" si="14"/>
        <v>0</v>
      </c>
      <c r="M127" s="68">
        <f t="shared" si="15"/>
        <v>0</v>
      </c>
      <c r="N127" s="69">
        <f t="shared" si="16"/>
        <v>0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</row>
    <row r="128" spans="1:50" outlineLevel="1">
      <c r="A128" s="71" t="s">
        <v>425</v>
      </c>
      <c r="B128" s="72" t="s">
        <v>426</v>
      </c>
      <c r="C128" s="73" t="s">
        <v>427</v>
      </c>
      <c r="D128" s="71" t="s">
        <v>428</v>
      </c>
      <c r="E128" s="74" t="s">
        <v>338</v>
      </c>
      <c r="F128" s="17" t="s">
        <v>63</v>
      </c>
      <c r="G128" s="75">
        <f>G127</f>
        <v>0.05</v>
      </c>
      <c r="H128" s="76">
        <f>H127*(1+Settings!$C$8)</f>
        <v>250</v>
      </c>
      <c r="I128" s="76">
        <f t="shared" si="13"/>
        <v>12.5</v>
      </c>
      <c r="J128" s="77">
        <f>J127</f>
        <v>0</v>
      </c>
      <c r="K128" s="51">
        <f>K127</f>
        <v>2</v>
      </c>
      <c r="L128" s="52">
        <f t="shared" si="14"/>
        <v>0</v>
      </c>
      <c r="M128" s="51">
        <f t="shared" si="15"/>
        <v>0</v>
      </c>
      <c r="N128" s="78">
        <f t="shared" si="16"/>
        <v>0</v>
      </c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</row>
    <row r="129" spans="1:50" outlineLevel="1">
      <c r="A129" s="71" t="s">
        <v>425</v>
      </c>
      <c r="B129" s="72" t="s">
        <v>426</v>
      </c>
      <c r="C129" s="73" t="s">
        <v>427</v>
      </c>
      <c r="D129" s="71" t="s">
        <v>428</v>
      </c>
      <c r="E129" s="74" t="s">
        <v>338</v>
      </c>
      <c r="F129" s="17" t="s">
        <v>64</v>
      </c>
      <c r="G129" s="75">
        <f>G127</f>
        <v>0.05</v>
      </c>
      <c r="H129" s="76">
        <f>H127*(1+Settings!$C$9)</f>
        <v>300</v>
      </c>
      <c r="I129" s="76">
        <f t="shared" si="13"/>
        <v>15</v>
      </c>
      <c r="J129" s="77">
        <f>J127</f>
        <v>0</v>
      </c>
      <c r="K129" s="51">
        <f>K127</f>
        <v>2</v>
      </c>
      <c r="L129" s="52">
        <f t="shared" si="14"/>
        <v>0</v>
      </c>
      <c r="M129" s="51">
        <f t="shared" si="15"/>
        <v>0</v>
      </c>
      <c r="N129" s="78">
        <f t="shared" si="16"/>
        <v>0</v>
      </c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</row>
    <row r="130" spans="1:50" outlineLevel="1">
      <c r="A130" s="71" t="s">
        <v>425</v>
      </c>
      <c r="B130" s="72" t="s">
        <v>426</v>
      </c>
      <c r="C130" s="73" t="s">
        <v>427</v>
      </c>
      <c r="D130" s="71" t="s">
        <v>428</v>
      </c>
      <c r="E130" s="74" t="s">
        <v>338</v>
      </c>
      <c r="F130" s="17" t="s">
        <v>65</v>
      </c>
      <c r="G130" s="80">
        <f>G127</f>
        <v>0.05</v>
      </c>
      <c r="H130" s="81">
        <f>H127</f>
        <v>200</v>
      </c>
      <c r="I130" s="76">
        <f t="shared" si="13"/>
        <v>10</v>
      </c>
      <c r="J130" s="77">
        <f>J127</f>
        <v>0</v>
      </c>
      <c r="K130" s="82">
        <f>K127</f>
        <v>2</v>
      </c>
      <c r="L130" s="52">
        <f t="shared" si="14"/>
        <v>0</v>
      </c>
      <c r="M130" s="51">
        <f t="shared" si="15"/>
        <v>0</v>
      </c>
      <c r="N130" s="78">
        <f t="shared" si="16"/>
        <v>0</v>
      </c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</row>
    <row r="131" spans="1:50">
      <c r="A131" s="83" t="s">
        <v>425</v>
      </c>
      <c r="B131" s="16" t="s">
        <v>426</v>
      </c>
      <c r="C131" s="84" t="s">
        <v>427</v>
      </c>
      <c r="D131" s="85" t="s">
        <v>428</v>
      </c>
      <c r="E131" s="86" t="s">
        <v>338</v>
      </c>
      <c r="F131" s="16" t="s">
        <v>179</v>
      </c>
      <c r="G131" s="87">
        <f>CHOOSE(IF(OR($C$3="Expert input",$I$127=0),4,IF($C$3="+25%",2,IF($C$3="+50%",3,1))),G127,G128,G129,G130)</f>
        <v>0.05</v>
      </c>
      <c r="H131" s="88">
        <f>CHOOSE(IF(OR($C$3="Expert input",$I$127=0),4,IF($C$3="+25%",2,IF($C$3="+50%",3,1))),H127,H128,H129,H130)</f>
        <v>200</v>
      </c>
      <c r="I131" s="88">
        <f t="shared" si="13"/>
        <v>10</v>
      </c>
      <c r="J131" s="54">
        <f>J127</f>
        <v>0</v>
      </c>
      <c r="K131" s="53">
        <f>CHOOSE(IF(OR($C$3="Expert input",$I$127=0),4,IF($C$3="+25%",2,IF($C$3="+50%",3,1))),K127,K128,K129,K130)</f>
        <v>2</v>
      </c>
      <c r="L131" s="54">
        <f t="shared" si="14"/>
        <v>0</v>
      </c>
      <c r="M131" s="53">
        <f t="shared" si="15"/>
        <v>0</v>
      </c>
      <c r="N131" s="54">
        <f t="shared" si="16"/>
        <v>0</v>
      </c>
      <c r="O131" s="43">
        <v>0.14000000000000001</v>
      </c>
      <c r="P131" s="43"/>
      <c r="Q131" s="43"/>
      <c r="R131" s="43">
        <v>0.11</v>
      </c>
      <c r="S131" s="43">
        <v>0.17</v>
      </c>
      <c r="T131" s="43"/>
      <c r="U131" s="43">
        <v>0.3</v>
      </c>
      <c r="V131" s="43"/>
      <c r="W131" s="43"/>
      <c r="X131" s="43">
        <v>0.11</v>
      </c>
      <c r="Y131" s="43">
        <v>0.17</v>
      </c>
      <c r="Z131" s="43"/>
      <c r="AA131" s="89">
        <f>O131*$M131</f>
        <v>0</v>
      </c>
      <c r="AB131" s="90">
        <f>O131*$N131</f>
        <v>0</v>
      </c>
      <c r="AC131" s="89">
        <f>P131*$M131</f>
        <v>0</v>
      </c>
      <c r="AD131" s="90">
        <f>P131*$N131</f>
        <v>0</v>
      </c>
      <c r="AE131" s="89">
        <f>Q131*$M131</f>
        <v>0</v>
      </c>
      <c r="AF131" s="90">
        <f>Q131*$N131</f>
        <v>0</v>
      </c>
      <c r="AG131" s="89">
        <f>R131*$M131</f>
        <v>0</v>
      </c>
      <c r="AH131" s="90">
        <f>R131*$N131</f>
        <v>0</v>
      </c>
      <c r="AI131" s="89">
        <f>S131*$M131</f>
        <v>0</v>
      </c>
      <c r="AJ131" s="90">
        <f>S131*$N131</f>
        <v>0</v>
      </c>
      <c r="AK131" s="89">
        <f>T131*$M131</f>
        <v>0</v>
      </c>
      <c r="AL131" s="90">
        <f>T131*$N131</f>
        <v>0</v>
      </c>
      <c r="AM131" s="89">
        <f>U131*$M131</f>
        <v>0</v>
      </c>
      <c r="AN131" s="90">
        <f>U131*$N131</f>
        <v>0</v>
      </c>
      <c r="AO131" s="89">
        <f>V131*$M131</f>
        <v>0</v>
      </c>
      <c r="AP131" s="90">
        <f>V131*$N131</f>
        <v>0</v>
      </c>
      <c r="AQ131" s="89">
        <f>W131*$M131</f>
        <v>0</v>
      </c>
      <c r="AR131" s="90">
        <f>W131*$N131</f>
        <v>0</v>
      </c>
      <c r="AS131" s="89">
        <f>X131*$M131</f>
        <v>0</v>
      </c>
      <c r="AT131" s="90">
        <f>X131*$N131</f>
        <v>0</v>
      </c>
      <c r="AU131" s="89">
        <f>Y131*$M131</f>
        <v>0</v>
      </c>
      <c r="AV131" s="90">
        <f>Y131*$N131</f>
        <v>0</v>
      </c>
      <c r="AW131" s="89">
        <f>Z131*$M131</f>
        <v>0</v>
      </c>
      <c r="AX131" s="90">
        <f>Z131*$N131</f>
        <v>0</v>
      </c>
    </row>
    <row r="132" spans="1:50" outlineLevel="1">
      <c r="A132" s="58" t="s">
        <v>429</v>
      </c>
      <c r="B132" s="59" t="s">
        <v>430</v>
      </c>
      <c r="C132" s="60" t="s">
        <v>431</v>
      </c>
      <c r="D132" s="61" t="s">
        <v>428</v>
      </c>
      <c r="E132" s="62" t="s">
        <v>109</v>
      </c>
      <c r="F132" s="59" t="s">
        <v>62</v>
      </c>
      <c r="G132" s="63">
        <f>IFERROR(INDEX('Benchmark Data'!$AC$7:$AC$130,MATCH($A132,'Benchmark Data'!$A$7:$A$130,0)),0)</f>
        <v>20</v>
      </c>
      <c r="H132" s="64">
        <f>IFERROR(INDEX('Benchmark Data'!$AD$7:$AD$130,MATCH($A132,'Benchmark Data'!$A$7:$A$130,0)),0)</f>
        <v>200</v>
      </c>
      <c r="I132" s="65">
        <f t="shared" si="13"/>
        <v>4000</v>
      </c>
      <c r="J132" s="91"/>
      <c r="K132" s="29">
        <f>IFERROR(INDEX('Benchmark Data'!$AE$7:$AE$130,MATCH($A132,'Benchmark Data'!$A$7:$A$130,0)),0)</f>
        <v>2</v>
      </c>
      <c r="L132" s="67">
        <f t="shared" si="14"/>
        <v>0</v>
      </c>
      <c r="M132" s="68">
        <f t="shared" si="15"/>
        <v>0</v>
      </c>
      <c r="N132" s="69">
        <f t="shared" si="16"/>
        <v>0</v>
      </c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  <c r="AX132" s="70"/>
    </row>
    <row r="133" spans="1:50" outlineLevel="1">
      <c r="A133" s="71" t="s">
        <v>429</v>
      </c>
      <c r="B133" s="72" t="s">
        <v>430</v>
      </c>
      <c r="C133" s="73" t="s">
        <v>431</v>
      </c>
      <c r="D133" s="71" t="s">
        <v>428</v>
      </c>
      <c r="E133" s="74" t="s">
        <v>109</v>
      </c>
      <c r="F133" s="17" t="s">
        <v>63</v>
      </c>
      <c r="G133" s="75">
        <f>G132</f>
        <v>20</v>
      </c>
      <c r="H133" s="76">
        <f>H132*(1+Settings!$C$8)</f>
        <v>250</v>
      </c>
      <c r="I133" s="76">
        <f t="shared" si="13"/>
        <v>5000</v>
      </c>
      <c r="J133" s="77">
        <f>J132</f>
        <v>0</v>
      </c>
      <c r="K133" s="51">
        <f>K132</f>
        <v>2</v>
      </c>
      <c r="L133" s="52">
        <f t="shared" si="14"/>
        <v>0</v>
      </c>
      <c r="M133" s="51">
        <f t="shared" si="15"/>
        <v>0</v>
      </c>
      <c r="N133" s="78">
        <f t="shared" si="16"/>
        <v>0</v>
      </c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</row>
    <row r="134" spans="1:50" outlineLevel="1">
      <c r="A134" s="71" t="s">
        <v>429</v>
      </c>
      <c r="B134" s="72" t="s">
        <v>430</v>
      </c>
      <c r="C134" s="73" t="s">
        <v>431</v>
      </c>
      <c r="D134" s="71" t="s">
        <v>428</v>
      </c>
      <c r="E134" s="74" t="s">
        <v>109</v>
      </c>
      <c r="F134" s="17" t="s">
        <v>64</v>
      </c>
      <c r="G134" s="75">
        <f>G132</f>
        <v>20</v>
      </c>
      <c r="H134" s="76">
        <f>H132*(1+Settings!$C$9)</f>
        <v>300</v>
      </c>
      <c r="I134" s="76">
        <f t="shared" si="13"/>
        <v>6000</v>
      </c>
      <c r="J134" s="77">
        <f>J132</f>
        <v>0</v>
      </c>
      <c r="K134" s="51">
        <f>K132</f>
        <v>2</v>
      </c>
      <c r="L134" s="52">
        <f t="shared" si="14"/>
        <v>0</v>
      </c>
      <c r="M134" s="51">
        <f t="shared" si="15"/>
        <v>0</v>
      </c>
      <c r="N134" s="78">
        <f t="shared" si="16"/>
        <v>0</v>
      </c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</row>
    <row r="135" spans="1:50" outlineLevel="1">
      <c r="A135" s="71" t="s">
        <v>429</v>
      </c>
      <c r="B135" s="72" t="s">
        <v>430</v>
      </c>
      <c r="C135" s="73" t="s">
        <v>431</v>
      </c>
      <c r="D135" s="71" t="s">
        <v>428</v>
      </c>
      <c r="E135" s="74" t="s">
        <v>109</v>
      </c>
      <c r="F135" s="17" t="s">
        <v>65</v>
      </c>
      <c r="G135" s="80">
        <f>G132</f>
        <v>20</v>
      </c>
      <c r="H135" s="81">
        <f>H132</f>
        <v>200</v>
      </c>
      <c r="I135" s="76">
        <f t="shared" si="13"/>
        <v>4000</v>
      </c>
      <c r="J135" s="77">
        <f>J132</f>
        <v>0</v>
      </c>
      <c r="K135" s="82">
        <f>K132</f>
        <v>2</v>
      </c>
      <c r="L135" s="52">
        <f t="shared" si="14"/>
        <v>0</v>
      </c>
      <c r="M135" s="51">
        <f t="shared" si="15"/>
        <v>0</v>
      </c>
      <c r="N135" s="78">
        <f t="shared" si="16"/>
        <v>0</v>
      </c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79"/>
      <c r="AX135" s="79"/>
    </row>
    <row r="136" spans="1:50">
      <c r="A136" s="83" t="s">
        <v>429</v>
      </c>
      <c r="B136" s="16" t="s">
        <v>430</v>
      </c>
      <c r="C136" s="84" t="s">
        <v>431</v>
      </c>
      <c r="D136" s="85" t="s">
        <v>428</v>
      </c>
      <c r="E136" s="86" t="s">
        <v>109</v>
      </c>
      <c r="F136" s="16" t="s">
        <v>179</v>
      </c>
      <c r="G136" s="87">
        <f>CHOOSE(IF(OR($C$3="Expert input",$I$132=0),4,IF($C$3="+25%",2,IF($C$3="+50%",3,1))),G132,G133,G134,G135)</f>
        <v>20</v>
      </c>
      <c r="H136" s="88">
        <f>CHOOSE(IF(OR($C$3="Expert input",$I$132=0),4,IF($C$3="+25%",2,IF($C$3="+50%",3,1))),H132,H133,H134,H135)</f>
        <v>200</v>
      </c>
      <c r="I136" s="88">
        <f t="shared" si="13"/>
        <v>4000</v>
      </c>
      <c r="J136" s="54">
        <f>J132</f>
        <v>0</v>
      </c>
      <c r="K136" s="53">
        <f>CHOOSE(IF(OR($C$3="Expert input",$I$132=0),4,IF($C$3="+25%",2,IF($C$3="+50%",3,1))),K132,K133,K134,K135)</f>
        <v>2</v>
      </c>
      <c r="L136" s="54">
        <f t="shared" si="14"/>
        <v>0</v>
      </c>
      <c r="M136" s="53">
        <f t="shared" si="15"/>
        <v>0</v>
      </c>
      <c r="N136" s="54">
        <f t="shared" si="16"/>
        <v>0</v>
      </c>
      <c r="O136" s="43"/>
      <c r="P136" s="43"/>
      <c r="Q136" s="43">
        <v>0.25</v>
      </c>
      <c r="R136" s="43"/>
      <c r="S136" s="43"/>
      <c r="T136" s="43">
        <v>0.25</v>
      </c>
      <c r="U136" s="43"/>
      <c r="V136" s="43"/>
      <c r="W136" s="43">
        <v>0.25</v>
      </c>
      <c r="X136" s="43"/>
      <c r="Y136" s="43"/>
      <c r="Z136" s="43">
        <v>0.25</v>
      </c>
      <c r="AA136" s="89">
        <f>O136*$M136</f>
        <v>0</v>
      </c>
      <c r="AB136" s="90">
        <f>O136*$N136</f>
        <v>0</v>
      </c>
      <c r="AC136" s="89">
        <f>P136*$M136</f>
        <v>0</v>
      </c>
      <c r="AD136" s="90">
        <f>P136*$N136</f>
        <v>0</v>
      </c>
      <c r="AE136" s="89">
        <f>Q136*$M136</f>
        <v>0</v>
      </c>
      <c r="AF136" s="90">
        <f>Q136*$N136</f>
        <v>0</v>
      </c>
      <c r="AG136" s="89">
        <f>R136*$M136</f>
        <v>0</v>
      </c>
      <c r="AH136" s="90">
        <f>R136*$N136</f>
        <v>0</v>
      </c>
      <c r="AI136" s="89">
        <f>S136*$M136</f>
        <v>0</v>
      </c>
      <c r="AJ136" s="90">
        <f>S136*$N136</f>
        <v>0</v>
      </c>
      <c r="AK136" s="89">
        <f>T136*$M136</f>
        <v>0</v>
      </c>
      <c r="AL136" s="90">
        <f>T136*$N136</f>
        <v>0</v>
      </c>
      <c r="AM136" s="89">
        <f>U136*$M136</f>
        <v>0</v>
      </c>
      <c r="AN136" s="90">
        <f>U136*$N136</f>
        <v>0</v>
      </c>
      <c r="AO136" s="89">
        <f>V136*$M136</f>
        <v>0</v>
      </c>
      <c r="AP136" s="90">
        <f>V136*$N136</f>
        <v>0</v>
      </c>
      <c r="AQ136" s="89">
        <f>W136*$M136</f>
        <v>0</v>
      </c>
      <c r="AR136" s="90">
        <f>W136*$N136</f>
        <v>0</v>
      </c>
      <c r="AS136" s="89">
        <f>X136*$M136</f>
        <v>0</v>
      </c>
      <c r="AT136" s="90">
        <f>X136*$N136</f>
        <v>0</v>
      </c>
      <c r="AU136" s="89">
        <f>Y136*$M136</f>
        <v>0</v>
      </c>
      <c r="AV136" s="90">
        <f>Y136*$N136</f>
        <v>0</v>
      </c>
      <c r="AW136" s="89">
        <f>Z136*$M136</f>
        <v>0</v>
      </c>
      <c r="AX136" s="90">
        <f>Z136*$N136</f>
        <v>0</v>
      </c>
    </row>
    <row r="137" spans="1:50" outlineLevel="1">
      <c r="A137" s="58" t="s">
        <v>432</v>
      </c>
      <c r="B137" s="59" t="s">
        <v>433</v>
      </c>
      <c r="C137" s="60" t="s">
        <v>434</v>
      </c>
      <c r="D137" s="61" t="s">
        <v>428</v>
      </c>
      <c r="E137" s="62" t="s">
        <v>338</v>
      </c>
      <c r="F137" s="59" t="s">
        <v>62</v>
      </c>
      <c r="G137" s="63">
        <f>IFERROR(INDEX('Benchmark Data'!$AC$7:$AC$130,MATCH($A137,'Benchmark Data'!$A$7:$A$130,0)),0)</f>
        <v>0.1</v>
      </c>
      <c r="H137" s="64">
        <f>IFERROR(INDEX('Benchmark Data'!$AD$7:$AD$130,MATCH($A137,'Benchmark Data'!$A$7:$A$130,0)),0)</f>
        <v>100</v>
      </c>
      <c r="I137" s="65">
        <f t="shared" si="13"/>
        <v>10</v>
      </c>
      <c r="J137" s="91"/>
      <c r="K137" s="29">
        <f>IFERROR(INDEX('Benchmark Data'!$AE$7:$AE$130,MATCH($A137,'Benchmark Data'!$A$7:$A$130,0)),0)</f>
        <v>1</v>
      </c>
      <c r="L137" s="67">
        <f t="shared" si="14"/>
        <v>0</v>
      </c>
      <c r="M137" s="68">
        <f t="shared" si="15"/>
        <v>0</v>
      </c>
      <c r="N137" s="69">
        <f t="shared" si="16"/>
        <v>0</v>
      </c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</row>
    <row r="138" spans="1:50" outlineLevel="1">
      <c r="A138" s="71" t="s">
        <v>432</v>
      </c>
      <c r="B138" s="72" t="s">
        <v>433</v>
      </c>
      <c r="C138" s="73" t="s">
        <v>434</v>
      </c>
      <c r="D138" s="71" t="s">
        <v>428</v>
      </c>
      <c r="E138" s="74" t="s">
        <v>338</v>
      </c>
      <c r="F138" s="17" t="s">
        <v>63</v>
      </c>
      <c r="G138" s="75">
        <f>G137</f>
        <v>0.1</v>
      </c>
      <c r="H138" s="76">
        <f>H137*(1+Settings!$C$8)</f>
        <v>125</v>
      </c>
      <c r="I138" s="76">
        <f t="shared" si="13"/>
        <v>12.5</v>
      </c>
      <c r="J138" s="77">
        <f>J137</f>
        <v>0</v>
      </c>
      <c r="K138" s="51">
        <f>K137</f>
        <v>1</v>
      </c>
      <c r="L138" s="52">
        <f t="shared" si="14"/>
        <v>0</v>
      </c>
      <c r="M138" s="51">
        <f t="shared" si="15"/>
        <v>0</v>
      </c>
      <c r="N138" s="78">
        <f t="shared" si="16"/>
        <v>0</v>
      </c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9"/>
    </row>
    <row r="139" spans="1:50" outlineLevel="1">
      <c r="A139" s="71" t="s">
        <v>432</v>
      </c>
      <c r="B139" s="72" t="s">
        <v>433</v>
      </c>
      <c r="C139" s="73" t="s">
        <v>434</v>
      </c>
      <c r="D139" s="71" t="s">
        <v>428</v>
      </c>
      <c r="E139" s="74" t="s">
        <v>338</v>
      </c>
      <c r="F139" s="17" t="s">
        <v>64</v>
      </c>
      <c r="G139" s="75">
        <f>G137</f>
        <v>0.1</v>
      </c>
      <c r="H139" s="76">
        <f>H137*(1+Settings!$C$9)</f>
        <v>150</v>
      </c>
      <c r="I139" s="76">
        <f t="shared" si="13"/>
        <v>15</v>
      </c>
      <c r="J139" s="77">
        <f>J137</f>
        <v>0</v>
      </c>
      <c r="K139" s="51">
        <f>K137</f>
        <v>1</v>
      </c>
      <c r="L139" s="52">
        <f t="shared" si="14"/>
        <v>0</v>
      </c>
      <c r="M139" s="51">
        <f t="shared" si="15"/>
        <v>0</v>
      </c>
      <c r="N139" s="78">
        <f t="shared" si="16"/>
        <v>0</v>
      </c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</row>
    <row r="140" spans="1:50" outlineLevel="1">
      <c r="A140" s="71" t="s">
        <v>432</v>
      </c>
      <c r="B140" s="72" t="s">
        <v>433</v>
      </c>
      <c r="C140" s="73" t="s">
        <v>434</v>
      </c>
      <c r="D140" s="71" t="s">
        <v>428</v>
      </c>
      <c r="E140" s="74" t="s">
        <v>338</v>
      </c>
      <c r="F140" s="17" t="s">
        <v>65</v>
      </c>
      <c r="G140" s="80">
        <f>G137</f>
        <v>0.1</v>
      </c>
      <c r="H140" s="81">
        <f>H137</f>
        <v>100</v>
      </c>
      <c r="I140" s="76">
        <f t="shared" si="13"/>
        <v>10</v>
      </c>
      <c r="J140" s="77">
        <f>J137</f>
        <v>0</v>
      </c>
      <c r="K140" s="82">
        <f>K137</f>
        <v>1</v>
      </c>
      <c r="L140" s="52">
        <f t="shared" si="14"/>
        <v>0</v>
      </c>
      <c r="M140" s="51">
        <f t="shared" si="15"/>
        <v>0</v>
      </c>
      <c r="N140" s="78">
        <f t="shared" si="16"/>
        <v>0</v>
      </c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</row>
    <row r="141" spans="1:50">
      <c r="A141" s="83" t="s">
        <v>432</v>
      </c>
      <c r="B141" s="16" t="s">
        <v>433</v>
      </c>
      <c r="C141" s="84" t="s">
        <v>434</v>
      </c>
      <c r="D141" s="85" t="s">
        <v>428</v>
      </c>
      <c r="E141" s="86" t="s">
        <v>338</v>
      </c>
      <c r="F141" s="16" t="s">
        <v>179</v>
      </c>
      <c r="G141" s="87">
        <f>CHOOSE(IF(OR($C$3="Expert input",$I$137=0),4,IF($C$3="+25%",2,IF($C$3="+50%",3,1))),G137,G138,G139,G140)</f>
        <v>0.1</v>
      </c>
      <c r="H141" s="88">
        <f>CHOOSE(IF(OR($C$3="Expert input",$I$137=0),4,IF($C$3="+25%",2,IF($C$3="+50%",3,1))),H137,H138,H139,H140)</f>
        <v>100</v>
      </c>
      <c r="I141" s="88">
        <f t="shared" si="13"/>
        <v>10</v>
      </c>
      <c r="J141" s="54">
        <f>J137</f>
        <v>0</v>
      </c>
      <c r="K141" s="53">
        <f>CHOOSE(IF(OR($C$3="Expert input",$I$137=0),4,IF($C$3="+25%",2,IF($C$3="+50%",3,1))),K137,K138,K139,K140)</f>
        <v>1</v>
      </c>
      <c r="L141" s="54">
        <f t="shared" si="14"/>
        <v>0</v>
      </c>
      <c r="M141" s="53">
        <f t="shared" si="15"/>
        <v>0</v>
      </c>
      <c r="N141" s="54">
        <f t="shared" si="16"/>
        <v>0</v>
      </c>
      <c r="O141" s="43"/>
      <c r="P141" s="43"/>
      <c r="Q141" s="43"/>
      <c r="R141" s="43"/>
      <c r="S141" s="43"/>
      <c r="T141" s="43"/>
      <c r="U141" s="43"/>
      <c r="V141" s="43"/>
      <c r="W141" s="43"/>
      <c r="X141" s="43">
        <v>0.5</v>
      </c>
      <c r="Y141" s="43">
        <v>0.25</v>
      </c>
      <c r="Z141" s="43">
        <v>0.25</v>
      </c>
      <c r="AA141" s="89">
        <f>O141*$M141</f>
        <v>0</v>
      </c>
      <c r="AB141" s="90">
        <f>O141*$N141</f>
        <v>0</v>
      </c>
      <c r="AC141" s="89">
        <f>P141*$M141</f>
        <v>0</v>
      </c>
      <c r="AD141" s="90">
        <f>P141*$N141</f>
        <v>0</v>
      </c>
      <c r="AE141" s="89">
        <f>Q141*$M141</f>
        <v>0</v>
      </c>
      <c r="AF141" s="90">
        <f>Q141*$N141</f>
        <v>0</v>
      </c>
      <c r="AG141" s="89">
        <f>R141*$M141</f>
        <v>0</v>
      </c>
      <c r="AH141" s="90">
        <f>R141*$N141</f>
        <v>0</v>
      </c>
      <c r="AI141" s="89">
        <f>S141*$M141</f>
        <v>0</v>
      </c>
      <c r="AJ141" s="90">
        <f>S141*$N141</f>
        <v>0</v>
      </c>
      <c r="AK141" s="89">
        <f>T141*$M141</f>
        <v>0</v>
      </c>
      <c r="AL141" s="90">
        <f>T141*$N141</f>
        <v>0</v>
      </c>
      <c r="AM141" s="89">
        <f>U141*$M141</f>
        <v>0</v>
      </c>
      <c r="AN141" s="90">
        <f>U141*$N141</f>
        <v>0</v>
      </c>
      <c r="AO141" s="89">
        <f>V141*$M141</f>
        <v>0</v>
      </c>
      <c r="AP141" s="90">
        <f>V141*$N141</f>
        <v>0</v>
      </c>
      <c r="AQ141" s="89">
        <f>W141*$M141</f>
        <v>0</v>
      </c>
      <c r="AR141" s="90">
        <f>W141*$N141</f>
        <v>0</v>
      </c>
      <c r="AS141" s="89">
        <f>X141*$M141</f>
        <v>0</v>
      </c>
      <c r="AT141" s="90">
        <f>X141*$N141</f>
        <v>0</v>
      </c>
      <c r="AU141" s="89">
        <f>Y141*$M141</f>
        <v>0</v>
      </c>
      <c r="AV141" s="90">
        <f>Y141*$N141</f>
        <v>0</v>
      </c>
      <c r="AW141" s="89">
        <f>Z141*$M141</f>
        <v>0</v>
      </c>
      <c r="AX141" s="90">
        <f>Z141*$N141</f>
        <v>0</v>
      </c>
    </row>
    <row r="142" spans="1:50" outlineLevel="1">
      <c r="A142" s="58" t="s">
        <v>435</v>
      </c>
      <c r="B142" s="59" t="s">
        <v>436</v>
      </c>
      <c r="C142" s="60" t="s">
        <v>437</v>
      </c>
      <c r="D142" s="61" t="s">
        <v>428</v>
      </c>
      <c r="E142" s="62" t="s">
        <v>338</v>
      </c>
      <c r="F142" s="59" t="s">
        <v>62</v>
      </c>
      <c r="G142" s="63">
        <f>IFERROR(INDEX('Benchmark Data'!$AC$7:$AC$130,MATCH($A142,'Benchmark Data'!$A$7:$A$130,0)),0)</f>
        <v>0.25</v>
      </c>
      <c r="H142" s="64">
        <f>IFERROR(INDEX('Benchmark Data'!$AD$7:$AD$130,MATCH($A142,'Benchmark Data'!$A$7:$A$130,0)),0)</f>
        <v>100</v>
      </c>
      <c r="I142" s="65">
        <f t="shared" si="13"/>
        <v>25</v>
      </c>
      <c r="J142" s="91"/>
      <c r="K142" s="29">
        <f>IFERROR(INDEX('Benchmark Data'!$AE$7:$AE$130,MATCH($A142,'Benchmark Data'!$A$7:$A$130,0)),0)</f>
        <v>1</v>
      </c>
      <c r="L142" s="67">
        <f t="shared" si="14"/>
        <v>0</v>
      </c>
      <c r="M142" s="68">
        <f t="shared" si="15"/>
        <v>0</v>
      </c>
      <c r="N142" s="69">
        <f t="shared" si="16"/>
        <v>0</v>
      </c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</row>
    <row r="143" spans="1:50" outlineLevel="1">
      <c r="A143" s="71" t="s">
        <v>435</v>
      </c>
      <c r="B143" s="72" t="s">
        <v>436</v>
      </c>
      <c r="C143" s="73" t="s">
        <v>437</v>
      </c>
      <c r="D143" s="71" t="s">
        <v>428</v>
      </c>
      <c r="E143" s="74" t="s">
        <v>338</v>
      </c>
      <c r="F143" s="17" t="s">
        <v>63</v>
      </c>
      <c r="G143" s="75">
        <f>G142</f>
        <v>0.25</v>
      </c>
      <c r="H143" s="76">
        <f>H142*(1+Settings!$C$8)</f>
        <v>125</v>
      </c>
      <c r="I143" s="76">
        <f t="shared" si="13"/>
        <v>31.25</v>
      </c>
      <c r="J143" s="77">
        <f>J142</f>
        <v>0</v>
      </c>
      <c r="K143" s="51">
        <f>K142</f>
        <v>1</v>
      </c>
      <c r="L143" s="52">
        <f t="shared" si="14"/>
        <v>0</v>
      </c>
      <c r="M143" s="51">
        <f t="shared" si="15"/>
        <v>0</v>
      </c>
      <c r="N143" s="78">
        <f t="shared" si="16"/>
        <v>0</v>
      </c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</row>
    <row r="144" spans="1:50" outlineLevel="1">
      <c r="A144" s="71" t="s">
        <v>435</v>
      </c>
      <c r="B144" s="72" t="s">
        <v>436</v>
      </c>
      <c r="C144" s="73" t="s">
        <v>437</v>
      </c>
      <c r="D144" s="71" t="s">
        <v>428</v>
      </c>
      <c r="E144" s="74" t="s">
        <v>338</v>
      </c>
      <c r="F144" s="17" t="s">
        <v>64</v>
      </c>
      <c r="G144" s="75">
        <f>G142</f>
        <v>0.25</v>
      </c>
      <c r="H144" s="76">
        <f>H142*(1+Settings!$C$9)</f>
        <v>150</v>
      </c>
      <c r="I144" s="76">
        <f t="shared" si="13"/>
        <v>37.5</v>
      </c>
      <c r="J144" s="77">
        <f>J142</f>
        <v>0</v>
      </c>
      <c r="K144" s="51">
        <f>K142</f>
        <v>1</v>
      </c>
      <c r="L144" s="52">
        <f t="shared" si="14"/>
        <v>0</v>
      </c>
      <c r="M144" s="51">
        <f t="shared" si="15"/>
        <v>0</v>
      </c>
      <c r="N144" s="78">
        <f t="shared" si="16"/>
        <v>0</v>
      </c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</row>
    <row r="145" spans="1:50" outlineLevel="1">
      <c r="A145" s="71" t="s">
        <v>435</v>
      </c>
      <c r="B145" s="72" t="s">
        <v>436</v>
      </c>
      <c r="C145" s="73" t="s">
        <v>437</v>
      </c>
      <c r="D145" s="71" t="s">
        <v>428</v>
      </c>
      <c r="E145" s="74" t="s">
        <v>338</v>
      </c>
      <c r="F145" s="17" t="s">
        <v>65</v>
      </c>
      <c r="G145" s="80">
        <f>G142</f>
        <v>0.25</v>
      </c>
      <c r="H145" s="81">
        <f>H142</f>
        <v>100</v>
      </c>
      <c r="I145" s="76">
        <f t="shared" ref="I145:I176" si="17">G145*H145</f>
        <v>25</v>
      </c>
      <c r="J145" s="77">
        <f>J142</f>
        <v>0</v>
      </c>
      <c r="K145" s="82">
        <f>K142</f>
        <v>1</v>
      </c>
      <c r="L145" s="52">
        <f t="shared" ref="L145:L176" si="18">J145*K145</f>
        <v>0</v>
      </c>
      <c r="M145" s="51">
        <f t="shared" ref="M145:M176" si="19">L145*G145</f>
        <v>0</v>
      </c>
      <c r="N145" s="78">
        <f t="shared" ref="N145:N176" si="20">L145*I145</f>
        <v>0</v>
      </c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9"/>
    </row>
    <row r="146" spans="1:50">
      <c r="A146" s="83" t="s">
        <v>435</v>
      </c>
      <c r="B146" s="16" t="s">
        <v>436</v>
      </c>
      <c r="C146" s="84" t="s">
        <v>437</v>
      </c>
      <c r="D146" s="85" t="s">
        <v>428</v>
      </c>
      <c r="E146" s="86" t="s">
        <v>338</v>
      </c>
      <c r="F146" s="16" t="s">
        <v>179</v>
      </c>
      <c r="G146" s="87">
        <f>CHOOSE(IF(OR($C$3="Expert input",$I$142=0),4,IF($C$3="+25%",2,IF($C$3="+50%",3,1))),G142,G143,G144,G145)</f>
        <v>0.25</v>
      </c>
      <c r="H146" s="88">
        <f>CHOOSE(IF(OR($C$3="Expert input",$I$142=0),4,IF($C$3="+25%",2,IF($C$3="+50%",3,1))),H142,H143,H144,H145)</f>
        <v>100</v>
      </c>
      <c r="I146" s="88">
        <f t="shared" si="17"/>
        <v>25</v>
      </c>
      <c r="J146" s="54">
        <f>J142</f>
        <v>0</v>
      </c>
      <c r="K146" s="53">
        <f>CHOOSE(IF(OR($C$3="Expert input",$I$142=0),4,IF($C$3="+25%",2,IF($C$3="+50%",3,1))),K142,K143,K144,K145)</f>
        <v>1</v>
      </c>
      <c r="L146" s="54">
        <f t="shared" si="18"/>
        <v>0</v>
      </c>
      <c r="M146" s="53">
        <f t="shared" si="19"/>
        <v>0</v>
      </c>
      <c r="N146" s="54">
        <f t="shared" si="20"/>
        <v>0</v>
      </c>
      <c r="O146" s="43"/>
      <c r="P146" s="43"/>
      <c r="Q146" s="43"/>
      <c r="R146" s="43"/>
      <c r="S146" s="43">
        <v>0.5</v>
      </c>
      <c r="T146" s="43">
        <v>0.5</v>
      </c>
      <c r="U146" s="43"/>
      <c r="V146" s="43"/>
      <c r="W146" s="43"/>
      <c r="X146" s="43"/>
      <c r="Y146" s="43"/>
      <c r="Z146" s="43"/>
      <c r="AA146" s="89">
        <f>O146*$M146</f>
        <v>0</v>
      </c>
      <c r="AB146" s="90">
        <f>O146*$N146</f>
        <v>0</v>
      </c>
      <c r="AC146" s="89">
        <f>P146*$M146</f>
        <v>0</v>
      </c>
      <c r="AD146" s="90">
        <f>P146*$N146</f>
        <v>0</v>
      </c>
      <c r="AE146" s="89">
        <f>Q146*$M146</f>
        <v>0</v>
      </c>
      <c r="AF146" s="90">
        <f>Q146*$N146</f>
        <v>0</v>
      </c>
      <c r="AG146" s="89">
        <f>R146*$M146</f>
        <v>0</v>
      </c>
      <c r="AH146" s="90">
        <f>R146*$N146</f>
        <v>0</v>
      </c>
      <c r="AI146" s="89">
        <f>S146*$M146</f>
        <v>0</v>
      </c>
      <c r="AJ146" s="90">
        <f>S146*$N146</f>
        <v>0</v>
      </c>
      <c r="AK146" s="89">
        <f>T146*$M146</f>
        <v>0</v>
      </c>
      <c r="AL146" s="90">
        <f>T146*$N146</f>
        <v>0</v>
      </c>
      <c r="AM146" s="89">
        <f>U146*$M146</f>
        <v>0</v>
      </c>
      <c r="AN146" s="90">
        <f>U146*$N146</f>
        <v>0</v>
      </c>
      <c r="AO146" s="89">
        <f>V146*$M146</f>
        <v>0</v>
      </c>
      <c r="AP146" s="90">
        <f>V146*$N146</f>
        <v>0</v>
      </c>
      <c r="AQ146" s="89">
        <f>W146*$M146</f>
        <v>0</v>
      </c>
      <c r="AR146" s="90">
        <f>W146*$N146</f>
        <v>0</v>
      </c>
      <c r="AS146" s="89">
        <f>X146*$M146</f>
        <v>0</v>
      </c>
      <c r="AT146" s="90">
        <f>X146*$N146</f>
        <v>0</v>
      </c>
      <c r="AU146" s="89">
        <f>Y146*$M146</f>
        <v>0</v>
      </c>
      <c r="AV146" s="90">
        <f>Y146*$N146</f>
        <v>0</v>
      </c>
      <c r="AW146" s="89">
        <f>Z146*$M146</f>
        <v>0</v>
      </c>
      <c r="AX146" s="90">
        <f>Z146*$N146</f>
        <v>0</v>
      </c>
    </row>
    <row r="147" spans="1:50" outlineLevel="1">
      <c r="A147" s="58" t="s">
        <v>438</v>
      </c>
      <c r="B147" s="59" t="s">
        <v>439</v>
      </c>
      <c r="C147" s="60" t="s">
        <v>440</v>
      </c>
      <c r="D147" s="61" t="s">
        <v>428</v>
      </c>
      <c r="E147" s="62" t="s">
        <v>112</v>
      </c>
      <c r="F147" s="59" t="s">
        <v>62</v>
      </c>
      <c r="G147" s="63">
        <f>IFERROR(INDEX('Benchmark Data'!$AC$7:$AC$130,MATCH($A147,'Benchmark Data'!$A$7:$A$130,0)),0)</f>
        <v>1</v>
      </c>
      <c r="H147" s="64">
        <f>IFERROR(INDEX('Benchmark Data'!$AD$7:$AD$130,MATCH($A147,'Benchmark Data'!$A$7:$A$130,0)),0)</f>
        <v>2500</v>
      </c>
      <c r="I147" s="65">
        <f t="shared" si="17"/>
        <v>2500</v>
      </c>
      <c r="J147" s="91"/>
      <c r="K147" s="29">
        <f>IFERROR(INDEX('Benchmark Data'!$AE$7:$AE$130,MATCH($A147,'Benchmark Data'!$A$7:$A$130,0)),0)</f>
        <v>1</v>
      </c>
      <c r="L147" s="67">
        <f t="shared" si="18"/>
        <v>0</v>
      </c>
      <c r="M147" s="68">
        <f t="shared" si="19"/>
        <v>0</v>
      </c>
      <c r="N147" s="69">
        <f t="shared" si="20"/>
        <v>0</v>
      </c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  <c r="AX147" s="70"/>
    </row>
    <row r="148" spans="1:50" outlineLevel="1">
      <c r="A148" s="71" t="s">
        <v>438</v>
      </c>
      <c r="B148" s="72" t="s">
        <v>439</v>
      </c>
      <c r="C148" s="73" t="s">
        <v>440</v>
      </c>
      <c r="D148" s="71" t="s">
        <v>428</v>
      </c>
      <c r="E148" s="74" t="s">
        <v>112</v>
      </c>
      <c r="F148" s="17" t="s">
        <v>63</v>
      </c>
      <c r="G148" s="75">
        <f>G147</f>
        <v>1</v>
      </c>
      <c r="H148" s="76">
        <f>H147*(1+Settings!$C$8)</f>
        <v>3125</v>
      </c>
      <c r="I148" s="76">
        <f t="shared" si="17"/>
        <v>3125</v>
      </c>
      <c r="J148" s="77">
        <f>J147</f>
        <v>0</v>
      </c>
      <c r="K148" s="51">
        <f>K147</f>
        <v>1</v>
      </c>
      <c r="L148" s="52">
        <f t="shared" si="18"/>
        <v>0</v>
      </c>
      <c r="M148" s="51">
        <f t="shared" si="19"/>
        <v>0</v>
      </c>
      <c r="N148" s="78">
        <f t="shared" si="20"/>
        <v>0</v>
      </c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</row>
    <row r="149" spans="1:50" outlineLevel="1">
      <c r="A149" s="71" t="s">
        <v>438</v>
      </c>
      <c r="B149" s="72" t="s">
        <v>439</v>
      </c>
      <c r="C149" s="73" t="s">
        <v>440</v>
      </c>
      <c r="D149" s="71" t="s">
        <v>428</v>
      </c>
      <c r="E149" s="74" t="s">
        <v>112</v>
      </c>
      <c r="F149" s="17" t="s">
        <v>64</v>
      </c>
      <c r="G149" s="75">
        <f>G147</f>
        <v>1</v>
      </c>
      <c r="H149" s="76">
        <f>H147*(1+Settings!$C$9)</f>
        <v>3750</v>
      </c>
      <c r="I149" s="76">
        <f t="shared" si="17"/>
        <v>3750</v>
      </c>
      <c r="J149" s="77">
        <f>J147</f>
        <v>0</v>
      </c>
      <c r="K149" s="51">
        <f>K147</f>
        <v>1</v>
      </c>
      <c r="L149" s="52">
        <f t="shared" si="18"/>
        <v>0</v>
      </c>
      <c r="M149" s="51">
        <f t="shared" si="19"/>
        <v>0</v>
      </c>
      <c r="N149" s="78">
        <f t="shared" si="20"/>
        <v>0</v>
      </c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9"/>
    </row>
    <row r="150" spans="1:50" outlineLevel="1">
      <c r="A150" s="71" t="s">
        <v>438</v>
      </c>
      <c r="B150" s="72" t="s">
        <v>439</v>
      </c>
      <c r="C150" s="73" t="s">
        <v>440</v>
      </c>
      <c r="D150" s="71" t="s">
        <v>428</v>
      </c>
      <c r="E150" s="74" t="s">
        <v>112</v>
      </c>
      <c r="F150" s="17" t="s">
        <v>65</v>
      </c>
      <c r="G150" s="80">
        <f>G147</f>
        <v>1</v>
      </c>
      <c r="H150" s="81">
        <f>H147</f>
        <v>2500</v>
      </c>
      <c r="I150" s="76">
        <f t="shared" si="17"/>
        <v>2500</v>
      </c>
      <c r="J150" s="77">
        <f>J147</f>
        <v>0</v>
      </c>
      <c r="K150" s="82">
        <f>K147</f>
        <v>1</v>
      </c>
      <c r="L150" s="52">
        <f t="shared" si="18"/>
        <v>0</v>
      </c>
      <c r="M150" s="51">
        <f t="shared" si="19"/>
        <v>0</v>
      </c>
      <c r="N150" s="78">
        <f t="shared" si="20"/>
        <v>0</v>
      </c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79"/>
      <c r="AX150" s="79"/>
    </row>
    <row r="151" spans="1:50">
      <c r="A151" s="83" t="s">
        <v>438</v>
      </c>
      <c r="B151" s="16" t="s">
        <v>439</v>
      </c>
      <c r="C151" s="84" t="s">
        <v>440</v>
      </c>
      <c r="D151" s="85" t="s">
        <v>428</v>
      </c>
      <c r="E151" s="86" t="s">
        <v>112</v>
      </c>
      <c r="F151" s="16" t="s">
        <v>179</v>
      </c>
      <c r="G151" s="87">
        <f>CHOOSE(IF(OR($C$3="Expert input",$I$147=0),4,IF($C$3="+25%",2,IF($C$3="+50%",3,1))),G147,G148,G149,G150)</f>
        <v>1</v>
      </c>
      <c r="H151" s="88">
        <f>CHOOSE(IF(OR($C$3="Expert input",$I$147=0),4,IF($C$3="+25%",2,IF($C$3="+50%",3,1))),H147,H148,H149,H150)</f>
        <v>2500</v>
      </c>
      <c r="I151" s="88">
        <f t="shared" si="17"/>
        <v>2500</v>
      </c>
      <c r="J151" s="54">
        <f>J147</f>
        <v>0</v>
      </c>
      <c r="K151" s="53">
        <f>CHOOSE(IF(OR($C$3="Expert input",$I$147=0),4,IF($C$3="+25%",2,IF($C$3="+50%",3,1))),K147,K148,K149,K150)</f>
        <v>1</v>
      </c>
      <c r="L151" s="54">
        <f t="shared" si="18"/>
        <v>0</v>
      </c>
      <c r="M151" s="53">
        <f t="shared" si="19"/>
        <v>0</v>
      </c>
      <c r="N151" s="54">
        <f t="shared" si="20"/>
        <v>0</v>
      </c>
      <c r="O151" s="43"/>
      <c r="P151" s="43"/>
      <c r="Q151" s="43"/>
      <c r="R151" s="43"/>
      <c r="S151" s="43"/>
      <c r="T151" s="43"/>
      <c r="U151" s="43"/>
      <c r="V151" s="43"/>
      <c r="W151" s="43">
        <v>0.5</v>
      </c>
      <c r="X151" s="43">
        <v>0.5</v>
      </c>
      <c r="Y151" s="43"/>
      <c r="Z151" s="43"/>
      <c r="AA151" s="89">
        <f>O151*$M151</f>
        <v>0</v>
      </c>
      <c r="AB151" s="90">
        <f>O151*$N151</f>
        <v>0</v>
      </c>
      <c r="AC151" s="89">
        <f>P151*$M151</f>
        <v>0</v>
      </c>
      <c r="AD151" s="90">
        <f>P151*$N151</f>
        <v>0</v>
      </c>
      <c r="AE151" s="89">
        <f>Q151*$M151</f>
        <v>0</v>
      </c>
      <c r="AF151" s="90">
        <f>Q151*$N151</f>
        <v>0</v>
      </c>
      <c r="AG151" s="89">
        <f>R151*$M151</f>
        <v>0</v>
      </c>
      <c r="AH151" s="90">
        <f>R151*$N151</f>
        <v>0</v>
      </c>
      <c r="AI151" s="89">
        <f>S151*$M151</f>
        <v>0</v>
      </c>
      <c r="AJ151" s="90">
        <f>S151*$N151</f>
        <v>0</v>
      </c>
      <c r="AK151" s="89">
        <f>T151*$M151</f>
        <v>0</v>
      </c>
      <c r="AL151" s="90">
        <f>T151*$N151</f>
        <v>0</v>
      </c>
      <c r="AM151" s="89">
        <f>U151*$M151</f>
        <v>0</v>
      </c>
      <c r="AN151" s="90">
        <f>U151*$N151</f>
        <v>0</v>
      </c>
      <c r="AO151" s="89">
        <f>V151*$M151</f>
        <v>0</v>
      </c>
      <c r="AP151" s="90">
        <f>V151*$N151</f>
        <v>0</v>
      </c>
      <c r="AQ151" s="89">
        <f>W151*$M151</f>
        <v>0</v>
      </c>
      <c r="AR151" s="90">
        <f>W151*$N151</f>
        <v>0</v>
      </c>
      <c r="AS151" s="89">
        <f>X151*$M151</f>
        <v>0</v>
      </c>
      <c r="AT151" s="90">
        <f>X151*$N151</f>
        <v>0</v>
      </c>
      <c r="AU151" s="89">
        <f>Y151*$M151</f>
        <v>0</v>
      </c>
      <c r="AV151" s="90">
        <f>Y151*$N151</f>
        <v>0</v>
      </c>
      <c r="AW151" s="89">
        <f>Z151*$M151</f>
        <v>0</v>
      </c>
      <c r="AX151" s="90">
        <f>Z151*$N151</f>
        <v>0</v>
      </c>
    </row>
    <row r="152" spans="1:50" outlineLevel="1">
      <c r="A152" s="58" t="s">
        <v>441</v>
      </c>
      <c r="B152" s="59" t="s">
        <v>442</v>
      </c>
      <c r="C152" s="60" t="s">
        <v>443</v>
      </c>
      <c r="D152" s="61" t="s">
        <v>428</v>
      </c>
      <c r="E152" s="62" t="s">
        <v>112</v>
      </c>
      <c r="F152" s="59" t="s">
        <v>62</v>
      </c>
      <c r="G152" s="63">
        <f>IFERROR(INDEX('Benchmark Data'!$AC$7:$AC$130,MATCH($A152,'Benchmark Data'!$A$7:$A$130,0)),0)</f>
        <v>1</v>
      </c>
      <c r="H152" s="64">
        <f>IFERROR(INDEX('Benchmark Data'!$AD$7:$AD$130,MATCH($A152,'Benchmark Data'!$A$7:$A$130,0)),0)</f>
        <v>1500</v>
      </c>
      <c r="I152" s="65">
        <f t="shared" si="17"/>
        <v>1500</v>
      </c>
      <c r="J152" s="91"/>
      <c r="K152" s="29">
        <f>IFERROR(INDEX('Benchmark Data'!$AE$7:$AE$130,MATCH($A152,'Benchmark Data'!$A$7:$A$130,0)),0)</f>
        <v>1</v>
      </c>
      <c r="L152" s="67">
        <f t="shared" si="18"/>
        <v>0</v>
      </c>
      <c r="M152" s="68">
        <f t="shared" si="19"/>
        <v>0</v>
      </c>
      <c r="N152" s="69">
        <f t="shared" si="20"/>
        <v>0</v>
      </c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  <c r="AX152" s="70"/>
    </row>
    <row r="153" spans="1:50" outlineLevel="1">
      <c r="A153" s="71" t="s">
        <v>441</v>
      </c>
      <c r="B153" s="72" t="s">
        <v>442</v>
      </c>
      <c r="C153" s="73" t="s">
        <v>443</v>
      </c>
      <c r="D153" s="71" t="s">
        <v>428</v>
      </c>
      <c r="E153" s="74" t="s">
        <v>112</v>
      </c>
      <c r="F153" s="17" t="s">
        <v>63</v>
      </c>
      <c r="G153" s="75">
        <f>G152</f>
        <v>1</v>
      </c>
      <c r="H153" s="76">
        <f>H152*(1+Settings!$C$8)</f>
        <v>1875</v>
      </c>
      <c r="I153" s="76">
        <f t="shared" si="17"/>
        <v>1875</v>
      </c>
      <c r="J153" s="77">
        <f>J152</f>
        <v>0</v>
      </c>
      <c r="K153" s="51">
        <f>K152</f>
        <v>1</v>
      </c>
      <c r="L153" s="52">
        <f t="shared" si="18"/>
        <v>0</v>
      </c>
      <c r="M153" s="51">
        <f t="shared" si="19"/>
        <v>0</v>
      </c>
      <c r="N153" s="78">
        <f t="shared" si="20"/>
        <v>0</v>
      </c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9"/>
    </row>
    <row r="154" spans="1:50" outlineLevel="1">
      <c r="A154" s="71" t="s">
        <v>441</v>
      </c>
      <c r="B154" s="72" t="s">
        <v>442</v>
      </c>
      <c r="C154" s="73" t="s">
        <v>443</v>
      </c>
      <c r="D154" s="71" t="s">
        <v>428</v>
      </c>
      <c r="E154" s="74" t="s">
        <v>112</v>
      </c>
      <c r="F154" s="17" t="s">
        <v>64</v>
      </c>
      <c r="G154" s="75">
        <f>G152</f>
        <v>1</v>
      </c>
      <c r="H154" s="76">
        <f>H152*(1+Settings!$C$9)</f>
        <v>2250</v>
      </c>
      <c r="I154" s="76">
        <f t="shared" si="17"/>
        <v>2250</v>
      </c>
      <c r="J154" s="77">
        <f>J152</f>
        <v>0</v>
      </c>
      <c r="K154" s="51">
        <f>K152</f>
        <v>1</v>
      </c>
      <c r="L154" s="52">
        <f t="shared" si="18"/>
        <v>0</v>
      </c>
      <c r="M154" s="51">
        <f t="shared" si="19"/>
        <v>0</v>
      </c>
      <c r="N154" s="78">
        <f t="shared" si="20"/>
        <v>0</v>
      </c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</row>
    <row r="155" spans="1:50" outlineLevel="1">
      <c r="A155" s="71" t="s">
        <v>441</v>
      </c>
      <c r="B155" s="72" t="s">
        <v>442</v>
      </c>
      <c r="C155" s="73" t="s">
        <v>443</v>
      </c>
      <c r="D155" s="71" t="s">
        <v>428</v>
      </c>
      <c r="E155" s="74" t="s">
        <v>112</v>
      </c>
      <c r="F155" s="17" t="s">
        <v>65</v>
      </c>
      <c r="G155" s="80">
        <f>G152</f>
        <v>1</v>
      </c>
      <c r="H155" s="81">
        <f>H152</f>
        <v>1500</v>
      </c>
      <c r="I155" s="76">
        <f t="shared" si="17"/>
        <v>1500</v>
      </c>
      <c r="J155" s="77">
        <f>J152</f>
        <v>0</v>
      </c>
      <c r="K155" s="82">
        <f>K152</f>
        <v>1</v>
      </c>
      <c r="L155" s="52">
        <f t="shared" si="18"/>
        <v>0</v>
      </c>
      <c r="M155" s="51">
        <f t="shared" si="19"/>
        <v>0</v>
      </c>
      <c r="N155" s="78">
        <f t="shared" si="20"/>
        <v>0</v>
      </c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</row>
    <row r="156" spans="1:50">
      <c r="A156" s="83" t="s">
        <v>441</v>
      </c>
      <c r="B156" s="16" t="s">
        <v>442</v>
      </c>
      <c r="C156" s="84" t="s">
        <v>443</v>
      </c>
      <c r="D156" s="85" t="s">
        <v>428</v>
      </c>
      <c r="E156" s="86" t="s">
        <v>112</v>
      </c>
      <c r="F156" s="16" t="s">
        <v>179</v>
      </c>
      <c r="G156" s="87">
        <f>CHOOSE(IF(OR($C$3="Expert input",$I$152=0),4,IF($C$3="+25%",2,IF($C$3="+50%",3,1))),G152,G153,G154,G155)</f>
        <v>1</v>
      </c>
      <c r="H156" s="88">
        <f>CHOOSE(IF(OR($C$3="Expert input",$I$152=0),4,IF($C$3="+25%",2,IF($C$3="+50%",3,1))),H152,H153,H154,H155)</f>
        <v>1500</v>
      </c>
      <c r="I156" s="88">
        <f t="shared" si="17"/>
        <v>1500</v>
      </c>
      <c r="J156" s="54">
        <f>J152</f>
        <v>0</v>
      </c>
      <c r="K156" s="53">
        <f>CHOOSE(IF(OR($C$3="Expert input",$I$152=0),4,IF($C$3="+25%",2,IF($C$3="+50%",3,1))),K152,K153,K154,K155)</f>
        <v>1</v>
      </c>
      <c r="L156" s="54">
        <f t="shared" si="18"/>
        <v>0</v>
      </c>
      <c r="M156" s="53">
        <f t="shared" si="19"/>
        <v>0</v>
      </c>
      <c r="N156" s="54">
        <f t="shared" si="20"/>
        <v>0</v>
      </c>
      <c r="O156" s="43"/>
      <c r="P156" s="43"/>
      <c r="Q156" s="43"/>
      <c r="R156" s="43"/>
      <c r="S156" s="43"/>
      <c r="T156" s="43"/>
      <c r="U156" s="43"/>
      <c r="V156" s="43"/>
      <c r="W156" s="43"/>
      <c r="X156" s="43">
        <v>0.5</v>
      </c>
      <c r="Y156" s="43">
        <v>0.5</v>
      </c>
      <c r="Z156" s="43"/>
      <c r="AA156" s="89">
        <f>O156*$M156</f>
        <v>0</v>
      </c>
      <c r="AB156" s="90">
        <f>O156*$N156</f>
        <v>0</v>
      </c>
      <c r="AC156" s="89">
        <f>P156*$M156</f>
        <v>0</v>
      </c>
      <c r="AD156" s="90">
        <f>P156*$N156</f>
        <v>0</v>
      </c>
      <c r="AE156" s="89">
        <f>Q156*$M156</f>
        <v>0</v>
      </c>
      <c r="AF156" s="90">
        <f>Q156*$N156</f>
        <v>0</v>
      </c>
      <c r="AG156" s="89">
        <f>R156*$M156</f>
        <v>0</v>
      </c>
      <c r="AH156" s="90">
        <f>R156*$N156</f>
        <v>0</v>
      </c>
      <c r="AI156" s="89">
        <f>S156*$M156</f>
        <v>0</v>
      </c>
      <c r="AJ156" s="90">
        <f>S156*$N156</f>
        <v>0</v>
      </c>
      <c r="AK156" s="89">
        <f>T156*$M156</f>
        <v>0</v>
      </c>
      <c r="AL156" s="90">
        <f>T156*$N156</f>
        <v>0</v>
      </c>
      <c r="AM156" s="89">
        <f>U156*$M156</f>
        <v>0</v>
      </c>
      <c r="AN156" s="90">
        <f>U156*$N156</f>
        <v>0</v>
      </c>
      <c r="AO156" s="89">
        <f>V156*$M156</f>
        <v>0</v>
      </c>
      <c r="AP156" s="90">
        <f>V156*$N156</f>
        <v>0</v>
      </c>
      <c r="AQ156" s="89">
        <f>W156*$M156</f>
        <v>0</v>
      </c>
      <c r="AR156" s="90">
        <f>W156*$N156</f>
        <v>0</v>
      </c>
      <c r="AS156" s="89">
        <f>X156*$M156</f>
        <v>0</v>
      </c>
      <c r="AT156" s="90">
        <f>X156*$N156</f>
        <v>0</v>
      </c>
      <c r="AU156" s="89">
        <f>Y156*$M156</f>
        <v>0</v>
      </c>
      <c r="AV156" s="90">
        <f>Y156*$N156</f>
        <v>0</v>
      </c>
      <c r="AW156" s="89">
        <f>Z156*$M156</f>
        <v>0</v>
      </c>
      <c r="AX156" s="90">
        <f>Z156*$N156</f>
        <v>0</v>
      </c>
    </row>
    <row r="157" spans="1:50" outlineLevel="1">
      <c r="A157" s="58" t="s">
        <v>444</v>
      </c>
      <c r="B157" s="59" t="s">
        <v>445</v>
      </c>
      <c r="C157" s="60" t="s">
        <v>446</v>
      </c>
      <c r="D157" s="61" t="s">
        <v>428</v>
      </c>
      <c r="E157" s="62" t="s">
        <v>112</v>
      </c>
      <c r="F157" s="59" t="s">
        <v>62</v>
      </c>
      <c r="G157" s="63">
        <f>IFERROR(INDEX('Benchmark Data'!$AC$7:$AC$130,MATCH($A157,'Benchmark Data'!$A$7:$A$130,0)),0)</f>
        <v>1</v>
      </c>
      <c r="H157" s="64">
        <f>IFERROR(INDEX('Benchmark Data'!$AD$7:$AD$130,MATCH($A157,'Benchmark Data'!$A$7:$A$130,0)),0)</f>
        <v>3000</v>
      </c>
      <c r="I157" s="65">
        <f t="shared" si="17"/>
        <v>3000</v>
      </c>
      <c r="J157" s="91"/>
      <c r="K157" s="29">
        <f>IFERROR(INDEX('Benchmark Data'!$AE$7:$AE$130,MATCH($A157,'Benchmark Data'!$A$7:$A$130,0)),0)</f>
        <v>1</v>
      </c>
      <c r="L157" s="67">
        <f t="shared" si="18"/>
        <v>0</v>
      </c>
      <c r="M157" s="68">
        <f t="shared" si="19"/>
        <v>0</v>
      </c>
      <c r="N157" s="69">
        <f t="shared" si="20"/>
        <v>0</v>
      </c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70"/>
      <c r="AX157" s="70"/>
    </row>
    <row r="158" spans="1:50" outlineLevel="1">
      <c r="A158" s="71" t="s">
        <v>444</v>
      </c>
      <c r="B158" s="72" t="s">
        <v>445</v>
      </c>
      <c r="C158" s="73" t="s">
        <v>446</v>
      </c>
      <c r="D158" s="71" t="s">
        <v>428</v>
      </c>
      <c r="E158" s="74" t="s">
        <v>112</v>
      </c>
      <c r="F158" s="17" t="s">
        <v>63</v>
      </c>
      <c r="G158" s="75">
        <f>G157</f>
        <v>1</v>
      </c>
      <c r="H158" s="76">
        <f>H157*(1+Settings!$C$8)</f>
        <v>3750</v>
      </c>
      <c r="I158" s="76">
        <f t="shared" si="17"/>
        <v>3750</v>
      </c>
      <c r="J158" s="77">
        <f>J157</f>
        <v>0</v>
      </c>
      <c r="K158" s="51">
        <f>K157</f>
        <v>1</v>
      </c>
      <c r="L158" s="52">
        <f t="shared" si="18"/>
        <v>0</v>
      </c>
      <c r="M158" s="51">
        <f t="shared" si="19"/>
        <v>0</v>
      </c>
      <c r="N158" s="78">
        <f t="shared" si="20"/>
        <v>0</v>
      </c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  <c r="AG158" s="79"/>
      <c r="AH158" s="79"/>
      <c r="AI158" s="79"/>
      <c r="AJ158" s="79"/>
      <c r="AK158" s="79"/>
      <c r="AL158" s="79"/>
      <c r="AM158" s="79"/>
      <c r="AN158" s="79"/>
      <c r="AO158" s="79"/>
      <c r="AP158" s="79"/>
      <c r="AQ158" s="79"/>
      <c r="AR158" s="79"/>
      <c r="AS158" s="79"/>
      <c r="AT158" s="79"/>
      <c r="AU158" s="79"/>
      <c r="AV158" s="79"/>
      <c r="AW158" s="79"/>
      <c r="AX158" s="79"/>
    </row>
    <row r="159" spans="1:50" outlineLevel="1">
      <c r="A159" s="71" t="s">
        <v>444</v>
      </c>
      <c r="B159" s="72" t="s">
        <v>445</v>
      </c>
      <c r="C159" s="73" t="s">
        <v>446</v>
      </c>
      <c r="D159" s="71" t="s">
        <v>428</v>
      </c>
      <c r="E159" s="74" t="s">
        <v>112</v>
      </c>
      <c r="F159" s="17" t="s">
        <v>64</v>
      </c>
      <c r="G159" s="75">
        <f>G157</f>
        <v>1</v>
      </c>
      <c r="H159" s="76">
        <f>H157*(1+Settings!$C$9)</f>
        <v>4500</v>
      </c>
      <c r="I159" s="76">
        <f t="shared" si="17"/>
        <v>4500</v>
      </c>
      <c r="J159" s="77">
        <f>J157</f>
        <v>0</v>
      </c>
      <c r="K159" s="51">
        <f>K157</f>
        <v>1</v>
      </c>
      <c r="L159" s="52">
        <f t="shared" si="18"/>
        <v>0</v>
      </c>
      <c r="M159" s="51">
        <f t="shared" si="19"/>
        <v>0</v>
      </c>
      <c r="N159" s="78">
        <f t="shared" si="20"/>
        <v>0</v>
      </c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  <c r="AG159" s="79"/>
      <c r="AH159" s="79"/>
      <c r="AI159" s="79"/>
      <c r="AJ159" s="79"/>
      <c r="AK159" s="79"/>
      <c r="AL159" s="79"/>
      <c r="AM159" s="79"/>
      <c r="AN159" s="79"/>
      <c r="AO159" s="79"/>
      <c r="AP159" s="79"/>
      <c r="AQ159" s="79"/>
      <c r="AR159" s="79"/>
      <c r="AS159" s="79"/>
      <c r="AT159" s="79"/>
      <c r="AU159" s="79"/>
      <c r="AV159" s="79"/>
      <c r="AW159" s="79"/>
      <c r="AX159" s="79"/>
    </row>
    <row r="160" spans="1:50" outlineLevel="1">
      <c r="A160" s="71" t="s">
        <v>444</v>
      </c>
      <c r="B160" s="72" t="s">
        <v>445</v>
      </c>
      <c r="C160" s="73" t="s">
        <v>446</v>
      </c>
      <c r="D160" s="71" t="s">
        <v>428</v>
      </c>
      <c r="E160" s="74" t="s">
        <v>112</v>
      </c>
      <c r="F160" s="17" t="s">
        <v>65</v>
      </c>
      <c r="G160" s="80">
        <f>G157</f>
        <v>1</v>
      </c>
      <c r="H160" s="81">
        <f>H157</f>
        <v>3000</v>
      </c>
      <c r="I160" s="76">
        <f t="shared" si="17"/>
        <v>3000</v>
      </c>
      <c r="J160" s="77">
        <f>J157</f>
        <v>0</v>
      </c>
      <c r="K160" s="82">
        <f>K157</f>
        <v>1</v>
      </c>
      <c r="L160" s="52">
        <f t="shared" si="18"/>
        <v>0</v>
      </c>
      <c r="M160" s="51">
        <f t="shared" si="19"/>
        <v>0</v>
      </c>
      <c r="N160" s="78">
        <f t="shared" si="20"/>
        <v>0</v>
      </c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  <c r="AG160" s="79"/>
      <c r="AH160" s="79"/>
      <c r="AI160" s="79"/>
      <c r="AJ160" s="79"/>
      <c r="AK160" s="79"/>
      <c r="AL160" s="79"/>
      <c r="AM160" s="79"/>
      <c r="AN160" s="79"/>
      <c r="AO160" s="79"/>
      <c r="AP160" s="79"/>
      <c r="AQ160" s="79"/>
      <c r="AR160" s="79"/>
      <c r="AS160" s="79"/>
      <c r="AT160" s="79"/>
      <c r="AU160" s="79"/>
      <c r="AV160" s="79"/>
      <c r="AW160" s="79"/>
      <c r="AX160" s="79"/>
    </row>
    <row r="161" spans="1:50">
      <c r="A161" s="83" t="s">
        <v>444</v>
      </c>
      <c r="B161" s="16" t="s">
        <v>445</v>
      </c>
      <c r="C161" s="84" t="s">
        <v>446</v>
      </c>
      <c r="D161" s="85" t="s">
        <v>428</v>
      </c>
      <c r="E161" s="86" t="s">
        <v>112</v>
      </c>
      <c r="F161" s="16" t="s">
        <v>179</v>
      </c>
      <c r="G161" s="87">
        <f>CHOOSE(IF(OR($C$3="Expert input",$I$157=0),4,IF($C$3="+25%",2,IF($C$3="+50%",3,1))),G157,G158,G159,G160)</f>
        <v>1</v>
      </c>
      <c r="H161" s="88">
        <f>CHOOSE(IF(OR($C$3="Expert input",$I$157=0),4,IF($C$3="+25%",2,IF($C$3="+50%",3,1))),H157,H158,H159,H160)</f>
        <v>3000</v>
      </c>
      <c r="I161" s="88">
        <f t="shared" si="17"/>
        <v>3000</v>
      </c>
      <c r="J161" s="54">
        <f>J157</f>
        <v>0</v>
      </c>
      <c r="K161" s="53">
        <f>CHOOSE(IF(OR($C$3="Expert input",$I$157=0),4,IF($C$3="+25%",2,IF($C$3="+50%",3,1))),K157,K158,K159,K160)</f>
        <v>1</v>
      </c>
      <c r="L161" s="54">
        <f t="shared" si="18"/>
        <v>0</v>
      </c>
      <c r="M161" s="53">
        <f t="shared" si="19"/>
        <v>0</v>
      </c>
      <c r="N161" s="54">
        <f t="shared" si="20"/>
        <v>0</v>
      </c>
      <c r="O161" s="43">
        <v>0.5</v>
      </c>
      <c r="P161" s="43"/>
      <c r="Q161" s="43"/>
      <c r="R161" s="43"/>
      <c r="S161" s="43"/>
      <c r="T161" s="43"/>
      <c r="U161" s="43"/>
      <c r="V161" s="43"/>
      <c r="W161" s="43"/>
      <c r="X161" s="43"/>
      <c r="Y161" s="43">
        <v>0.25</v>
      </c>
      <c r="Z161" s="43">
        <v>0.25</v>
      </c>
      <c r="AA161" s="89">
        <f>O161*$M161</f>
        <v>0</v>
      </c>
      <c r="AB161" s="90">
        <f>O161*$N161</f>
        <v>0</v>
      </c>
      <c r="AC161" s="89">
        <f>P161*$M161</f>
        <v>0</v>
      </c>
      <c r="AD161" s="90">
        <f>P161*$N161</f>
        <v>0</v>
      </c>
      <c r="AE161" s="89">
        <f>Q161*$M161</f>
        <v>0</v>
      </c>
      <c r="AF161" s="90">
        <f>Q161*$N161</f>
        <v>0</v>
      </c>
      <c r="AG161" s="89">
        <f>R161*$M161</f>
        <v>0</v>
      </c>
      <c r="AH161" s="90">
        <f>R161*$N161</f>
        <v>0</v>
      </c>
      <c r="AI161" s="89">
        <f>S161*$M161</f>
        <v>0</v>
      </c>
      <c r="AJ161" s="90">
        <f>S161*$N161</f>
        <v>0</v>
      </c>
      <c r="AK161" s="89">
        <f>T161*$M161</f>
        <v>0</v>
      </c>
      <c r="AL161" s="90">
        <f>T161*$N161</f>
        <v>0</v>
      </c>
      <c r="AM161" s="89">
        <f>U161*$M161</f>
        <v>0</v>
      </c>
      <c r="AN161" s="90">
        <f>U161*$N161</f>
        <v>0</v>
      </c>
      <c r="AO161" s="89">
        <f>V161*$M161</f>
        <v>0</v>
      </c>
      <c r="AP161" s="90">
        <f>V161*$N161</f>
        <v>0</v>
      </c>
      <c r="AQ161" s="89">
        <f>W161*$M161</f>
        <v>0</v>
      </c>
      <c r="AR161" s="90">
        <f>W161*$N161</f>
        <v>0</v>
      </c>
      <c r="AS161" s="89">
        <f>X161*$M161</f>
        <v>0</v>
      </c>
      <c r="AT161" s="90">
        <f>X161*$N161</f>
        <v>0</v>
      </c>
      <c r="AU161" s="89">
        <f>Y161*$M161</f>
        <v>0</v>
      </c>
      <c r="AV161" s="90">
        <f>Y161*$N161</f>
        <v>0</v>
      </c>
      <c r="AW161" s="89">
        <f>Z161*$M161</f>
        <v>0</v>
      </c>
      <c r="AX161" s="90">
        <f>Z161*$N161</f>
        <v>0</v>
      </c>
    </row>
    <row r="162" spans="1:50" outlineLevel="1">
      <c r="A162" s="58" t="s">
        <v>447</v>
      </c>
      <c r="B162" s="59" t="s">
        <v>448</v>
      </c>
      <c r="C162" s="60" t="s">
        <v>449</v>
      </c>
      <c r="D162" s="61" t="s">
        <v>428</v>
      </c>
      <c r="E162" s="62" t="s">
        <v>112</v>
      </c>
      <c r="F162" s="59" t="s">
        <v>62</v>
      </c>
      <c r="G162" s="63">
        <f>IFERROR(INDEX('Benchmark Data'!$AC$7:$AC$130,MATCH($A162,'Benchmark Data'!$A$7:$A$130,0)),0)</f>
        <v>1.6666666666666667</v>
      </c>
      <c r="H162" s="64">
        <f>IFERROR(INDEX('Benchmark Data'!$AD$7:$AD$130,MATCH($A162,'Benchmark Data'!$A$7:$A$130,0)),0)</f>
        <v>1299.9999999999998</v>
      </c>
      <c r="I162" s="65">
        <f t="shared" si="17"/>
        <v>2166.6666666666665</v>
      </c>
      <c r="J162" s="91"/>
      <c r="K162" s="29">
        <f>IFERROR(INDEX('Benchmark Data'!$AE$7:$AE$130,MATCH($A162,'Benchmark Data'!$A$7:$A$130,0)),0)</f>
        <v>1</v>
      </c>
      <c r="L162" s="67">
        <f t="shared" si="18"/>
        <v>0</v>
      </c>
      <c r="M162" s="68">
        <f t="shared" si="19"/>
        <v>0</v>
      </c>
      <c r="N162" s="69">
        <f t="shared" si="20"/>
        <v>0</v>
      </c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70"/>
      <c r="AX162" s="70"/>
    </row>
    <row r="163" spans="1:50" outlineLevel="1">
      <c r="A163" s="71" t="s">
        <v>447</v>
      </c>
      <c r="B163" s="72" t="s">
        <v>448</v>
      </c>
      <c r="C163" s="73" t="s">
        <v>449</v>
      </c>
      <c r="D163" s="71" t="s">
        <v>428</v>
      </c>
      <c r="E163" s="74" t="s">
        <v>112</v>
      </c>
      <c r="F163" s="17" t="s">
        <v>63</v>
      </c>
      <c r="G163" s="75">
        <f>G162</f>
        <v>1.6666666666666667</v>
      </c>
      <c r="H163" s="76">
        <f>H162*(1+Settings!$C$8)</f>
        <v>1624.9999999999998</v>
      </c>
      <c r="I163" s="76">
        <f t="shared" si="17"/>
        <v>2708.333333333333</v>
      </c>
      <c r="J163" s="77">
        <f>J162</f>
        <v>0</v>
      </c>
      <c r="K163" s="51">
        <f>K162</f>
        <v>1</v>
      </c>
      <c r="L163" s="52">
        <f t="shared" si="18"/>
        <v>0</v>
      </c>
      <c r="M163" s="51">
        <f t="shared" si="19"/>
        <v>0</v>
      </c>
      <c r="N163" s="78">
        <f t="shared" si="20"/>
        <v>0</v>
      </c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  <c r="AG163" s="79"/>
      <c r="AH163" s="79"/>
      <c r="AI163" s="79"/>
      <c r="AJ163" s="79"/>
      <c r="AK163" s="79"/>
      <c r="AL163" s="79"/>
      <c r="AM163" s="79"/>
      <c r="AN163" s="79"/>
      <c r="AO163" s="79"/>
      <c r="AP163" s="79"/>
      <c r="AQ163" s="79"/>
      <c r="AR163" s="79"/>
      <c r="AS163" s="79"/>
      <c r="AT163" s="79"/>
      <c r="AU163" s="79"/>
      <c r="AV163" s="79"/>
      <c r="AW163" s="79"/>
      <c r="AX163" s="79"/>
    </row>
    <row r="164" spans="1:50" outlineLevel="1">
      <c r="A164" s="71" t="s">
        <v>447</v>
      </c>
      <c r="B164" s="72" t="s">
        <v>448</v>
      </c>
      <c r="C164" s="73" t="s">
        <v>449</v>
      </c>
      <c r="D164" s="71" t="s">
        <v>428</v>
      </c>
      <c r="E164" s="74" t="s">
        <v>112</v>
      </c>
      <c r="F164" s="17" t="s">
        <v>64</v>
      </c>
      <c r="G164" s="75">
        <f>G162</f>
        <v>1.6666666666666667</v>
      </c>
      <c r="H164" s="76">
        <f>H162*(1+Settings!$C$9)</f>
        <v>1949.9999999999995</v>
      </c>
      <c r="I164" s="76">
        <f t="shared" si="17"/>
        <v>3249.9999999999995</v>
      </c>
      <c r="J164" s="77">
        <f>J162</f>
        <v>0</v>
      </c>
      <c r="K164" s="51">
        <f>K162</f>
        <v>1</v>
      </c>
      <c r="L164" s="52">
        <f t="shared" si="18"/>
        <v>0</v>
      </c>
      <c r="M164" s="51">
        <f t="shared" si="19"/>
        <v>0</v>
      </c>
      <c r="N164" s="78">
        <f t="shared" si="20"/>
        <v>0</v>
      </c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  <c r="AG164" s="79"/>
      <c r="AH164" s="79"/>
      <c r="AI164" s="79"/>
      <c r="AJ164" s="79"/>
      <c r="AK164" s="79"/>
      <c r="AL164" s="79"/>
      <c r="AM164" s="79"/>
      <c r="AN164" s="79"/>
      <c r="AO164" s="79"/>
      <c r="AP164" s="79"/>
      <c r="AQ164" s="79"/>
      <c r="AR164" s="79"/>
      <c r="AS164" s="79"/>
      <c r="AT164" s="79"/>
      <c r="AU164" s="79"/>
      <c r="AV164" s="79"/>
      <c r="AW164" s="79"/>
      <c r="AX164" s="79"/>
    </row>
    <row r="165" spans="1:50" outlineLevel="1">
      <c r="A165" s="71" t="s">
        <v>447</v>
      </c>
      <c r="B165" s="72" t="s">
        <v>448</v>
      </c>
      <c r="C165" s="73" t="s">
        <v>449</v>
      </c>
      <c r="D165" s="71" t="s">
        <v>428</v>
      </c>
      <c r="E165" s="74" t="s">
        <v>112</v>
      </c>
      <c r="F165" s="17" t="s">
        <v>65</v>
      </c>
      <c r="G165" s="80">
        <f>G162</f>
        <v>1.6666666666666667</v>
      </c>
      <c r="H165" s="81">
        <f>H162</f>
        <v>1299.9999999999998</v>
      </c>
      <c r="I165" s="76">
        <f t="shared" si="17"/>
        <v>2166.6666666666665</v>
      </c>
      <c r="J165" s="77">
        <f>J162</f>
        <v>0</v>
      </c>
      <c r="K165" s="82">
        <f>K162</f>
        <v>1</v>
      </c>
      <c r="L165" s="52">
        <f t="shared" si="18"/>
        <v>0</v>
      </c>
      <c r="M165" s="51">
        <f t="shared" si="19"/>
        <v>0</v>
      </c>
      <c r="N165" s="78">
        <f t="shared" si="20"/>
        <v>0</v>
      </c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79"/>
      <c r="AN165" s="79"/>
      <c r="AO165" s="79"/>
      <c r="AP165" s="79"/>
      <c r="AQ165" s="79"/>
      <c r="AR165" s="79"/>
      <c r="AS165" s="79"/>
      <c r="AT165" s="79"/>
      <c r="AU165" s="79"/>
      <c r="AV165" s="79"/>
      <c r="AW165" s="79"/>
      <c r="AX165" s="79"/>
    </row>
    <row r="166" spans="1:50">
      <c r="A166" s="83" t="s">
        <v>447</v>
      </c>
      <c r="B166" s="16" t="s">
        <v>448</v>
      </c>
      <c r="C166" s="84" t="s">
        <v>449</v>
      </c>
      <c r="D166" s="85" t="s">
        <v>428</v>
      </c>
      <c r="E166" s="86" t="s">
        <v>112</v>
      </c>
      <c r="F166" s="16" t="s">
        <v>179</v>
      </c>
      <c r="G166" s="87">
        <f>CHOOSE(IF(OR($C$3="Expert input",$I$162=0),4,IF($C$3="+25%",2,IF($C$3="+50%",3,1))),G162,G163,G164,G165)</f>
        <v>1.6666666666666667</v>
      </c>
      <c r="H166" s="88">
        <f>CHOOSE(IF(OR($C$3="Expert input",$I$162=0),4,IF($C$3="+25%",2,IF($C$3="+50%",3,1))),H162,H163,H164,H165)</f>
        <v>1299.9999999999998</v>
      </c>
      <c r="I166" s="88">
        <f t="shared" si="17"/>
        <v>2166.6666666666665</v>
      </c>
      <c r="J166" s="54">
        <f>J162</f>
        <v>0</v>
      </c>
      <c r="K166" s="53">
        <f>CHOOSE(IF(OR($C$3="Expert input",$I$162=0),4,IF($C$3="+25%",2,IF($C$3="+50%",3,1))),K162,K163,K164,K165)</f>
        <v>1</v>
      </c>
      <c r="L166" s="54">
        <f t="shared" si="18"/>
        <v>0</v>
      </c>
      <c r="M166" s="53">
        <f t="shared" si="19"/>
        <v>0</v>
      </c>
      <c r="N166" s="54">
        <f t="shared" si="20"/>
        <v>0</v>
      </c>
      <c r="O166" s="43">
        <v>0.5</v>
      </c>
      <c r="P166" s="43"/>
      <c r="Q166" s="43"/>
      <c r="R166" s="43"/>
      <c r="S166" s="43"/>
      <c r="T166" s="43"/>
      <c r="U166" s="43"/>
      <c r="V166" s="43"/>
      <c r="W166" s="43"/>
      <c r="X166" s="43"/>
      <c r="Y166" s="43">
        <v>0.42</v>
      </c>
      <c r="Z166" s="43">
        <v>0.08</v>
      </c>
      <c r="AA166" s="89">
        <f>O166*$M166</f>
        <v>0</v>
      </c>
      <c r="AB166" s="90">
        <f>O166*$N166</f>
        <v>0</v>
      </c>
      <c r="AC166" s="89">
        <f>P166*$M166</f>
        <v>0</v>
      </c>
      <c r="AD166" s="90">
        <f>P166*$N166</f>
        <v>0</v>
      </c>
      <c r="AE166" s="89">
        <f>Q166*$M166</f>
        <v>0</v>
      </c>
      <c r="AF166" s="90">
        <f>Q166*$N166</f>
        <v>0</v>
      </c>
      <c r="AG166" s="89">
        <f>R166*$M166</f>
        <v>0</v>
      </c>
      <c r="AH166" s="90">
        <f>R166*$N166</f>
        <v>0</v>
      </c>
      <c r="AI166" s="89">
        <f>S166*$M166</f>
        <v>0</v>
      </c>
      <c r="AJ166" s="90">
        <f>S166*$N166</f>
        <v>0</v>
      </c>
      <c r="AK166" s="89">
        <f>T166*$M166</f>
        <v>0</v>
      </c>
      <c r="AL166" s="90">
        <f>T166*$N166</f>
        <v>0</v>
      </c>
      <c r="AM166" s="89">
        <f>U166*$M166</f>
        <v>0</v>
      </c>
      <c r="AN166" s="90">
        <f>U166*$N166</f>
        <v>0</v>
      </c>
      <c r="AO166" s="89">
        <f>V166*$M166</f>
        <v>0</v>
      </c>
      <c r="AP166" s="90">
        <f>V166*$N166</f>
        <v>0</v>
      </c>
      <c r="AQ166" s="89">
        <f>W166*$M166</f>
        <v>0</v>
      </c>
      <c r="AR166" s="90">
        <f>W166*$N166</f>
        <v>0</v>
      </c>
      <c r="AS166" s="89">
        <f>X166*$M166</f>
        <v>0</v>
      </c>
      <c r="AT166" s="90">
        <f>X166*$N166</f>
        <v>0</v>
      </c>
      <c r="AU166" s="89">
        <f>Y166*$M166</f>
        <v>0</v>
      </c>
      <c r="AV166" s="90">
        <f>Y166*$N166</f>
        <v>0</v>
      </c>
      <c r="AW166" s="89">
        <f>Z166*$M166</f>
        <v>0</v>
      </c>
      <c r="AX166" s="90">
        <f>Z166*$N166</f>
        <v>0</v>
      </c>
    </row>
    <row r="167" spans="1:50" outlineLevel="1">
      <c r="A167" s="58" t="s">
        <v>450</v>
      </c>
      <c r="B167" s="59" t="s">
        <v>451</v>
      </c>
      <c r="C167" s="60" t="s">
        <v>452</v>
      </c>
      <c r="D167" s="61" t="s">
        <v>428</v>
      </c>
      <c r="E167" s="62" t="s">
        <v>112</v>
      </c>
      <c r="F167" s="59" t="s">
        <v>62</v>
      </c>
      <c r="G167" s="63">
        <f>IFERROR(INDEX('Benchmark Data'!$AC$7:$AC$130,MATCH($A167,'Benchmark Data'!$A$7:$A$130,0)),0)</f>
        <v>0</v>
      </c>
      <c r="H167" s="64">
        <f>IFERROR(INDEX('Benchmark Data'!$AD$7:$AD$130,MATCH($A167,'Benchmark Data'!$A$7:$A$130,0)),0)</f>
        <v>0</v>
      </c>
      <c r="I167" s="65">
        <f t="shared" si="17"/>
        <v>0</v>
      </c>
      <c r="J167" s="91"/>
      <c r="K167" s="29">
        <f>IFERROR(INDEX('Benchmark Data'!$AE$7:$AE$130,MATCH($A167,'Benchmark Data'!$A$7:$A$130,0)),0)</f>
        <v>1</v>
      </c>
      <c r="L167" s="67">
        <f t="shared" si="18"/>
        <v>0</v>
      </c>
      <c r="M167" s="68">
        <f t="shared" si="19"/>
        <v>0</v>
      </c>
      <c r="N167" s="69">
        <f t="shared" si="20"/>
        <v>0</v>
      </c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70"/>
      <c r="AX167" s="70"/>
    </row>
    <row r="168" spans="1:50" outlineLevel="1">
      <c r="A168" s="71" t="s">
        <v>450</v>
      </c>
      <c r="B168" s="72" t="s">
        <v>451</v>
      </c>
      <c r="C168" s="73" t="s">
        <v>452</v>
      </c>
      <c r="D168" s="71" t="s">
        <v>428</v>
      </c>
      <c r="E168" s="74" t="s">
        <v>112</v>
      </c>
      <c r="F168" s="17" t="s">
        <v>63</v>
      </c>
      <c r="G168" s="75">
        <f>G167</f>
        <v>0</v>
      </c>
      <c r="H168" s="76">
        <f>H167*(1+Settings!$C$8)</f>
        <v>0</v>
      </c>
      <c r="I168" s="76">
        <f t="shared" si="17"/>
        <v>0</v>
      </c>
      <c r="J168" s="77">
        <f>J167</f>
        <v>0</v>
      </c>
      <c r="K168" s="51">
        <f>K167</f>
        <v>1</v>
      </c>
      <c r="L168" s="52">
        <f t="shared" si="18"/>
        <v>0</v>
      </c>
      <c r="M168" s="51">
        <f t="shared" si="19"/>
        <v>0</v>
      </c>
      <c r="N168" s="78">
        <f t="shared" si="20"/>
        <v>0</v>
      </c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  <c r="AG168" s="79"/>
      <c r="AH168" s="79"/>
      <c r="AI168" s="79"/>
      <c r="AJ168" s="79"/>
      <c r="AK168" s="79"/>
      <c r="AL168" s="79"/>
      <c r="AM168" s="79"/>
      <c r="AN168" s="79"/>
      <c r="AO168" s="79"/>
      <c r="AP168" s="79"/>
      <c r="AQ168" s="79"/>
      <c r="AR168" s="79"/>
      <c r="AS168" s="79"/>
      <c r="AT168" s="79"/>
      <c r="AU168" s="79"/>
      <c r="AV168" s="79"/>
      <c r="AW168" s="79"/>
      <c r="AX168" s="79"/>
    </row>
    <row r="169" spans="1:50" outlineLevel="1">
      <c r="A169" s="71" t="s">
        <v>450</v>
      </c>
      <c r="B169" s="72" t="s">
        <v>451</v>
      </c>
      <c r="C169" s="73" t="s">
        <v>452</v>
      </c>
      <c r="D169" s="71" t="s">
        <v>428</v>
      </c>
      <c r="E169" s="74" t="s">
        <v>112</v>
      </c>
      <c r="F169" s="17" t="s">
        <v>64</v>
      </c>
      <c r="G169" s="75">
        <f>G167</f>
        <v>0</v>
      </c>
      <c r="H169" s="76">
        <f>H167*(1+Settings!$C$9)</f>
        <v>0</v>
      </c>
      <c r="I169" s="76">
        <f t="shared" si="17"/>
        <v>0</v>
      </c>
      <c r="J169" s="77">
        <f>J167</f>
        <v>0</v>
      </c>
      <c r="K169" s="51">
        <f>K167</f>
        <v>1</v>
      </c>
      <c r="L169" s="52">
        <f t="shared" si="18"/>
        <v>0</v>
      </c>
      <c r="M169" s="51">
        <f t="shared" si="19"/>
        <v>0</v>
      </c>
      <c r="N169" s="78">
        <f t="shared" si="20"/>
        <v>0</v>
      </c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  <c r="AG169" s="79"/>
      <c r="AH169" s="79"/>
      <c r="AI169" s="79"/>
      <c r="AJ169" s="79"/>
      <c r="AK169" s="79"/>
      <c r="AL169" s="79"/>
      <c r="AM169" s="79"/>
      <c r="AN169" s="79"/>
      <c r="AO169" s="79"/>
      <c r="AP169" s="79"/>
      <c r="AQ169" s="79"/>
      <c r="AR169" s="79"/>
      <c r="AS169" s="79"/>
      <c r="AT169" s="79"/>
      <c r="AU169" s="79"/>
      <c r="AV169" s="79"/>
      <c r="AW169" s="79"/>
      <c r="AX169" s="79"/>
    </row>
    <row r="170" spans="1:50" outlineLevel="1">
      <c r="A170" s="71" t="s">
        <v>450</v>
      </c>
      <c r="B170" s="72" t="s">
        <v>451</v>
      </c>
      <c r="C170" s="73" t="s">
        <v>452</v>
      </c>
      <c r="D170" s="71" t="s">
        <v>428</v>
      </c>
      <c r="E170" s="74" t="s">
        <v>112</v>
      </c>
      <c r="F170" s="17" t="s">
        <v>65</v>
      </c>
      <c r="G170" s="95"/>
      <c r="H170" s="96"/>
      <c r="I170" s="76">
        <f t="shared" si="17"/>
        <v>0</v>
      </c>
      <c r="J170" s="77">
        <f>J167</f>
        <v>0</v>
      </c>
      <c r="K170" s="45">
        <v>1</v>
      </c>
      <c r="L170" s="52">
        <f t="shared" si="18"/>
        <v>0</v>
      </c>
      <c r="M170" s="51">
        <f t="shared" si="19"/>
        <v>0</v>
      </c>
      <c r="N170" s="78">
        <f t="shared" si="20"/>
        <v>0</v>
      </c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  <c r="AG170" s="79"/>
      <c r="AH170" s="79"/>
      <c r="AI170" s="79"/>
      <c r="AJ170" s="79"/>
      <c r="AK170" s="79"/>
      <c r="AL170" s="79"/>
      <c r="AM170" s="79"/>
      <c r="AN170" s="79"/>
      <c r="AO170" s="79"/>
      <c r="AP170" s="79"/>
      <c r="AQ170" s="79"/>
      <c r="AR170" s="79"/>
      <c r="AS170" s="79"/>
      <c r="AT170" s="79"/>
      <c r="AU170" s="79"/>
      <c r="AV170" s="79"/>
      <c r="AW170" s="79"/>
      <c r="AX170" s="79"/>
    </row>
    <row r="171" spans="1:50">
      <c r="A171" s="83" t="s">
        <v>450</v>
      </c>
      <c r="B171" s="16" t="s">
        <v>451</v>
      </c>
      <c r="C171" s="84" t="s">
        <v>452</v>
      </c>
      <c r="D171" s="85" t="s">
        <v>428</v>
      </c>
      <c r="E171" s="86" t="s">
        <v>112</v>
      </c>
      <c r="F171" s="16" t="s">
        <v>179</v>
      </c>
      <c r="G171" s="87">
        <f>CHOOSE(IF(OR($C$3="Expert input",$I$167=0),4,IF($C$3="+25%",2,IF($C$3="+50%",3,1))),G167,G168,G169,G170)</f>
        <v>0</v>
      </c>
      <c r="H171" s="88">
        <f>CHOOSE(IF(OR($C$3="Expert input",$I$167=0),4,IF($C$3="+25%",2,IF($C$3="+50%",3,1))),H167,H168,H169,H170)</f>
        <v>0</v>
      </c>
      <c r="I171" s="88">
        <f t="shared" si="17"/>
        <v>0</v>
      </c>
      <c r="J171" s="54">
        <f>J167</f>
        <v>0</v>
      </c>
      <c r="K171" s="53">
        <f>CHOOSE(IF(OR($C$3="Expert input",$I$167=0),4,IF($C$3="+25%",2,IF($C$3="+50%",3,1))),K167,K168,K169,K170)</f>
        <v>1</v>
      </c>
      <c r="L171" s="54">
        <f t="shared" si="18"/>
        <v>0</v>
      </c>
      <c r="M171" s="53">
        <f t="shared" si="19"/>
        <v>0</v>
      </c>
      <c r="N171" s="54">
        <f t="shared" si="20"/>
        <v>0</v>
      </c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89">
        <f>O171*$M171</f>
        <v>0</v>
      </c>
      <c r="AB171" s="90">
        <f>O171*$N171</f>
        <v>0</v>
      </c>
      <c r="AC171" s="89">
        <f>P171*$M171</f>
        <v>0</v>
      </c>
      <c r="AD171" s="90">
        <f>P171*$N171</f>
        <v>0</v>
      </c>
      <c r="AE171" s="89">
        <f>Q171*$M171</f>
        <v>0</v>
      </c>
      <c r="AF171" s="90">
        <f>Q171*$N171</f>
        <v>0</v>
      </c>
      <c r="AG171" s="89">
        <f>R171*$M171</f>
        <v>0</v>
      </c>
      <c r="AH171" s="90">
        <f>R171*$N171</f>
        <v>0</v>
      </c>
      <c r="AI171" s="89">
        <f>S171*$M171</f>
        <v>0</v>
      </c>
      <c r="AJ171" s="90">
        <f>S171*$N171</f>
        <v>0</v>
      </c>
      <c r="AK171" s="89">
        <f>T171*$M171</f>
        <v>0</v>
      </c>
      <c r="AL171" s="90">
        <f>T171*$N171</f>
        <v>0</v>
      </c>
      <c r="AM171" s="89">
        <f>U171*$M171</f>
        <v>0</v>
      </c>
      <c r="AN171" s="90">
        <f>U171*$N171</f>
        <v>0</v>
      </c>
      <c r="AO171" s="89">
        <f>V171*$M171</f>
        <v>0</v>
      </c>
      <c r="AP171" s="90">
        <f>V171*$N171</f>
        <v>0</v>
      </c>
      <c r="AQ171" s="89">
        <f>W171*$M171</f>
        <v>0</v>
      </c>
      <c r="AR171" s="90">
        <f>W171*$N171</f>
        <v>0</v>
      </c>
      <c r="AS171" s="89">
        <f>X171*$M171</f>
        <v>0</v>
      </c>
      <c r="AT171" s="90">
        <f>X171*$N171</f>
        <v>0</v>
      </c>
      <c r="AU171" s="89">
        <f>Y171*$M171</f>
        <v>0</v>
      </c>
      <c r="AV171" s="90">
        <f>Y171*$N171</f>
        <v>0</v>
      </c>
      <c r="AW171" s="89">
        <f>Z171*$M171</f>
        <v>0</v>
      </c>
      <c r="AX171" s="90">
        <f>Z171*$N171</f>
        <v>0</v>
      </c>
    </row>
    <row r="172" spans="1:50" outlineLevel="1">
      <c r="A172" s="58" t="s">
        <v>453</v>
      </c>
      <c r="B172" s="92" t="s">
        <v>454</v>
      </c>
      <c r="C172" s="60"/>
      <c r="D172" s="93" t="s">
        <v>292</v>
      </c>
      <c r="E172" s="62" t="s">
        <v>109</v>
      </c>
      <c r="F172" s="59" t="s">
        <v>62</v>
      </c>
      <c r="G172" s="63">
        <f>IFERROR(INDEX('Benchmark Data'!$AC$7:$AC$130,MATCH($A172,'Benchmark Data'!$A$7:$A$130,0)),0)</f>
        <v>0</v>
      </c>
      <c r="H172" s="64">
        <f>IFERROR(INDEX('Benchmark Data'!$AD$7:$AD$130,MATCH($A172,'Benchmark Data'!$A$7:$A$130,0)),0)</f>
        <v>0</v>
      </c>
      <c r="I172" s="65">
        <f t="shared" si="17"/>
        <v>0</v>
      </c>
      <c r="J172" s="66">
        <f>$E$7</f>
        <v>0</v>
      </c>
      <c r="K172" s="29">
        <f>IFERROR(INDEX('Benchmark Data'!$AE$7:$AE$130,MATCH($A172,'Benchmark Data'!$A$7:$A$130,0)),0)</f>
        <v>1</v>
      </c>
      <c r="L172" s="67">
        <f t="shared" si="18"/>
        <v>0</v>
      </c>
      <c r="M172" s="68">
        <f t="shared" si="19"/>
        <v>0</v>
      </c>
      <c r="N172" s="69">
        <f t="shared" si="20"/>
        <v>0</v>
      </c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0"/>
      <c r="AX172" s="70"/>
    </row>
    <row r="173" spans="1:50" outlineLevel="1">
      <c r="A173" s="71" t="s">
        <v>453</v>
      </c>
      <c r="B173" s="72" t="s">
        <v>454</v>
      </c>
      <c r="C173" s="73"/>
      <c r="D173" s="94" t="s">
        <v>292</v>
      </c>
      <c r="E173" s="74" t="s">
        <v>109</v>
      </c>
      <c r="F173" s="17" t="s">
        <v>63</v>
      </c>
      <c r="G173" s="75">
        <f>G172</f>
        <v>0</v>
      </c>
      <c r="H173" s="76">
        <f>H172*(1+Settings!$C$8)</f>
        <v>0</v>
      </c>
      <c r="I173" s="76">
        <f t="shared" si="17"/>
        <v>0</v>
      </c>
      <c r="J173" s="77">
        <f>J172</f>
        <v>0</v>
      </c>
      <c r="K173" s="51">
        <f>K172</f>
        <v>1</v>
      </c>
      <c r="L173" s="52">
        <f t="shared" si="18"/>
        <v>0</v>
      </c>
      <c r="M173" s="51">
        <f t="shared" si="19"/>
        <v>0</v>
      </c>
      <c r="N173" s="78">
        <f t="shared" si="20"/>
        <v>0</v>
      </c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  <c r="AG173" s="79"/>
      <c r="AH173" s="79"/>
      <c r="AI173" s="79"/>
      <c r="AJ173" s="79"/>
      <c r="AK173" s="79"/>
      <c r="AL173" s="79"/>
      <c r="AM173" s="79"/>
      <c r="AN173" s="79"/>
      <c r="AO173" s="79"/>
      <c r="AP173" s="79"/>
      <c r="AQ173" s="79"/>
      <c r="AR173" s="79"/>
      <c r="AS173" s="79"/>
      <c r="AT173" s="79"/>
      <c r="AU173" s="79"/>
      <c r="AV173" s="79"/>
      <c r="AW173" s="79"/>
      <c r="AX173" s="79"/>
    </row>
    <row r="174" spans="1:50" outlineLevel="1">
      <c r="A174" s="71" t="s">
        <v>453</v>
      </c>
      <c r="B174" s="72" t="s">
        <v>454</v>
      </c>
      <c r="C174" s="73"/>
      <c r="D174" s="94" t="s">
        <v>292</v>
      </c>
      <c r="E174" s="74" t="s">
        <v>109</v>
      </c>
      <c r="F174" s="17" t="s">
        <v>64</v>
      </c>
      <c r="G174" s="75">
        <f>G172</f>
        <v>0</v>
      </c>
      <c r="H174" s="76">
        <f>H172*(1+Settings!$C$9)</f>
        <v>0</v>
      </c>
      <c r="I174" s="76">
        <f t="shared" si="17"/>
        <v>0</v>
      </c>
      <c r="J174" s="77">
        <f>J172</f>
        <v>0</v>
      </c>
      <c r="K174" s="51">
        <f>K172</f>
        <v>1</v>
      </c>
      <c r="L174" s="52">
        <f t="shared" si="18"/>
        <v>0</v>
      </c>
      <c r="M174" s="51">
        <f t="shared" si="19"/>
        <v>0</v>
      </c>
      <c r="N174" s="78">
        <f t="shared" si="20"/>
        <v>0</v>
      </c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  <c r="AG174" s="79"/>
      <c r="AH174" s="79"/>
      <c r="AI174" s="79"/>
      <c r="AJ174" s="79"/>
      <c r="AK174" s="79"/>
      <c r="AL174" s="79"/>
      <c r="AM174" s="79"/>
      <c r="AN174" s="79"/>
      <c r="AO174" s="79"/>
      <c r="AP174" s="79"/>
      <c r="AQ174" s="79"/>
      <c r="AR174" s="79"/>
      <c r="AS174" s="79"/>
      <c r="AT174" s="79"/>
      <c r="AU174" s="79"/>
      <c r="AV174" s="79"/>
      <c r="AW174" s="79"/>
      <c r="AX174" s="79"/>
    </row>
    <row r="175" spans="1:50" outlineLevel="1">
      <c r="A175" s="71" t="s">
        <v>453</v>
      </c>
      <c r="B175" s="72" t="s">
        <v>454</v>
      </c>
      <c r="C175" s="73"/>
      <c r="D175" s="94" t="s">
        <v>292</v>
      </c>
      <c r="E175" s="74" t="s">
        <v>109</v>
      </c>
      <c r="F175" s="17" t="s">
        <v>65</v>
      </c>
      <c r="G175" s="95"/>
      <c r="H175" s="96"/>
      <c r="I175" s="76">
        <f t="shared" si="17"/>
        <v>0</v>
      </c>
      <c r="J175" s="77">
        <f>J172</f>
        <v>0</v>
      </c>
      <c r="K175" s="45">
        <v>12</v>
      </c>
      <c r="L175" s="52">
        <f t="shared" si="18"/>
        <v>0</v>
      </c>
      <c r="M175" s="51">
        <f t="shared" si="19"/>
        <v>0</v>
      </c>
      <c r="N175" s="78">
        <f t="shared" si="20"/>
        <v>0</v>
      </c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  <c r="AG175" s="79"/>
      <c r="AH175" s="79"/>
      <c r="AI175" s="79"/>
      <c r="AJ175" s="79"/>
      <c r="AK175" s="79"/>
      <c r="AL175" s="79"/>
      <c r="AM175" s="79"/>
      <c r="AN175" s="79"/>
      <c r="AO175" s="79"/>
      <c r="AP175" s="79"/>
      <c r="AQ175" s="79"/>
      <c r="AR175" s="79"/>
      <c r="AS175" s="79"/>
      <c r="AT175" s="79"/>
      <c r="AU175" s="79"/>
      <c r="AV175" s="79"/>
      <c r="AW175" s="79"/>
      <c r="AX175" s="79"/>
    </row>
    <row r="176" spans="1:50">
      <c r="A176" s="83" t="s">
        <v>453</v>
      </c>
      <c r="B176" s="97" t="s">
        <v>454</v>
      </c>
      <c r="C176" s="84"/>
      <c r="D176" s="98" t="s">
        <v>292</v>
      </c>
      <c r="E176" s="86" t="s">
        <v>109</v>
      </c>
      <c r="F176" s="16" t="s">
        <v>179</v>
      </c>
      <c r="G176" s="87">
        <f>CHOOSE(IF(OR($C$3="Expert input",$I$172=0),4,IF($C$3="+25%",2,IF($C$3="+50%",3,1))),G172,G173,G174,G175)</f>
        <v>0</v>
      </c>
      <c r="H176" s="88">
        <f>CHOOSE(IF(OR($C$3="Expert input",$I$172=0),4,IF($C$3="+25%",2,IF($C$3="+50%",3,1))),H172,H173,H174,H175)</f>
        <v>0</v>
      </c>
      <c r="I176" s="88">
        <f t="shared" si="17"/>
        <v>0</v>
      </c>
      <c r="J176" s="54">
        <f>J172</f>
        <v>0</v>
      </c>
      <c r="K176" s="53">
        <f>CHOOSE(IF(OR($C$3="Expert input",$I$172=0),4,IF($C$3="+25%",2,IF($C$3="+50%",3,1))),K172,K173,K174,K175)</f>
        <v>12</v>
      </c>
      <c r="L176" s="54">
        <f t="shared" si="18"/>
        <v>0</v>
      </c>
      <c r="M176" s="53">
        <f t="shared" si="19"/>
        <v>0</v>
      </c>
      <c r="N176" s="54">
        <f t="shared" si="20"/>
        <v>0</v>
      </c>
      <c r="O176" s="43">
        <v>8.3333333333333301E-2</v>
      </c>
      <c r="P176" s="43">
        <v>8.3333333333333301E-2</v>
      </c>
      <c r="Q176" s="43">
        <v>8.3333333333333301E-2</v>
      </c>
      <c r="R176" s="43">
        <v>8.3333333333333301E-2</v>
      </c>
      <c r="S176" s="43">
        <v>8.3333333333333301E-2</v>
      </c>
      <c r="T176" s="43">
        <v>8.3333333333333301E-2</v>
      </c>
      <c r="U176" s="43">
        <v>8.3333333333333301E-2</v>
      </c>
      <c r="V176" s="43">
        <v>8.3333333333333301E-2</v>
      </c>
      <c r="W176" s="43">
        <v>8.3333333333333301E-2</v>
      </c>
      <c r="X176" s="43">
        <v>8.3333333333333301E-2</v>
      </c>
      <c r="Y176" s="43">
        <v>8.3333333333333301E-2</v>
      </c>
      <c r="Z176" s="43">
        <v>8.3333333333333301E-2</v>
      </c>
      <c r="AA176" s="89">
        <f>O176*$M176</f>
        <v>0</v>
      </c>
      <c r="AB176" s="90">
        <f>O176*$N176</f>
        <v>0</v>
      </c>
      <c r="AC176" s="89">
        <f>P176*$M176</f>
        <v>0</v>
      </c>
      <c r="AD176" s="90">
        <f>P176*$N176</f>
        <v>0</v>
      </c>
      <c r="AE176" s="89">
        <f>Q176*$M176</f>
        <v>0</v>
      </c>
      <c r="AF176" s="90">
        <f>Q176*$N176</f>
        <v>0</v>
      </c>
      <c r="AG176" s="89">
        <f>R176*$M176</f>
        <v>0</v>
      </c>
      <c r="AH176" s="90">
        <f>R176*$N176</f>
        <v>0</v>
      </c>
      <c r="AI176" s="89">
        <f>S176*$M176</f>
        <v>0</v>
      </c>
      <c r="AJ176" s="90">
        <f>S176*$N176</f>
        <v>0</v>
      </c>
      <c r="AK176" s="89">
        <f>T176*$M176</f>
        <v>0</v>
      </c>
      <c r="AL176" s="90">
        <f>T176*$N176</f>
        <v>0</v>
      </c>
      <c r="AM176" s="89">
        <f>U176*$M176</f>
        <v>0</v>
      </c>
      <c r="AN176" s="90">
        <f>U176*$N176</f>
        <v>0</v>
      </c>
      <c r="AO176" s="89">
        <f>V176*$M176</f>
        <v>0</v>
      </c>
      <c r="AP176" s="90">
        <f>V176*$N176</f>
        <v>0</v>
      </c>
      <c r="AQ176" s="89">
        <f>W176*$M176</f>
        <v>0</v>
      </c>
      <c r="AR176" s="90">
        <f>W176*$N176</f>
        <v>0</v>
      </c>
      <c r="AS176" s="89">
        <f>X176*$M176</f>
        <v>0</v>
      </c>
      <c r="AT176" s="90">
        <f>X176*$N176</f>
        <v>0</v>
      </c>
      <c r="AU176" s="89">
        <f>Y176*$M176</f>
        <v>0</v>
      </c>
      <c r="AV176" s="90">
        <f>Y176*$N176</f>
        <v>0</v>
      </c>
      <c r="AW176" s="89">
        <f>Z176*$M176</f>
        <v>0</v>
      </c>
      <c r="AX176" s="90">
        <f>Z176*$N176</f>
        <v>0</v>
      </c>
    </row>
    <row r="177" spans="1:50" outlineLevel="1">
      <c r="A177" s="58" t="s">
        <v>455</v>
      </c>
      <c r="B177" s="92" t="s">
        <v>456</v>
      </c>
      <c r="C177" s="60"/>
      <c r="D177" s="93" t="s">
        <v>292</v>
      </c>
      <c r="E177" s="62" t="s">
        <v>308</v>
      </c>
      <c r="F177" s="59" t="s">
        <v>62</v>
      </c>
      <c r="G177" s="63">
        <f>IFERROR(INDEX('Benchmark Data'!$AC$7:$AC$130,MATCH($A177,'Benchmark Data'!$A$7:$A$130,0)),0)</f>
        <v>0</v>
      </c>
      <c r="H177" s="64">
        <f>IFERROR(INDEX('Benchmark Data'!$AD$7:$AD$130,MATCH($A177,'Benchmark Data'!$A$7:$A$130,0)),0)</f>
        <v>0</v>
      </c>
      <c r="I177" s="65">
        <f t="shared" ref="I177:I208" si="21">G177*H177</f>
        <v>0</v>
      </c>
      <c r="J177" s="91"/>
      <c r="K177" s="29">
        <f>IFERROR(INDEX('Benchmark Data'!$AE$7:$AE$130,MATCH($A177,'Benchmark Data'!$A$7:$A$130,0)),0)</f>
        <v>1</v>
      </c>
      <c r="L177" s="67">
        <f t="shared" ref="L177:L208" si="22">J177*K177</f>
        <v>0</v>
      </c>
      <c r="M177" s="68">
        <f t="shared" ref="M177:M208" si="23">L177*G177</f>
        <v>0</v>
      </c>
      <c r="N177" s="69">
        <f t="shared" ref="N177:N191" si="24">L177*I177</f>
        <v>0</v>
      </c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0"/>
      <c r="AX177" s="70"/>
    </row>
    <row r="178" spans="1:50" outlineLevel="1">
      <c r="A178" s="71" t="s">
        <v>455</v>
      </c>
      <c r="B178" s="72" t="s">
        <v>456</v>
      </c>
      <c r="C178" s="73"/>
      <c r="D178" s="94" t="s">
        <v>292</v>
      </c>
      <c r="E178" s="74" t="s">
        <v>308</v>
      </c>
      <c r="F178" s="17" t="s">
        <v>63</v>
      </c>
      <c r="G178" s="75">
        <f>G177</f>
        <v>0</v>
      </c>
      <c r="H178" s="76">
        <f>H177*(1+Settings!$C$8)</f>
        <v>0</v>
      </c>
      <c r="I178" s="76">
        <f t="shared" si="21"/>
        <v>0</v>
      </c>
      <c r="J178" s="77">
        <f>J177</f>
        <v>0</v>
      </c>
      <c r="K178" s="51">
        <f>K177</f>
        <v>1</v>
      </c>
      <c r="L178" s="52">
        <f t="shared" si="22"/>
        <v>0</v>
      </c>
      <c r="M178" s="51">
        <f t="shared" si="23"/>
        <v>0</v>
      </c>
      <c r="N178" s="78">
        <f t="shared" si="24"/>
        <v>0</v>
      </c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  <c r="AG178" s="79"/>
      <c r="AH178" s="79"/>
      <c r="AI178" s="79"/>
      <c r="AJ178" s="79"/>
      <c r="AK178" s="79"/>
      <c r="AL178" s="79"/>
      <c r="AM178" s="79"/>
      <c r="AN178" s="79"/>
      <c r="AO178" s="79"/>
      <c r="AP178" s="79"/>
      <c r="AQ178" s="79"/>
      <c r="AR178" s="79"/>
      <c r="AS178" s="79"/>
      <c r="AT178" s="79"/>
      <c r="AU178" s="79"/>
      <c r="AV178" s="79"/>
      <c r="AW178" s="79"/>
      <c r="AX178" s="79"/>
    </row>
    <row r="179" spans="1:50" outlineLevel="1">
      <c r="A179" s="71" t="s">
        <v>455</v>
      </c>
      <c r="B179" s="72" t="s">
        <v>456</v>
      </c>
      <c r="C179" s="73"/>
      <c r="D179" s="94" t="s">
        <v>292</v>
      </c>
      <c r="E179" s="74" t="s">
        <v>308</v>
      </c>
      <c r="F179" s="17" t="s">
        <v>64</v>
      </c>
      <c r="G179" s="75">
        <f>G177</f>
        <v>0</v>
      </c>
      <c r="H179" s="76">
        <f>H177*(1+Settings!$C$9)</f>
        <v>0</v>
      </c>
      <c r="I179" s="76">
        <f t="shared" si="21"/>
        <v>0</v>
      </c>
      <c r="J179" s="77">
        <f>J177</f>
        <v>0</v>
      </c>
      <c r="K179" s="51">
        <f>K177</f>
        <v>1</v>
      </c>
      <c r="L179" s="52">
        <f t="shared" si="22"/>
        <v>0</v>
      </c>
      <c r="M179" s="51">
        <f t="shared" si="23"/>
        <v>0</v>
      </c>
      <c r="N179" s="78">
        <f t="shared" si="24"/>
        <v>0</v>
      </c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  <c r="AG179" s="79"/>
      <c r="AH179" s="79"/>
      <c r="AI179" s="79"/>
      <c r="AJ179" s="79"/>
      <c r="AK179" s="79"/>
      <c r="AL179" s="79"/>
      <c r="AM179" s="79"/>
      <c r="AN179" s="79"/>
      <c r="AO179" s="79"/>
      <c r="AP179" s="79"/>
      <c r="AQ179" s="79"/>
      <c r="AR179" s="79"/>
      <c r="AS179" s="79"/>
      <c r="AT179" s="79"/>
      <c r="AU179" s="79"/>
      <c r="AV179" s="79"/>
      <c r="AW179" s="79"/>
      <c r="AX179" s="79"/>
    </row>
    <row r="180" spans="1:50" outlineLevel="1">
      <c r="A180" s="71" t="s">
        <v>455</v>
      </c>
      <c r="B180" s="72" t="s">
        <v>456</v>
      </c>
      <c r="C180" s="73"/>
      <c r="D180" s="94" t="s">
        <v>292</v>
      </c>
      <c r="E180" s="74" t="s">
        <v>308</v>
      </c>
      <c r="F180" s="17" t="s">
        <v>65</v>
      </c>
      <c r="G180" s="95"/>
      <c r="H180" s="96"/>
      <c r="I180" s="76">
        <f t="shared" si="21"/>
        <v>0</v>
      </c>
      <c r="J180" s="77">
        <f>J177</f>
        <v>0</v>
      </c>
      <c r="K180" s="45">
        <v>1</v>
      </c>
      <c r="L180" s="52">
        <f t="shared" si="22"/>
        <v>0</v>
      </c>
      <c r="M180" s="51">
        <f t="shared" si="23"/>
        <v>0</v>
      </c>
      <c r="N180" s="78">
        <f t="shared" si="24"/>
        <v>0</v>
      </c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  <c r="AG180" s="79"/>
      <c r="AH180" s="79"/>
      <c r="AI180" s="79"/>
      <c r="AJ180" s="79"/>
      <c r="AK180" s="79"/>
      <c r="AL180" s="79"/>
      <c r="AM180" s="79"/>
      <c r="AN180" s="79"/>
      <c r="AO180" s="79"/>
      <c r="AP180" s="79"/>
      <c r="AQ180" s="79"/>
      <c r="AR180" s="79"/>
      <c r="AS180" s="79"/>
      <c r="AT180" s="79"/>
      <c r="AU180" s="79"/>
      <c r="AV180" s="79"/>
      <c r="AW180" s="79"/>
      <c r="AX180" s="79"/>
    </row>
    <row r="181" spans="1:50">
      <c r="A181" s="83" t="s">
        <v>455</v>
      </c>
      <c r="B181" s="97" t="s">
        <v>456</v>
      </c>
      <c r="C181" s="84"/>
      <c r="D181" s="98" t="s">
        <v>292</v>
      </c>
      <c r="E181" s="86" t="s">
        <v>308</v>
      </c>
      <c r="F181" s="16" t="s">
        <v>179</v>
      </c>
      <c r="G181" s="87">
        <f>CHOOSE(IF(OR($C$3="Expert input",$I$177=0),4,IF($C$3="+25%",2,IF($C$3="+50%",3,1))),G177,G178,G179,G180)</f>
        <v>0</v>
      </c>
      <c r="H181" s="88">
        <f>CHOOSE(IF(OR($C$3="Expert input",$I$177=0),4,IF($C$3="+25%",2,IF($C$3="+50%",3,1))),H177,H178,H179,H180)</f>
        <v>0</v>
      </c>
      <c r="I181" s="88">
        <f t="shared" si="21"/>
        <v>0</v>
      </c>
      <c r="J181" s="54">
        <f>J177</f>
        <v>0</v>
      </c>
      <c r="K181" s="53">
        <f>CHOOSE(IF(OR($C$3="Expert input",$I$177=0),4,IF($C$3="+25%",2,IF($C$3="+50%",3,1))),K177,K178,K179,K180)</f>
        <v>1</v>
      </c>
      <c r="L181" s="54">
        <f t="shared" si="22"/>
        <v>0</v>
      </c>
      <c r="M181" s="53">
        <f t="shared" si="23"/>
        <v>0</v>
      </c>
      <c r="N181" s="54">
        <f t="shared" si="24"/>
        <v>0</v>
      </c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89">
        <f>O181*$M181</f>
        <v>0</v>
      </c>
      <c r="AB181" s="90">
        <f>O181*$N181</f>
        <v>0</v>
      </c>
      <c r="AC181" s="89">
        <f>P181*$M181</f>
        <v>0</v>
      </c>
      <c r="AD181" s="90">
        <f>P181*$N181</f>
        <v>0</v>
      </c>
      <c r="AE181" s="89">
        <f>Q181*$M181</f>
        <v>0</v>
      </c>
      <c r="AF181" s="90">
        <f>Q181*$N181</f>
        <v>0</v>
      </c>
      <c r="AG181" s="89">
        <f>R181*$M181</f>
        <v>0</v>
      </c>
      <c r="AH181" s="90">
        <f>R181*$N181</f>
        <v>0</v>
      </c>
      <c r="AI181" s="89">
        <f>S181*$M181</f>
        <v>0</v>
      </c>
      <c r="AJ181" s="90">
        <f>S181*$N181</f>
        <v>0</v>
      </c>
      <c r="AK181" s="89">
        <f>T181*$M181</f>
        <v>0</v>
      </c>
      <c r="AL181" s="90">
        <f>T181*$N181</f>
        <v>0</v>
      </c>
      <c r="AM181" s="89">
        <f>U181*$M181</f>
        <v>0</v>
      </c>
      <c r="AN181" s="90">
        <f>U181*$N181</f>
        <v>0</v>
      </c>
      <c r="AO181" s="89">
        <f>V181*$M181</f>
        <v>0</v>
      </c>
      <c r="AP181" s="90">
        <f>V181*$N181</f>
        <v>0</v>
      </c>
      <c r="AQ181" s="89">
        <f>W181*$M181</f>
        <v>0</v>
      </c>
      <c r="AR181" s="90">
        <f>W181*$N181</f>
        <v>0</v>
      </c>
      <c r="AS181" s="89">
        <f>X181*$M181</f>
        <v>0</v>
      </c>
      <c r="AT181" s="90">
        <f>X181*$N181</f>
        <v>0</v>
      </c>
      <c r="AU181" s="89">
        <f>Y181*$M181</f>
        <v>0</v>
      </c>
      <c r="AV181" s="90">
        <f>Y181*$N181</f>
        <v>0</v>
      </c>
      <c r="AW181" s="89">
        <f>Z181*$M181</f>
        <v>0</v>
      </c>
      <c r="AX181" s="90">
        <f>Z181*$N181</f>
        <v>0</v>
      </c>
    </row>
    <row r="182" spans="1:50" outlineLevel="1">
      <c r="A182" s="58" t="s">
        <v>457</v>
      </c>
      <c r="B182" s="92" t="s">
        <v>458</v>
      </c>
      <c r="C182" s="60"/>
      <c r="D182" s="93" t="s">
        <v>292</v>
      </c>
      <c r="E182" s="62" t="s">
        <v>109</v>
      </c>
      <c r="F182" s="59" t="s">
        <v>62</v>
      </c>
      <c r="G182" s="63">
        <f>IFERROR(INDEX('Benchmark Data'!$AC$7:$AC$130,MATCH($A182,'Benchmark Data'!$A$7:$A$130,0)),0)</f>
        <v>0</v>
      </c>
      <c r="H182" s="64">
        <f>IFERROR(INDEX('Benchmark Data'!$AD$7:$AD$130,MATCH($A182,'Benchmark Data'!$A$7:$A$130,0)),0)</f>
        <v>0</v>
      </c>
      <c r="I182" s="65">
        <f t="shared" si="21"/>
        <v>0</v>
      </c>
      <c r="J182" s="66">
        <f>$E$7</f>
        <v>0</v>
      </c>
      <c r="K182" s="29">
        <f>IFERROR(INDEX('Benchmark Data'!$AE$7:$AE$130,MATCH($A182,'Benchmark Data'!$A$7:$A$130,0)),0)</f>
        <v>1</v>
      </c>
      <c r="L182" s="67">
        <f t="shared" si="22"/>
        <v>0</v>
      </c>
      <c r="M182" s="68">
        <f t="shared" si="23"/>
        <v>0</v>
      </c>
      <c r="N182" s="69">
        <f t="shared" si="24"/>
        <v>0</v>
      </c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0"/>
      <c r="AX182" s="70"/>
    </row>
    <row r="183" spans="1:50" outlineLevel="1">
      <c r="A183" s="71" t="s">
        <v>457</v>
      </c>
      <c r="B183" s="72" t="s">
        <v>458</v>
      </c>
      <c r="C183" s="73"/>
      <c r="D183" s="94" t="s">
        <v>292</v>
      </c>
      <c r="E183" s="74" t="s">
        <v>109</v>
      </c>
      <c r="F183" s="17" t="s">
        <v>63</v>
      </c>
      <c r="G183" s="75">
        <f>G182</f>
        <v>0</v>
      </c>
      <c r="H183" s="76">
        <f>H182*(1+Settings!$C$8)</f>
        <v>0</v>
      </c>
      <c r="I183" s="76">
        <f t="shared" si="21"/>
        <v>0</v>
      </c>
      <c r="J183" s="77">
        <f>J182</f>
        <v>0</v>
      </c>
      <c r="K183" s="51">
        <f>K182</f>
        <v>1</v>
      </c>
      <c r="L183" s="52">
        <f t="shared" si="22"/>
        <v>0</v>
      </c>
      <c r="M183" s="51">
        <f t="shared" si="23"/>
        <v>0</v>
      </c>
      <c r="N183" s="78">
        <f t="shared" si="24"/>
        <v>0</v>
      </c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  <c r="AG183" s="79"/>
      <c r="AH183" s="79"/>
      <c r="AI183" s="79"/>
      <c r="AJ183" s="79"/>
      <c r="AK183" s="79"/>
      <c r="AL183" s="79"/>
      <c r="AM183" s="79"/>
      <c r="AN183" s="79"/>
      <c r="AO183" s="79"/>
      <c r="AP183" s="79"/>
      <c r="AQ183" s="79"/>
      <c r="AR183" s="79"/>
      <c r="AS183" s="79"/>
      <c r="AT183" s="79"/>
      <c r="AU183" s="79"/>
      <c r="AV183" s="79"/>
      <c r="AW183" s="79"/>
      <c r="AX183" s="79"/>
    </row>
    <row r="184" spans="1:50" outlineLevel="1">
      <c r="A184" s="71" t="s">
        <v>457</v>
      </c>
      <c r="B184" s="72" t="s">
        <v>458</v>
      </c>
      <c r="C184" s="73"/>
      <c r="D184" s="94" t="s">
        <v>292</v>
      </c>
      <c r="E184" s="74" t="s">
        <v>109</v>
      </c>
      <c r="F184" s="17" t="s">
        <v>64</v>
      </c>
      <c r="G184" s="75">
        <f>G182</f>
        <v>0</v>
      </c>
      <c r="H184" s="76">
        <f>H182*(1+Settings!$C$9)</f>
        <v>0</v>
      </c>
      <c r="I184" s="76">
        <f t="shared" si="21"/>
        <v>0</v>
      </c>
      <c r="J184" s="77">
        <f>J182</f>
        <v>0</v>
      </c>
      <c r="K184" s="51">
        <f>K182</f>
        <v>1</v>
      </c>
      <c r="L184" s="52">
        <f t="shared" si="22"/>
        <v>0</v>
      </c>
      <c r="M184" s="51">
        <f t="shared" si="23"/>
        <v>0</v>
      </c>
      <c r="N184" s="78">
        <f t="shared" si="24"/>
        <v>0</v>
      </c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  <c r="AG184" s="79"/>
      <c r="AH184" s="79"/>
      <c r="AI184" s="79"/>
      <c r="AJ184" s="79"/>
      <c r="AK184" s="79"/>
      <c r="AL184" s="79"/>
      <c r="AM184" s="79"/>
      <c r="AN184" s="79"/>
      <c r="AO184" s="79"/>
      <c r="AP184" s="79"/>
      <c r="AQ184" s="79"/>
      <c r="AR184" s="79"/>
      <c r="AS184" s="79"/>
      <c r="AT184" s="79"/>
      <c r="AU184" s="79"/>
      <c r="AV184" s="79"/>
      <c r="AW184" s="79"/>
      <c r="AX184" s="79"/>
    </row>
    <row r="185" spans="1:50" outlineLevel="1">
      <c r="A185" s="71" t="s">
        <v>457</v>
      </c>
      <c r="B185" s="72" t="s">
        <v>458</v>
      </c>
      <c r="C185" s="73"/>
      <c r="D185" s="94" t="s">
        <v>292</v>
      </c>
      <c r="E185" s="74" t="s">
        <v>109</v>
      </c>
      <c r="F185" s="17" t="s">
        <v>65</v>
      </c>
      <c r="G185" s="95"/>
      <c r="H185" s="96"/>
      <c r="I185" s="76">
        <f t="shared" si="21"/>
        <v>0</v>
      </c>
      <c r="J185" s="77">
        <f>J182</f>
        <v>0</v>
      </c>
      <c r="K185" s="45">
        <v>1</v>
      </c>
      <c r="L185" s="52">
        <f t="shared" si="22"/>
        <v>0</v>
      </c>
      <c r="M185" s="51">
        <f t="shared" si="23"/>
        <v>0</v>
      </c>
      <c r="N185" s="78">
        <f t="shared" si="24"/>
        <v>0</v>
      </c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  <c r="AG185" s="79"/>
      <c r="AH185" s="79"/>
      <c r="AI185" s="79"/>
      <c r="AJ185" s="79"/>
      <c r="AK185" s="79"/>
      <c r="AL185" s="79"/>
      <c r="AM185" s="79"/>
      <c r="AN185" s="79"/>
      <c r="AO185" s="79"/>
      <c r="AP185" s="79"/>
      <c r="AQ185" s="79"/>
      <c r="AR185" s="79"/>
      <c r="AS185" s="79"/>
      <c r="AT185" s="79"/>
      <c r="AU185" s="79"/>
      <c r="AV185" s="79"/>
      <c r="AW185" s="79"/>
      <c r="AX185" s="79"/>
    </row>
    <row r="186" spans="1:50">
      <c r="A186" s="83" t="s">
        <v>457</v>
      </c>
      <c r="B186" s="97" t="s">
        <v>458</v>
      </c>
      <c r="C186" s="84"/>
      <c r="D186" s="98" t="s">
        <v>292</v>
      </c>
      <c r="E186" s="86" t="s">
        <v>109</v>
      </c>
      <c r="F186" s="16" t="s">
        <v>179</v>
      </c>
      <c r="G186" s="87">
        <f>CHOOSE(IF(OR($C$3="Expert input",$I$182=0),4,IF($C$3="+25%",2,IF($C$3="+50%",3,1))),G182,G183,G184,G185)</f>
        <v>0</v>
      </c>
      <c r="H186" s="88">
        <f>CHOOSE(IF(OR($C$3="Expert input",$I$182=0),4,IF($C$3="+25%",2,IF($C$3="+50%",3,1))),H182,H183,H184,H185)</f>
        <v>0</v>
      </c>
      <c r="I186" s="88">
        <f t="shared" si="21"/>
        <v>0</v>
      </c>
      <c r="J186" s="54">
        <f>J182</f>
        <v>0</v>
      </c>
      <c r="K186" s="53">
        <f>CHOOSE(IF(OR($C$3="Expert input",$I$182=0),4,IF($C$3="+25%",2,IF($C$3="+50%",3,1))),K182,K183,K184,K185)</f>
        <v>1</v>
      </c>
      <c r="L186" s="54">
        <f t="shared" si="22"/>
        <v>0</v>
      </c>
      <c r="M186" s="53">
        <f t="shared" si="23"/>
        <v>0</v>
      </c>
      <c r="N186" s="54">
        <f t="shared" si="24"/>
        <v>0</v>
      </c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89">
        <f>O186*$M186</f>
        <v>0</v>
      </c>
      <c r="AB186" s="90">
        <f>O186*$N186</f>
        <v>0</v>
      </c>
      <c r="AC186" s="89">
        <f>P186*$M186</f>
        <v>0</v>
      </c>
      <c r="AD186" s="90">
        <f>P186*$N186</f>
        <v>0</v>
      </c>
      <c r="AE186" s="89">
        <f>Q186*$M186</f>
        <v>0</v>
      </c>
      <c r="AF186" s="90">
        <f>Q186*$N186</f>
        <v>0</v>
      </c>
      <c r="AG186" s="89">
        <f>R186*$M186</f>
        <v>0</v>
      </c>
      <c r="AH186" s="90">
        <f>R186*$N186</f>
        <v>0</v>
      </c>
      <c r="AI186" s="89">
        <f>S186*$M186</f>
        <v>0</v>
      </c>
      <c r="AJ186" s="90">
        <f>S186*$N186</f>
        <v>0</v>
      </c>
      <c r="AK186" s="89">
        <f>T186*$M186</f>
        <v>0</v>
      </c>
      <c r="AL186" s="90">
        <f>T186*$N186</f>
        <v>0</v>
      </c>
      <c r="AM186" s="89">
        <f>U186*$M186</f>
        <v>0</v>
      </c>
      <c r="AN186" s="90">
        <f>U186*$N186</f>
        <v>0</v>
      </c>
      <c r="AO186" s="89">
        <f>V186*$M186</f>
        <v>0</v>
      </c>
      <c r="AP186" s="90">
        <f>V186*$N186</f>
        <v>0</v>
      </c>
      <c r="AQ186" s="89">
        <f>W186*$M186</f>
        <v>0</v>
      </c>
      <c r="AR186" s="90">
        <f>W186*$N186</f>
        <v>0</v>
      </c>
      <c r="AS186" s="89">
        <f>X186*$M186</f>
        <v>0</v>
      </c>
      <c r="AT186" s="90">
        <f>X186*$N186</f>
        <v>0</v>
      </c>
      <c r="AU186" s="89">
        <f>Y186*$M186</f>
        <v>0</v>
      </c>
      <c r="AV186" s="90">
        <f>Y186*$N186</f>
        <v>0</v>
      </c>
      <c r="AW186" s="89">
        <f>Z186*$M186</f>
        <v>0</v>
      </c>
      <c r="AX186" s="90">
        <f>Z186*$N186</f>
        <v>0</v>
      </c>
    </row>
    <row r="187" spans="1:50" outlineLevel="1">
      <c r="A187" s="58" t="s">
        <v>459</v>
      </c>
      <c r="B187" s="92" t="s">
        <v>460</v>
      </c>
      <c r="C187" s="60"/>
      <c r="D187" s="93" t="s">
        <v>292</v>
      </c>
      <c r="E187" s="62" t="s">
        <v>461</v>
      </c>
      <c r="F187" s="59" t="s">
        <v>62</v>
      </c>
      <c r="G187" s="63">
        <f>IFERROR(INDEX('Benchmark Data'!$AC$7:$AC$130,MATCH($A187,'Benchmark Data'!$A$7:$A$130,0)),0)</f>
        <v>0</v>
      </c>
      <c r="H187" s="64">
        <f>IFERROR(INDEX('Benchmark Data'!$AD$7:$AD$130,MATCH($A187,'Benchmark Data'!$A$7:$A$130,0)),0)</f>
        <v>0</v>
      </c>
      <c r="I187" s="65">
        <f t="shared" si="21"/>
        <v>0</v>
      </c>
      <c r="J187" s="91"/>
      <c r="K187" s="29">
        <f>IFERROR(INDEX('Benchmark Data'!$AE$7:$AE$130,MATCH($A187,'Benchmark Data'!$A$7:$A$130,0)),0)</f>
        <v>1</v>
      </c>
      <c r="L187" s="67">
        <f t="shared" si="22"/>
        <v>0</v>
      </c>
      <c r="M187" s="68">
        <f t="shared" si="23"/>
        <v>0</v>
      </c>
      <c r="N187" s="69">
        <f t="shared" si="24"/>
        <v>0</v>
      </c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0"/>
      <c r="AX187" s="70"/>
    </row>
    <row r="188" spans="1:50" outlineLevel="1">
      <c r="A188" s="71" t="s">
        <v>459</v>
      </c>
      <c r="B188" s="72" t="s">
        <v>460</v>
      </c>
      <c r="C188" s="73"/>
      <c r="D188" s="94" t="s">
        <v>292</v>
      </c>
      <c r="E188" s="74" t="s">
        <v>461</v>
      </c>
      <c r="F188" s="17" t="s">
        <v>63</v>
      </c>
      <c r="G188" s="75">
        <f>G187</f>
        <v>0</v>
      </c>
      <c r="H188" s="76">
        <f>H187*(1+Settings!$C$8)</f>
        <v>0</v>
      </c>
      <c r="I188" s="76">
        <f t="shared" si="21"/>
        <v>0</v>
      </c>
      <c r="J188" s="77">
        <f>J187</f>
        <v>0</v>
      </c>
      <c r="K188" s="51">
        <f>K187</f>
        <v>1</v>
      </c>
      <c r="L188" s="52">
        <f t="shared" si="22"/>
        <v>0</v>
      </c>
      <c r="M188" s="51">
        <f t="shared" si="23"/>
        <v>0</v>
      </c>
      <c r="N188" s="78">
        <f t="shared" si="24"/>
        <v>0</v>
      </c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  <c r="AG188" s="79"/>
      <c r="AH188" s="79"/>
      <c r="AI188" s="79"/>
      <c r="AJ188" s="79"/>
      <c r="AK188" s="79"/>
      <c r="AL188" s="79"/>
      <c r="AM188" s="79"/>
      <c r="AN188" s="79"/>
      <c r="AO188" s="79"/>
      <c r="AP188" s="79"/>
      <c r="AQ188" s="79"/>
      <c r="AR188" s="79"/>
      <c r="AS188" s="79"/>
      <c r="AT188" s="79"/>
      <c r="AU188" s="79"/>
      <c r="AV188" s="79"/>
      <c r="AW188" s="79"/>
      <c r="AX188" s="79"/>
    </row>
    <row r="189" spans="1:50" outlineLevel="1">
      <c r="A189" s="71" t="s">
        <v>459</v>
      </c>
      <c r="B189" s="72" t="s">
        <v>460</v>
      </c>
      <c r="C189" s="73"/>
      <c r="D189" s="94" t="s">
        <v>292</v>
      </c>
      <c r="E189" s="74" t="s">
        <v>461</v>
      </c>
      <c r="F189" s="17" t="s">
        <v>64</v>
      </c>
      <c r="G189" s="75">
        <f>G187</f>
        <v>0</v>
      </c>
      <c r="H189" s="76">
        <f>H187*(1+Settings!$C$9)</f>
        <v>0</v>
      </c>
      <c r="I189" s="76">
        <f t="shared" si="21"/>
        <v>0</v>
      </c>
      <c r="J189" s="77">
        <f>J187</f>
        <v>0</v>
      </c>
      <c r="K189" s="51">
        <f>K187</f>
        <v>1</v>
      </c>
      <c r="L189" s="52">
        <f t="shared" si="22"/>
        <v>0</v>
      </c>
      <c r="M189" s="51">
        <f t="shared" si="23"/>
        <v>0</v>
      </c>
      <c r="N189" s="78">
        <f t="shared" si="24"/>
        <v>0</v>
      </c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  <c r="AG189" s="79"/>
      <c r="AH189" s="79"/>
      <c r="AI189" s="79"/>
      <c r="AJ189" s="79"/>
      <c r="AK189" s="79"/>
      <c r="AL189" s="79"/>
      <c r="AM189" s="79"/>
      <c r="AN189" s="79"/>
      <c r="AO189" s="79"/>
      <c r="AP189" s="79"/>
      <c r="AQ189" s="79"/>
      <c r="AR189" s="79"/>
      <c r="AS189" s="79"/>
      <c r="AT189" s="79"/>
      <c r="AU189" s="79"/>
      <c r="AV189" s="79"/>
      <c r="AW189" s="79"/>
      <c r="AX189" s="79"/>
    </row>
    <row r="190" spans="1:50" outlineLevel="1">
      <c r="A190" s="71" t="s">
        <v>459</v>
      </c>
      <c r="B190" s="72" t="s">
        <v>460</v>
      </c>
      <c r="C190" s="73"/>
      <c r="D190" s="94" t="s">
        <v>292</v>
      </c>
      <c r="E190" s="74" t="s">
        <v>461</v>
      </c>
      <c r="F190" s="17" t="s">
        <v>65</v>
      </c>
      <c r="G190" s="95"/>
      <c r="H190" s="96"/>
      <c r="I190" s="76">
        <f t="shared" si="21"/>
        <v>0</v>
      </c>
      <c r="J190" s="77">
        <f>J187</f>
        <v>0</v>
      </c>
      <c r="K190" s="45">
        <v>1</v>
      </c>
      <c r="L190" s="52">
        <f t="shared" si="22"/>
        <v>0</v>
      </c>
      <c r="M190" s="51">
        <f t="shared" si="23"/>
        <v>0</v>
      </c>
      <c r="N190" s="78">
        <f t="shared" si="24"/>
        <v>0</v>
      </c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  <c r="AG190" s="79"/>
      <c r="AH190" s="79"/>
      <c r="AI190" s="79"/>
      <c r="AJ190" s="79"/>
      <c r="AK190" s="79"/>
      <c r="AL190" s="79"/>
      <c r="AM190" s="79"/>
      <c r="AN190" s="79"/>
      <c r="AO190" s="79"/>
      <c r="AP190" s="79"/>
      <c r="AQ190" s="79"/>
      <c r="AR190" s="79"/>
      <c r="AS190" s="79"/>
      <c r="AT190" s="79"/>
      <c r="AU190" s="79"/>
      <c r="AV190" s="79"/>
      <c r="AW190" s="79"/>
      <c r="AX190" s="79"/>
    </row>
    <row r="191" spans="1:50">
      <c r="A191" s="83" t="s">
        <v>459</v>
      </c>
      <c r="B191" s="97" t="s">
        <v>460</v>
      </c>
      <c r="C191" s="84"/>
      <c r="D191" s="98" t="s">
        <v>292</v>
      </c>
      <c r="E191" s="86" t="s">
        <v>461</v>
      </c>
      <c r="F191" s="16" t="s">
        <v>179</v>
      </c>
      <c r="G191" s="87">
        <f>CHOOSE(IF(OR($C$3="Expert input",$I$187=0),4,IF($C$3="+25%",2,IF($C$3="+50%",3,1))),G187,G188,G189,G190)</f>
        <v>0</v>
      </c>
      <c r="H191" s="88">
        <f>CHOOSE(IF(OR($C$3="Expert input",$I$187=0),4,IF($C$3="+25%",2,IF($C$3="+50%",3,1))),H187,H188,H189,H190)</f>
        <v>0</v>
      </c>
      <c r="I191" s="88">
        <f t="shared" si="21"/>
        <v>0</v>
      </c>
      <c r="J191" s="54">
        <f>J187</f>
        <v>0</v>
      </c>
      <c r="K191" s="53">
        <f>CHOOSE(IF(OR($C$3="Expert input",$I$187=0),4,IF($C$3="+25%",2,IF($C$3="+50%",3,1))),K187,K188,K189,K190)</f>
        <v>1</v>
      </c>
      <c r="L191" s="54">
        <f t="shared" si="22"/>
        <v>0</v>
      </c>
      <c r="M191" s="53">
        <f t="shared" si="23"/>
        <v>0</v>
      </c>
      <c r="N191" s="54">
        <f t="shared" si="24"/>
        <v>0</v>
      </c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89">
        <f>O191*$M191</f>
        <v>0</v>
      </c>
      <c r="AB191" s="90">
        <f>O191*$N191</f>
        <v>0</v>
      </c>
      <c r="AC191" s="89">
        <f>P191*$M191</f>
        <v>0</v>
      </c>
      <c r="AD191" s="90">
        <f>P191*$N191</f>
        <v>0</v>
      </c>
      <c r="AE191" s="89">
        <f>Q191*$M191</f>
        <v>0</v>
      </c>
      <c r="AF191" s="90">
        <f>Q191*$N191</f>
        <v>0</v>
      </c>
      <c r="AG191" s="89">
        <f>R191*$M191</f>
        <v>0</v>
      </c>
      <c r="AH191" s="90">
        <f>R191*$N191</f>
        <v>0</v>
      </c>
      <c r="AI191" s="89">
        <f>S191*$M191</f>
        <v>0</v>
      </c>
      <c r="AJ191" s="90">
        <f>S191*$N191</f>
        <v>0</v>
      </c>
      <c r="AK191" s="89">
        <f>T191*$M191</f>
        <v>0</v>
      </c>
      <c r="AL191" s="90">
        <f>T191*$N191</f>
        <v>0</v>
      </c>
      <c r="AM191" s="89">
        <f>U191*$M191</f>
        <v>0</v>
      </c>
      <c r="AN191" s="90">
        <f>U191*$N191</f>
        <v>0</v>
      </c>
      <c r="AO191" s="89">
        <f>V191*$M191</f>
        <v>0</v>
      </c>
      <c r="AP191" s="90">
        <f>V191*$N191</f>
        <v>0</v>
      </c>
      <c r="AQ191" s="89">
        <f>W191*$M191</f>
        <v>0</v>
      </c>
      <c r="AR191" s="90">
        <f>W191*$N191</f>
        <v>0</v>
      </c>
      <c r="AS191" s="89">
        <f>X191*$M191</f>
        <v>0</v>
      </c>
      <c r="AT191" s="90">
        <f>X191*$N191</f>
        <v>0</v>
      </c>
      <c r="AU191" s="89">
        <f>Y191*$M191</f>
        <v>0</v>
      </c>
      <c r="AV191" s="90">
        <f>Y191*$N191</f>
        <v>0</v>
      </c>
      <c r="AW191" s="89">
        <f>Z191*$M191</f>
        <v>0</v>
      </c>
      <c r="AX191" s="90">
        <f>Z191*$N191</f>
        <v>0</v>
      </c>
    </row>
  </sheetData>
  <autoFilter ref="A16:N191" xr:uid="{00000000-0009-0000-0000-000005000000}"/>
  <mergeCells count="9">
    <mergeCell ref="D3:N3"/>
    <mergeCell ref="O6:Z6"/>
    <mergeCell ref="AA6:AX6"/>
    <mergeCell ref="A15:E15"/>
    <mergeCell ref="F15:I15"/>
    <mergeCell ref="J15:K15"/>
    <mergeCell ref="L15:N15"/>
    <mergeCell ref="O15:Z15"/>
    <mergeCell ref="AA15:AX15"/>
  </mergeCells>
  <conditionalFormatting sqref="O21:Z21">
    <cfRule type="expression" dxfId="76" priority="2">
      <formula>AND($L$21&gt;0,ABS(SUM($O$21:$Z$21)-1)&gt;0.001)</formula>
    </cfRule>
  </conditionalFormatting>
  <conditionalFormatting sqref="O26:Z26">
    <cfRule type="expression" dxfId="75" priority="3">
      <formula>AND($L$26&gt;0,ABS(SUM($O$26:$Z$26)-1)&gt;0.001)</formula>
    </cfRule>
  </conditionalFormatting>
  <conditionalFormatting sqref="O31:Z31">
    <cfRule type="expression" dxfId="74" priority="4">
      <formula>AND($L$31&gt;0,ABS(SUM($O$31:$Z$31)-1)&gt;0.001)</formula>
    </cfRule>
  </conditionalFormatting>
  <conditionalFormatting sqref="O36:Z36">
    <cfRule type="expression" dxfId="73" priority="5">
      <formula>AND($L$36&gt;0,ABS(SUM($O$36:$Z$36)-1)&gt;0.001)</formula>
    </cfRule>
  </conditionalFormatting>
  <conditionalFormatting sqref="O41:Z41">
    <cfRule type="expression" dxfId="72" priority="6">
      <formula>AND($L$41&gt;0,ABS(SUM($O$41:$Z$41)-1)&gt;0.001)</formula>
    </cfRule>
  </conditionalFormatting>
  <conditionalFormatting sqref="O46:Z46">
    <cfRule type="expression" dxfId="71" priority="7">
      <formula>AND($L$46&gt;0,ABS(SUM($O$46:$Z$46)-1)&gt;0.001)</formula>
    </cfRule>
  </conditionalFormatting>
  <conditionalFormatting sqref="O51:Z51">
    <cfRule type="expression" dxfId="70" priority="8">
      <formula>AND($L$51&gt;0,ABS(SUM($O$51:$Z$51)-1)&gt;0.001)</formula>
    </cfRule>
  </conditionalFormatting>
  <conditionalFormatting sqref="O56:Z56">
    <cfRule type="expression" dxfId="69" priority="9">
      <formula>AND($L$56&gt;0,ABS(SUM($O$56:$Z$56)-1)&gt;0.001)</formula>
    </cfRule>
  </conditionalFormatting>
  <conditionalFormatting sqref="O61:Z61">
    <cfRule type="expression" dxfId="68" priority="10">
      <formula>AND($L$61&gt;0,ABS(SUM($O$61:$Z$61)-1)&gt;0.001)</formula>
    </cfRule>
  </conditionalFormatting>
  <conditionalFormatting sqref="O66:Z66">
    <cfRule type="expression" dxfId="67" priority="11">
      <formula>AND($L$66&gt;0,ABS(SUM($O$66:$Z$66)-1)&gt;0.001)</formula>
    </cfRule>
  </conditionalFormatting>
  <conditionalFormatting sqref="O71:Z71">
    <cfRule type="expression" dxfId="66" priority="12">
      <formula>AND($L$71&gt;0,ABS(SUM($O$71:$Z$71)-1)&gt;0.001)</formula>
    </cfRule>
  </conditionalFormatting>
  <conditionalFormatting sqref="O76:Z76">
    <cfRule type="expression" dxfId="65" priority="13">
      <formula>AND($L$76&gt;0,ABS(SUM($O$76:$Z$76)-1)&gt;0.001)</formula>
    </cfRule>
  </conditionalFormatting>
  <conditionalFormatting sqref="O81:Z81">
    <cfRule type="expression" dxfId="64" priority="14">
      <formula>AND($L$81&gt;0,ABS(SUM($O$81:$Z$81)-1)&gt;0.001)</formula>
    </cfRule>
  </conditionalFormatting>
  <conditionalFormatting sqref="O86:Z86">
    <cfRule type="expression" dxfId="63" priority="15">
      <formula>AND($L$86&gt;0,ABS(SUM($O$86:$Z$86)-1)&gt;0.001)</formula>
    </cfRule>
  </conditionalFormatting>
  <conditionalFormatting sqref="O91:Z91">
    <cfRule type="expression" dxfId="62" priority="16">
      <formula>AND($L$91&gt;0,ABS(SUM($O$91:$Z$91)-1)&gt;0.001)</formula>
    </cfRule>
  </conditionalFormatting>
  <conditionalFormatting sqref="O96:Z96">
    <cfRule type="expression" dxfId="61" priority="17">
      <formula>AND($L$96&gt;0,ABS(SUM($O$96:$Z$96)-1)&gt;0.001)</formula>
    </cfRule>
  </conditionalFormatting>
  <conditionalFormatting sqref="O101:Z101">
    <cfRule type="expression" dxfId="60" priority="18">
      <formula>AND($L$101&gt;0,ABS(SUM($O$101:$Z$101)-1)&gt;0.001)</formula>
    </cfRule>
  </conditionalFormatting>
  <conditionalFormatting sqref="O106:Z106">
    <cfRule type="expression" dxfId="59" priority="19">
      <formula>AND($L$106&gt;0,ABS(SUM($O$106:$Z$106)-1)&gt;0.001)</formula>
    </cfRule>
  </conditionalFormatting>
  <conditionalFormatting sqref="O111:Z111">
    <cfRule type="expression" dxfId="58" priority="20">
      <formula>AND($L$111&gt;0,ABS(SUM($O$111:$Z$111)-1)&gt;0.001)</formula>
    </cfRule>
  </conditionalFormatting>
  <conditionalFormatting sqref="O116:Z116">
    <cfRule type="expression" dxfId="57" priority="21">
      <formula>AND($L$116&gt;0,ABS(SUM($O$116:$Z$116)-1)&gt;0.001)</formula>
    </cfRule>
  </conditionalFormatting>
  <conditionalFormatting sqref="O121:Z121">
    <cfRule type="expression" dxfId="56" priority="22">
      <formula>AND($L$121&gt;0,ABS(SUM($O$121:$Z$121)-1)&gt;0.001)</formula>
    </cfRule>
  </conditionalFormatting>
  <conditionalFormatting sqref="O126:Z126">
    <cfRule type="expression" dxfId="55" priority="23">
      <formula>AND($L$126&gt;0,ABS(SUM($O$126:$Z$126)-1)&gt;0.001)</formula>
    </cfRule>
  </conditionalFormatting>
  <conditionalFormatting sqref="O131:Z131">
    <cfRule type="expression" dxfId="54" priority="24">
      <formula>AND($L$131&gt;0,ABS(SUM($O$131:$Z$131)-1)&gt;0.001)</formula>
    </cfRule>
  </conditionalFormatting>
  <conditionalFormatting sqref="O136:Z136">
    <cfRule type="expression" dxfId="53" priority="25">
      <formula>AND($L$136&gt;0,ABS(SUM($O$136:$Z$136)-1)&gt;0.001)</formula>
    </cfRule>
  </conditionalFormatting>
  <conditionalFormatting sqref="O141:Z141">
    <cfRule type="expression" dxfId="52" priority="26">
      <formula>AND($L$141&gt;0,ABS(SUM($O$141:$Z$141)-1)&gt;0.001)</formula>
    </cfRule>
  </conditionalFormatting>
  <conditionalFormatting sqref="O146:Z146">
    <cfRule type="expression" dxfId="51" priority="27">
      <formula>AND($L$146&gt;0,ABS(SUM($O$146:$Z$146)-1)&gt;0.001)</formula>
    </cfRule>
  </conditionalFormatting>
  <conditionalFormatting sqref="O151:Z151">
    <cfRule type="expression" dxfId="50" priority="28">
      <formula>AND($L$151&gt;0,ABS(SUM($O$151:$Z$151)-1)&gt;0.001)</formula>
    </cfRule>
  </conditionalFormatting>
  <conditionalFormatting sqref="O156:Z156">
    <cfRule type="expression" dxfId="49" priority="29">
      <formula>AND($L$156&gt;0,ABS(SUM($O$156:$Z$156)-1)&gt;0.001)</formula>
    </cfRule>
  </conditionalFormatting>
  <conditionalFormatting sqref="O161:Z161">
    <cfRule type="expression" dxfId="48" priority="30">
      <formula>AND($L$161&gt;0,ABS(SUM($O$161:$Z$161)-1)&gt;0.001)</formula>
    </cfRule>
  </conditionalFormatting>
  <conditionalFormatting sqref="O166:Z166">
    <cfRule type="expression" dxfId="47" priority="31">
      <formula>AND($L$166&gt;0,ABS(SUM($O$166:$Z$166)-1)&gt;0.001)</formula>
    </cfRule>
  </conditionalFormatting>
  <conditionalFormatting sqref="O171:Z171">
    <cfRule type="expression" dxfId="46" priority="32">
      <formula>AND($L$171&gt;0,ABS(SUM($O$171:$Z$171)-1)&gt;0.001)</formula>
    </cfRule>
  </conditionalFormatting>
  <conditionalFormatting sqref="O176:Z176">
    <cfRule type="expression" dxfId="45" priority="33">
      <formula>AND($L$176&gt;0,ABS(SUM($O$176:$Z$176)-1)&gt;0.001)</formula>
    </cfRule>
  </conditionalFormatting>
  <conditionalFormatting sqref="O181:Z181">
    <cfRule type="expression" dxfId="44" priority="34">
      <formula>AND($L$181&gt;0,ABS(SUM($O$181:$Z$181)-1)&gt;0.001)</formula>
    </cfRule>
  </conditionalFormatting>
  <conditionalFormatting sqref="O186:Z186">
    <cfRule type="expression" dxfId="43" priority="35">
      <formula>AND($L$186&gt;0,ABS(SUM($O$186:$Z$186)-1)&gt;0.001)</formula>
    </cfRule>
  </conditionalFormatting>
  <conditionalFormatting sqref="O191:Z191">
    <cfRule type="expression" dxfId="42" priority="36">
      <formula>AND($L$191&gt;0,ABS(SUM($O$191:$Z$191)-1)&gt;0.001)</formula>
    </cfRule>
  </conditionalFormatting>
  <dataValidations count="1">
    <dataValidation type="list" sqref="C3" xr:uid="{00000000-0002-0000-0500-000000000000}">
      <formula1>"Industry average,+25%,+50%,Expert input"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  <pageSetUpPr fitToPage="1"/>
  </sheetPr>
  <dimension ref="A1:AX81"/>
  <sheetViews>
    <sheetView showGridLines="0" zoomScale="90" zoomScaleNormal="9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/>
    </sheetView>
  </sheetViews>
  <sheetFormatPr defaultColWidth="8.6640625" defaultRowHeight="14.4" outlineLevelRow="1"/>
  <cols>
    <col min="1" max="1" width="7" customWidth="1"/>
    <col min="2" max="2" width="36" customWidth="1"/>
    <col min="3" max="3" width="24" customWidth="1"/>
    <col min="4" max="4" width="17" customWidth="1"/>
    <col min="5" max="5" width="11" customWidth="1"/>
    <col min="6" max="6" width="26" customWidth="1"/>
    <col min="7" max="9" width="10" customWidth="1"/>
    <col min="10" max="10" width="12" customWidth="1"/>
    <col min="11" max="11" width="10" customWidth="1"/>
    <col min="12" max="13" width="11" customWidth="1"/>
    <col min="14" max="14" width="13" customWidth="1"/>
    <col min="15" max="26" width="7.44140625" customWidth="1"/>
    <col min="27" max="50" width="10" customWidth="1"/>
  </cols>
  <sheetData>
    <row r="1" spans="1:50" ht="17.399999999999999">
      <c r="A1" s="8" t="s">
        <v>462</v>
      </c>
    </row>
    <row r="2" spans="1:50">
      <c r="A2" s="9" t="str">
        <f>"Farm: "&amp;Settings!$C$6&amp;"     |     Plan year: "&amp;Settings!$C$7</f>
        <v>Farm: Chaka Buna Estate (Silva Forest Coffee)     |     Plan year: 2019 EFY (2026/27) – confirm</v>
      </c>
    </row>
    <row r="3" spans="1:50" ht="21.75" customHeight="1">
      <c r="B3" s="46" t="s">
        <v>99</v>
      </c>
      <c r="C3" s="47" t="s">
        <v>62</v>
      </c>
      <c r="D3" s="3" t="s">
        <v>100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5" spans="1:50">
      <c r="B5" s="48" t="s">
        <v>101</v>
      </c>
      <c r="F5" s="48" t="s">
        <v>102</v>
      </c>
    </row>
    <row r="6" spans="1:50" ht="23.85" customHeight="1">
      <c r="B6" s="18" t="s">
        <v>56</v>
      </c>
      <c r="C6" s="18" t="s">
        <v>55</v>
      </c>
      <c r="D6" s="18" t="s">
        <v>57</v>
      </c>
      <c r="E6" s="18" t="s">
        <v>58</v>
      </c>
      <c r="F6" s="18" t="s">
        <v>103</v>
      </c>
      <c r="M6" s="18" t="s">
        <v>60</v>
      </c>
      <c r="N6" s="18" t="s">
        <v>104</v>
      </c>
      <c r="O6" s="2" t="s">
        <v>105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 t="s">
        <v>106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0">
      <c r="B7" s="17" t="s">
        <v>351</v>
      </c>
      <c r="C7" s="49" t="s">
        <v>352</v>
      </c>
      <c r="D7" s="50" t="s">
        <v>109</v>
      </c>
      <c r="E7" s="45"/>
      <c r="F7" s="17" t="s">
        <v>62</v>
      </c>
      <c r="M7" s="51">
        <f>SUMIF($F$17:$F$81,"Industry average",M$17:M$81)</f>
        <v>0</v>
      </c>
      <c r="N7" s="52">
        <f>SUMIF($F$17:$F$81,"Industry average",N$17:N$81)</f>
        <v>0</v>
      </c>
    </row>
    <row r="8" spans="1:50">
      <c r="B8" s="17" t="s">
        <v>463</v>
      </c>
      <c r="C8" s="49" t="s">
        <v>464</v>
      </c>
      <c r="D8" s="50" t="s">
        <v>112</v>
      </c>
      <c r="E8" s="44"/>
      <c r="F8" s="17" t="s">
        <v>63</v>
      </c>
      <c r="M8" s="51">
        <f>SUMIF($F$17:$F$81,"+25%",M$17:M$81)</f>
        <v>0</v>
      </c>
      <c r="N8" s="52">
        <f>SUMIF($F$17:$F$81,"+25%",N$17:N$81)</f>
        <v>0</v>
      </c>
    </row>
    <row r="9" spans="1:50">
      <c r="B9" s="17" t="s">
        <v>465</v>
      </c>
      <c r="C9" s="49" t="s">
        <v>299</v>
      </c>
      <c r="D9" s="50" t="s">
        <v>300</v>
      </c>
      <c r="E9" s="52">
        <f>IFERROR($E$8/$E$7,0)</f>
        <v>0</v>
      </c>
      <c r="F9" s="17" t="s">
        <v>64</v>
      </c>
      <c r="M9" s="51">
        <f>SUMIF($F$17:$F$81,"+50%",M$17:M$81)</f>
        <v>0</v>
      </c>
      <c r="N9" s="52">
        <f>SUMIF($F$17:$F$81,"+50%",N$17:N$81)</f>
        <v>0</v>
      </c>
    </row>
    <row r="10" spans="1:50">
      <c r="F10" s="17" t="s">
        <v>65</v>
      </c>
      <c r="M10" s="51">
        <f>SUMIF($F$17:$F$81,"Expert input",M$17:M$81)</f>
        <v>0</v>
      </c>
      <c r="N10" s="52">
        <f>SUMIF($F$17:$F$81,"Expert input",N$17:N$81)</f>
        <v>0</v>
      </c>
    </row>
    <row r="11" spans="1:50">
      <c r="F11" s="16" t="s">
        <v>120</v>
      </c>
      <c r="M11" s="53">
        <f>SUMIF($F$17:$F$81,"Chaka Buna plan",M$17:M$81)</f>
        <v>0</v>
      </c>
      <c r="N11" s="54">
        <f>SUMIF($F$17:$F$81,"Chaka Buna plan",N$17:N$81)</f>
        <v>0</v>
      </c>
      <c r="O11" s="55">
        <f>IFERROR(AB11/$N$11,0)</f>
        <v>0</v>
      </c>
      <c r="P11" s="55">
        <f>IFERROR(AD11/$N$11,0)</f>
        <v>0</v>
      </c>
      <c r="Q11" s="55">
        <f>IFERROR(AF11/$N$11,0)</f>
        <v>0</v>
      </c>
      <c r="R11" s="55">
        <f>IFERROR(AH11/$N$11,0)</f>
        <v>0</v>
      </c>
      <c r="S11" s="55">
        <f>IFERROR(AJ11/$N$11,0)</f>
        <v>0</v>
      </c>
      <c r="T11" s="55">
        <f>IFERROR(AL11/$N$11,0)</f>
        <v>0</v>
      </c>
      <c r="U11" s="55">
        <f>IFERROR(AN11/$N$11,0)</f>
        <v>0</v>
      </c>
      <c r="V11" s="55">
        <f>IFERROR(AP11/$N$11,0)</f>
        <v>0</v>
      </c>
      <c r="W11" s="55">
        <f>IFERROR(AR11/$N$11,0)</f>
        <v>0</v>
      </c>
      <c r="X11" s="55">
        <f>IFERROR(AT11/$N$11,0)</f>
        <v>0</v>
      </c>
      <c r="Y11" s="55">
        <f>IFERROR(AV11/$N$11,0)</f>
        <v>0</v>
      </c>
      <c r="Z11" s="55">
        <f>IFERROR(AX11/$N$11,0)</f>
        <v>0</v>
      </c>
      <c r="AA11" s="53">
        <f t="shared" ref="AA11:AX11" si="0">SUM(AA17:AA81)</f>
        <v>0</v>
      </c>
      <c r="AB11" s="54">
        <f t="shared" si="0"/>
        <v>0</v>
      </c>
      <c r="AC11" s="53">
        <f t="shared" si="0"/>
        <v>0</v>
      </c>
      <c r="AD11" s="54">
        <f t="shared" si="0"/>
        <v>0</v>
      </c>
      <c r="AE11" s="53">
        <f t="shared" si="0"/>
        <v>0</v>
      </c>
      <c r="AF11" s="54">
        <f t="shared" si="0"/>
        <v>0</v>
      </c>
      <c r="AG11" s="53">
        <f t="shared" si="0"/>
        <v>0</v>
      </c>
      <c r="AH11" s="54">
        <f t="shared" si="0"/>
        <v>0</v>
      </c>
      <c r="AI11" s="53">
        <f t="shared" si="0"/>
        <v>0</v>
      </c>
      <c r="AJ11" s="54">
        <f t="shared" si="0"/>
        <v>0</v>
      </c>
      <c r="AK11" s="53">
        <f t="shared" si="0"/>
        <v>0</v>
      </c>
      <c r="AL11" s="54">
        <f t="shared" si="0"/>
        <v>0</v>
      </c>
      <c r="AM11" s="53">
        <f t="shared" si="0"/>
        <v>0</v>
      </c>
      <c r="AN11" s="54">
        <f t="shared" si="0"/>
        <v>0</v>
      </c>
      <c r="AO11" s="53">
        <f t="shared" si="0"/>
        <v>0</v>
      </c>
      <c r="AP11" s="54">
        <f t="shared" si="0"/>
        <v>0</v>
      </c>
      <c r="AQ11" s="53">
        <f t="shared" si="0"/>
        <v>0</v>
      </c>
      <c r="AR11" s="54">
        <f t="shared" si="0"/>
        <v>0</v>
      </c>
      <c r="AS11" s="53">
        <f t="shared" si="0"/>
        <v>0</v>
      </c>
      <c r="AT11" s="54">
        <f t="shared" si="0"/>
        <v>0</v>
      </c>
      <c r="AU11" s="53">
        <f t="shared" si="0"/>
        <v>0</v>
      </c>
      <c r="AV11" s="54">
        <f t="shared" si="0"/>
        <v>0</v>
      </c>
      <c r="AW11" s="53">
        <f t="shared" si="0"/>
        <v>0</v>
      </c>
      <c r="AX11" s="54">
        <f t="shared" si="0"/>
        <v>0</v>
      </c>
    </row>
    <row r="15" spans="1:50">
      <c r="A15" s="6" t="s">
        <v>121</v>
      </c>
      <c r="B15" s="6"/>
      <c r="C15" s="6"/>
      <c r="D15" s="6"/>
      <c r="E15" s="6"/>
      <c r="F15" s="5" t="s">
        <v>122</v>
      </c>
      <c r="G15" s="5"/>
      <c r="H15" s="5"/>
      <c r="I15" s="5"/>
      <c r="J15" s="1" t="s">
        <v>123</v>
      </c>
      <c r="K15" s="1"/>
      <c r="L15" s="4" t="s">
        <v>124</v>
      </c>
      <c r="M15" s="4"/>
      <c r="N15" s="4"/>
      <c r="O15" s="1" t="s">
        <v>125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4" t="s">
        <v>126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ht="57.75" customHeight="1">
      <c r="A16" s="56" t="s">
        <v>127</v>
      </c>
      <c r="B16" s="56" t="s">
        <v>128</v>
      </c>
      <c r="C16" s="56" t="s">
        <v>129</v>
      </c>
      <c r="D16" s="56" t="s">
        <v>130</v>
      </c>
      <c r="E16" s="56" t="s">
        <v>57</v>
      </c>
      <c r="F16" s="23" t="s">
        <v>103</v>
      </c>
      <c r="G16" s="23" t="s">
        <v>131</v>
      </c>
      <c r="H16" s="23" t="s">
        <v>132</v>
      </c>
      <c r="I16" s="23" t="s">
        <v>133</v>
      </c>
      <c r="J16" s="57" t="s">
        <v>134</v>
      </c>
      <c r="K16" s="57" t="s">
        <v>135</v>
      </c>
      <c r="L16" s="24" t="s">
        <v>136</v>
      </c>
      <c r="M16" s="24" t="s">
        <v>137</v>
      </c>
      <c r="N16" s="24" t="s">
        <v>138</v>
      </c>
      <c r="O16" s="57" t="s">
        <v>139</v>
      </c>
      <c r="P16" s="57" t="s">
        <v>140</v>
      </c>
      <c r="Q16" s="57" t="s">
        <v>141</v>
      </c>
      <c r="R16" s="57" t="s">
        <v>142</v>
      </c>
      <c r="S16" s="57" t="s">
        <v>143</v>
      </c>
      <c r="T16" s="57" t="s">
        <v>144</v>
      </c>
      <c r="U16" s="57" t="s">
        <v>145</v>
      </c>
      <c r="V16" s="57" t="s">
        <v>146</v>
      </c>
      <c r="W16" s="57" t="s">
        <v>147</v>
      </c>
      <c r="X16" s="57" t="s">
        <v>148</v>
      </c>
      <c r="Y16" s="57" t="s">
        <v>149</v>
      </c>
      <c r="Z16" s="57" t="s">
        <v>150</v>
      </c>
      <c r="AA16" s="24" t="s">
        <v>151</v>
      </c>
      <c r="AB16" s="24" t="s">
        <v>152</v>
      </c>
      <c r="AC16" s="24" t="s">
        <v>153</v>
      </c>
      <c r="AD16" s="24" t="s">
        <v>154</v>
      </c>
      <c r="AE16" s="24" t="s">
        <v>155</v>
      </c>
      <c r="AF16" s="24" t="s">
        <v>156</v>
      </c>
      <c r="AG16" s="24" t="s">
        <v>157</v>
      </c>
      <c r="AH16" s="24" t="s">
        <v>158</v>
      </c>
      <c r="AI16" s="24" t="s">
        <v>159</v>
      </c>
      <c r="AJ16" s="24" t="s">
        <v>160</v>
      </c>
      <c r="AK16" s="24" t="s">
        <v>161</v>
      </c>
      <c r="AL16" s="24" t="s">
        <v>162</v>
      </c>
      <c r="AM16" s="24" t="s">
        <v>163</v>
      </c>
      <c r="AN16" s="24" t="s">
        <v>164</v>
      </c>
      <c r="AO16" s="24" t="s">
        <v>165</v>
      </c>
      <c r="AP16" s="24" t="s">
        <v>166</v>
      </c>
      <c r="AQ16" s="24" t="s">
        <v>167</v>
      </c>
      <c r="AR16" s="24" t="s">
        <v>168</v>
      </c>
      <c r="AS16" s="24" t="s">
        <v>169</v>
      </c>
      <c r="AT16" s="24" t="s">
        <v>170</v>
      </c>
      <c r="AU16" s="24" t="s">
        <v>171</v>
      </c>
      <c r="AV16" s="24" t="s">
        <v>172</v>
      </c>
      <c r="AW16" s="24" t="s">
        <v>173</v>
      </c>
      <c r="AX16" s="24" t="s">
        <v>174</v>
      </c>
    </row>
    <row r="17" spans="1:50" outlineLevel="1">
      <c r="A17" s="58" t="s">
        <v>466</v>
      </c>
      <c r="B17" s="59" t="s">
        <v>467</v>
      </c>
      <c r="C17" s="60" t="s">
        <v>468</v>
      </c>
      <c r="D17" s="61" t="s">
        <v>178</v>
      </c>
      <c r="E17" s="62" t="s">
        <v>469</v>
      </c>
      <c r="F17" s="59" t="s">
        <v>62</v>
      </c>
      <c r="G17" s="63">
        <f>IFERROR(INDEX('Benchmark Data'!$AC$7:$AC$130,MATCH($A17,'Benchmark Data'!$A$7:$A$130,0)),0)</f>
        <v>6.1111111111111097E-3</v>
      </c>
      <c r="H17" s="64">
        <f>IFERROR(INDEX('Benchmark Data'!$AD$7:$AD$130,MATCH($A17,'Benchmark Data'!$A$7:$A$130,0)),0)</f>
        <v>106.36363636363639</v>
      </c>
      <c r="I17" s="65">
        <f t="shared" ref="I17:I48" si="1">G17*H17</f>
        <v>0.65</v>
      </c>
      <c r="J17" s="66">
        <f>$E$8</f>
        <v>0</v>
      </c>
      <c r="K17" s="29">
        <f>IFERROR(INDEX('Benchmark Data'!$AE$7:$AE$130,MATCH($A17,'Benchmark Data'!$A$7:$A$130,0)),0)</f>
        <v>1</v>
      </c>
      <c r="L17" s="67">
        <f t="shared" ref="L17:L48" si="2">J17*K17</f>
        <v>0</v>
      </c>
      <c r="M17" s="68">
        <f t="shared" ref="M17:M48" si="3">L17*G17</f>
        <v>0</v>
      </c>
      <c r="N17" s="69">
        <f t="shared" ref="N17:N48" si="4">L17*I17</f>
        <v>0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</row>
    <row r="18" spans="1:50" outlineLevel="1">
      <c r="A18" s="71" t="s">
        <v>466</v>
      </c>
      <c r="B18" s="72" t="s">
        <v>467</v>
      </c>
      <c r="C18" s="73" t="s">
        <v>468</v>
      </c>
      <c r="D18" s="71" t="s">
        <v>178</v>
      </c>
      <c r="E18" s="74" t="s">
        <v>469</v>
      </c>
      <c r="F18" s="17" t="s">
        <v>63</v>
      </c>
      <c r="G18" s="75">
        <f>G17</f>
        <v>6.1111111111111097E-3</v>
      </c>
      <c r="H18" s="76">
        <f>H17*(1+Settings!$C$8)</f>
        <v>132.9545454545455</v>
      </c>
      <c r="I18" s="76">
        <f t="shared" si="1"/>
        <v>0.81250000000000011</v>
      </c>
      <c r="J18" s="77">
        <f>J17</f>
        <v>0</v>
      </c>
      <c r="K18" s="51">
        <f>K17</f>
        <v>1</v>
      </c>
      <c r="L18" s="52">
        <f t="shared" si="2"/>
        <v>0</v>
      </c>
      <c r="M18" s="51">
        <f t="shared" si="3"/>
        <v>0</v>
      </c>
      <c r="N18" s="78">
        <f t="shared" si="4"/>
        <v>0</v>
      </c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</row>
    <row r="19" spans="1:50" outlineLevel="1">
      <c r="A19" s="71" t="s">
        <v>466</v>
      </c>
      <c r="B19" s="72" t="s">
        <v>467</v>
      </c>
      <c r="C19" s="73" t="s">
        <v>468</v>
      </c>
      <c r="D19" s="71" t="s">
        <v>178</v>
      </c>
      <c r="E19" s="74" t="s">
        <v>469</v>
      </c>
      <c r="F19" s="17" t="s">
        <v>64</v>
      </c>
      <c r="G19" s="75">
        <f>G17</f>
        <v>6.1111111111111097E-3</v>
      </c>
      <c r="H19" s="76">
        <f>H17*(1+Settings!$C$9)</f>
        <v>159.54545454545459</v>
      </c>
      <c r="I19" s="76">
        <f t="shared" si="1"/>
        <v>0.97500000000000009</v>
      </c>
      <c r="J19" s="77">
        <f>J17</f>
        <v>0</v>
      </c>
      <c r="K19" s="51">
        <f>K17</f>
        <v>1</v>
      </c>
      <c r="L19" s="52">
        <f t="shared" si="2"/>
        <v>0</v>
      </c>
      <c r="M19" s="51">
        <f t="shared" si="3"/>
        <v>0</v>
      </c>
      <c r="N19" s="78">
        <f t="shared" si="4"/>
        <v>0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</row>
    <row r="20" spans="1:50" outlineLevel="1">
      <c r="A20" s="71" t="s">
        <v>466</v>
      </c>
      <c r="B20" s="72" t="s">
        <v>467</v>
      </c>
      <c r="C20" s="73" t="s">
        <v>468</v>
      </c>
      <c r="D20" s="71" t="s">
        <v>178</v>
      </c>
      <c r="E20" s="74" t="s">
        <v>469</v>
      </c>
      <c r="F20" s="17" t="s">
        <v>65</v>
      </c>
      <c r="G20" s="80">
        <f>G17</f>
        <v>6.1111111111111097E-3</v>
      </c>
      <c r="H20" s="81">
        <f>H17</f>
        <v>106.36363636363639</v>
      </c>
      <c r="I20" s="76">
        <f t="shared" si="1"/>
        <v>0.65</v>
      </c>
      <c r="J20" s="77">
        <f>J17</f>
        <v>0</v>
      </c>
      <c r="K20" s="82">
        <f>K17</f>
        <v>1</v>
      </c>
      <c r="L20" s="52">
        <f t="shared" si="2"/>
        <v>0</v>
      </c>
      <c r="M20" s="51">
        <f t="shared" si="3"/>
        <v>0</v>
      </c>
      <c r="N20" s="78">
        <f t="shared" si="4"/>
        <v>0</v>
      </c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</row>
    <row r="21" spans="1:50">
      <c r="A21" s="83" t="s">
        <v>466</v>
      </c>
      <c r="B21" s="16" t="s">
        <v>467</v>
      </c>
      <c r="C21" s="84" t="s">
        <v>468</v>
      </c>
      <c r="D21" s="85" t="s">
        <v>178</v>
      </c>
      <c r="E21" s="86" t="s">
        <v>469</v>
      </c>
      <c r="F21" s="16" t="s">
        <v>179</v>
      </c>
      <c r="G21" s="87">
        <f>CHOOSE(IF(OR($C$3="Expert input",$I$17=0),4,IF($C$3="+25%",2,IF($C$3="+50%",3,1))),G17,G18,G19,G20)</f>
        <v>6.1111111111111097E-3</v>
      </c>
      <c r="H21" s="88">
        <f>CHOOSE(IF(OR($C$3="Expert input",$I$17=0),4,IF($C$3="+25%",2,IF($C$3="+50%",3,1))),H17,H18,H19,H20)</f>
        <v>106.36363636363639</v>
      </c>
      <c r="I21" s="88">
        <f t="shared" si="1"/>
        <v>0.65</v>
      </c>
      <c r="J21" s="54">
        <f>J17</f>
        <v>0</v>
      </c>
      <c r="K21" s="53">
        <f>CHOOSE(IF(OR($C$3="Expert input",$I$17=0),4,IF($C$3="+25%",2,IF($C$3="+50%",3,1))),K17,K18,K19,K20)</f>
        <v>1</v>
      </c>
      <c r="L21" s="54">
        <f t="shared" si="2"/>
        <v>0</v>
      </c>
      <c r="M21" s="53">
        <f t="shared" si="3"/>
        <v>0</v>
      </c>
      <c r="N21" s="54">
        <f t="shared" si="4"/>
        <v>0</v>
      </c>
      <c r="O21" s="43"/>
      <c r="P21" s="43"/>
      <c r="Q21" s="43"/>
      <c r="R21" s="43"/>
      <c r="S21" s="43"/>
      <c r="T21" s="43">
        <v>0.33</v>
      </c>
      <c r="U21" s="43">
        <v>0.5</v>
      </c>
      <c r="V21" s="43">
        <v>0.17</v>
      </c>
      <c r="W21" s="43"/>
      <c r="X21" s="43"/>
      <c r="Y21" s="43"/>
      <c r="Z21" s="43"/>
      <c r="AA21" s="89">
        <f>O21*$M21</f>
        <v>0</v>
      </c>
      <c r="AB21" s="90">
        <f>O21*$N21</f>
        <v>0</v>
      </c>
      <c r="AC21" s="89">
        <f>P21*$M21</f>
        <v>0</v>
      </c>
      <c r="AD21" s="90">
        <f>P21*$N21</f>
        <v>0</v>
      </c>
      <c r="AE21" s="89">
        <f>Q21*$M21</f>
        <v>0</v>
      </c>
      <c r="AF21" s="90">
        <f>Q21*$N21</f>
        <v>0</v>
      </c>
      <c r="AG21" s="89">
        <f>R21*$M21</f>
        <v>0</v>
      </c>
      <c r="AH21" s="90">
        <f>R21*$N21</f>
        <v>0</v>
      </c>
      <c r="AI21" s="89">
        <f>S21*$M21</f>
        <v>0</v>
      </c>
      <c r="AJ21" s="90">
        <f>S21*$N21</f>
        <v>0</v>
      </c>
      <c r="AK21" s="89">
        <f>T21*$M21</f>
        <v>0</v>
      </c>
      <c r="AL21" s="90">
        <f>T21*$N21</f>
        <v>0</v>
      </c>
      <c r="AM21" s="89">
        <f>U21*$M21</f>
        <v>0</v>
      </c>
      <c r="AN21" s="90">
        <f>U21*$N21</f>
        <v>0</v>
      </c>
      <c r="AO21" s="89">
        <f>V21*$M21</f>
        <v>0</v>
      </c>
      <c r="AP21" s="90">
        <f>V21*$N21</f>
        <v>0</v>
      </c>
      <c r="AQ21" s="89">
        <f>W21*$M21</f>
        <v>0</v>
      </c>
      <c r="AR21" s="90">
        <f>W21*$N21</f>
        <v>0</v>
      </c>
      <c r="AS21" s="89">
        <f>X21*$M21</f>
        <v>0</v>
      </c>
      <c r="AT21" s="90">
        <f>X21*$N21</f>
        <v>0</v>
      </c>
      <c r="AU21" s="89">
        <f>Y21*$M21</f>
        <v>0</v>
      </c>
      <c r="AV21" s="90">
        <f>Y21*$N21</f>
        <v>0</v>
      </c>
      <c r="AW21" s="89">
        <f>Z21*$M21</f>
        <v>0</v>
      </c>
      <c r="AX21" s="90">
        <f>Z21*$N21</f>
        <v>0</v>
      </c>
    </row>
    <row r="22" spans="1:50" outlineLevel="1">
      <c r="A22" s="58" t="s">
        <v>470</v>
      </c>
      <c r="B22" s="59" t="s">
        <v>471</v>
      </c>
      <c r="C22" s="60" t="s">
        <v>472</v>
      </c>
      <c r="D22" s="61" t="s">
        <v>178</v>
      </c>
      <c r="E22" s="62" t="s">
        <v>469</v>
      </c>
      <c r="F22" s="59" t="s">
        <v>62</v>
      </c>
      <c r="G22" s="63">
        <f>IFERROR(INDEX('Benchmark Data'!$AC$7:$AC$130,MATCH($A22,'Benchmark Data'!$A$7:$A$130,0)),0)</f>
        <v>6.6666666666666671E-3</v>
      </c>
      <c r="H22" s="64">
        <f>IFERROR(INDEX('Benchmark Data'!$AD$7:$AD$130,MATCH($A22,'Benchmark Data'!$A$7:$A$130,0)),0)</f>
        <v>97.5</v>
      </c>
      <c r="I22" s="65">
        <f t="shared" si="1"/>
        <v>0.65</v>
      </c>
      <c r="J22" s="66">
        <f>$E$8</f>
        <v>0</v>
      </c>
      <c r="K22" s="29">
        <f>IFERROR(INDEX('Benchmark Data'!$AE$7:$AE$130,MATCH($A22,'Benchmark Data'!$A$7:$A$130,0)),0)</f>
        <v>1</v>
      </c>
      <c r="L22" s="67">
        <f t="shared" si="2"/>
        <v>0</v>
      </c>
      <c r="M22" s="68">
        <f t="shared" si="3"/>
        <v>0</v>
      </c>
      <c r="N22" s="69">
        <f t="shared" si="4"/>
        <v>0</v>
      </c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</row>
    <row r="23" spans="1:50" outlineLevel="1">
      <c r="A23" s="71" t="s">
        <v>470</v>
      </c>
      <c r="B23" s="72" t="s">
        <v>471</v>
      </c>
      <c r="C23" s="73" t="s">
        <v>472</v>
      </c>
      <c r="D23" s="71" t="s">
        <v>178</v>
      </c>
      <c r="E23" s="74" t="s">
        <v>469</v>
      </c>
      <c r="F23" s="17" t="s">
        <v>63</v>
      </c>
      <c r="G23" s="75">
        <f>G22</f>
        <v>6.6666666666666671E-3</v>
      </c>
      <c r="H23" s="76">
        <f>H22*(1+Settings!$C$8)</f>
        <v>121.875</v>
      </c>
      <c r="I23" s="76">
        <f t="shared" si="1"/>
        <v>0.8125</v>
      </c>
      <c r="J23" s="77">
        <f>J22</f>
        <v>0</v>
      </c>
      <c r="K23" s="51">
        <f>K22</f>
        <v>1</v>
      </c>
      <c r="L23" s="52">
        <f t="shared" si="2"/>
        <v>0</v>
      </c>
      <c r="M23" s="51">
        <f t="shared" si="3"/>
        <v>0</v>
      </c>
      <c r="N23" s="78">
        <f t="shared" si="4"/>
        <v>0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</row>
    <row r="24" spans="1:50" outlineLevel="1">
      <c r="A24" s="71" t="s">
        <v>470</v>
      </c>
      <c r="B24" s="72" t="s">
        <v>471</v>
      </c>
      <c r="C24" s="73" t="s">
        <v>472</v>
      </c>
      <c r="D24" s="71" t="s">
        <v>178</v>
      </c>
      <c r="E24" s="74" t="s">
        <v>469</v>
      </c>
      <c r="F24" s="17" t="s">
        <v>64</v>
      </c>
      <c r="G24" s="75">
        <f>G22</f>
        <v>6.6666666666666671E-3</v>
      </c>
      <c r="H24" s="76">
        <f>H22*(1+Settings!$C$9)</f>
        <v>146.25</v>
      </c>
      <c r="I24" s="76">
        <f t="shared" si="1"/>
        <v>0.97500000000000009</v>
      </c>
      <c r="J24" s="77">
        <f>J22</f>
        <v>0</v>
      </c>
      <c r="K24" s="51">
        <f>K22</f>
        <v>1</v>
      </c>
      <c r="L24" s="52">
        <f t="shared" si="2"/>
        <v>0</v>
      </c>
      <c r="M24" s="51">
        <f t="shared" si="3"/>
        <v>0</v>
      </c>
      <c r="N24" s="78">
        <f t="shared" si="4"/>
        <v>0</v>
      </c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</row>
    <row r="25" spans="1:50" outlineLevel="1">
      <c r="A25" s="71" t="s">
        <v>470</v>
      </c>
      <c r="B25" s="72" t="s">
        <v>471</v>
      </c>
      <c r="C25" s="73" t="s">
        <v>472</v>
      </c>
      <c r="D25" s="71" t="s">
        <v>178</v>
      </c>
      <c r="E25" s="74" t="s">
        <v>469</v>
      </c>
      <c r="F25" s="17" t="s">
        <v>65</v>
      </c>
      <c r="G25" s="80">
        <f>G22</f>
        <v>6.6666666666666671E-3</v>
      </c>
      <c r="H25" s="81">
        <f>H22</f>
        <v>97.5</v>
      </c>
      <c r="I25" s="76">
        <f t="shared" si="1"/>
        <v>0.65</v>
      </c>
      <c r="J25" s="77">
        <f>J22</f>
        <v>0</v>
      </c>
      <c r="K25" s="82">
        <f>K22</f>
        <v>1</v>
      </c>
      <c r="L25" s="52">
        <f t="shared" si="2"/>
        <v>0</v>
      </c>
      <c r="M25" s="51">
        <f t="shared" si="3"/>
        <v>0</v>
      </c>
      <c r="N25" s="78">
        <f t="shared" si="4"/>
        <v>0</v>
      </c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</row>
    <row r="26" spans="1:50">
      <c r="A26" s="83" t="s">
        <v>470</v>
      </c>
      <c r="B26" s="16" t="s">
        <v>471</v>
      </c>
      <c r="C26" s="84" t="s">
        <v>472</v>
      </c>
      <c r="D26" s="85" t="s">
        <v>178</v>
      </c>
      <c r="E26" s="86" t="s">
        <v>469</v>
      </c>
      <c r="F26" s="16" t="s">
        <v>179</v>
      </c>
      <c r="G26" s="87">
        <f>CHOOSE(IF(OR($C$3="Expert input",$I$22=0),4,IF($C$3="+25%",2,IF($C$3="+50%",3,1))),G22,G23,G24,G25)</f>
        <v>6.6666666666666671E-3</v>
      </c>
      <c r="H26" s="88">
        <f>CHOOSE(IF(OR($C$3="Expert input",$I$22=0),4,IF($C$3="+25%",2,IF($C$3="+50%",3,1))),H22,H23,H24,H25)</f>
        <v>97.5</v>
      </c>
      <c r="I26" s="88">
        <f t="shared" si="1"/>
        <v>0.65</v>
      </c>
      <c r="J26" s="54">
        <f>J22</f>
        <v>0</v>
      </c>
      <c r="K26" s="53">
        <f>CHOOSE(IF(OR($C$3="Expert input",$I$22=0),4,IF($C$3="+25%",2,IF($C$3="+50%",3,1))),K22,K23,K24,K25)</f>
        <v>1</v>
      </c>
      <c r="L26" s="54">
        <f t="shared" si="2"/>
        <v>0</v>
      </c>
      <c r="M26" s="53">
        <f t="shared" si="3"/>
        <v>0</v>
      </c>
      <c r="N26" s="54">
        <f t="shared" si="4"/>
        <v>0</v>
      </c>
      <c r="O26" s="43"/>
      <c r="P26" s="43"/>
      <c r="Q26" s="43"/>
      <c r="R26" s="43"/>
      <c r="S26" s="43"/>
      <c r="T26" s="43">
        <v>0.33</v>
      </c>
      <c r="U26" s="43">
        <v>0.33</v>
      </c>
      <c r="V26" s="43">
        <v>0.17</v>
      </c>
      <c r="W26" s="43"/>
      <c r="X26" s="43">
        <v>0.17</v>
      </c>
      <c r="Y26" s="43"/>
      <c r="Z26" s="43"/>
      <c r="AA26" s="89">
        <f>O26*$M26</f>
        <v>0</v>
      </c>
      <c r="AB26" s="90">
        <f>O26*$N26</f>
        <v>0</v>
      </c>
      <c r="AC26" s="89">
        <f>P26*$M26</f>
        <v>0</v>
      </c>
      <c r="AD26" s="90">
        <f>P26*$N26</f>
        <v>0</v>
      </c>
      <c r="AE26" s="89">
        <f>Q26*$M26</f>
        <v>0</v>
      </c>
      <c r="AF26" s="90">
        <f>Q26*$N26</f>
        <v>0</v>
      </c>
      <c r="AG26" s="89">
        <f>R26*$M26</f>
        <v>0</v>
      </c>
      <c r="AH26" s="90">
        <f>R26*$N26</f>
        <v>0</v>
      </c>
      <c r="AI26" s="89">
        <f>S26*$M26</f>
        <v>0</v>
      </c>
      <c r="AJ26" s="90">
        <f>S26*$N26</f>
        <v>0</v>
      </c>
      <c r="AK26" s="89">
        <f>T26*$M26</f>
        <v>0</v>
      </c>
      <c r="AL26" s="90">
        <f>T26*$N26</f>
        <v>0</v>
      </c>
      <c r="AM26" s="89">
        <f>U26*$M26</f>
        <v>0</v>
      </c>
      <c r="AN26" s="90">
        <f>U26*$N26</f>
        <v>0</v>
      </c>
      <c r="AO26" s="89">
        <f>V26*$M26</f>
        <v>0</v>
      </c>
      <c r="AP26" s="90">
        <f>V26*$N26</f>
        <v>0</v>
      </c>
      <c r="AQ26" s="89">
        <f>W26*$M26</f>
        <v>0</v>
      </c>
      <c r="AR26" s="90">
        <f>W26*$N26</f>
        <v>0</v>
      </c>
      <c r="AS26" s="89">
        <f>X26*$M26</f>
        <v>0</v>
      </c>
      <c r="AT26" s="90">
        <f>X26*$N26</f>
        <v>0</v>
      </c>
      <c r="AU26" s="89">
        <f>Y26*$M26</f>
        <v>0</v>
      </c>
      <c r="AV26" s="90">
        <f>Y26*$N26</f>
        <v>0</v>
      </c>
      <c r="AW26" s="89">
        <f>Z26*$M26</f>
        <v>0</v>
      </c>
      <c r="AX26" s="90">
        <f>Z26*$N26</f>
        <v>0</v>
      </c>
    </row>
    <row r="27" spans="1:50" outlineLevel="1">
      <c r="A27" s="58" t="s">
        <v>473</v>
      </c>
      <c r="B27" s="59" t="s">
        <v>474</v>
      </c>
      <c r="C27" s="60" t="s">
        <v>475</v>
      </c>
      <c r="D27" s="61" t="s">
        <v>178</v>
      </c>
      <c r="E27" s="62" t="s">
        <v>476</v>
      </c>
      <c r="F27" s="59" t="s">
        <v>62</v>
      </c>
      <c r="G27" s="63">
        <f>IFERROR(INDEX('Benchmark Data'!$AC$7:$AC$130,MATCH($A27,'Benchmark Data'!$A$7:$A$130,0)),0)</f>
        <v>1.2777777777777779E-2</v>
      </c>
      <c r="H27" s="64">
        <f>IFERROR(INDEX('Benchmark Data'!$AD$7:$AD$130,MATCH($A27,'Benchmark Data'!$A$7:$A$130,0)),0)</f>
        <v>169.56521739130432</v>
      </c>
      <c r="I27" s="65">
        <f t="shared" si="1"/>
        <v>2.1666666666666665</v>
      </c>
      <c r="J27" s="66">
        <f>$E$8</f>
        <v>0</v>
      </c>
      <c r="K27" s="29">
        <f>IFERROR(INDEX('Benchmark Data'!$AE$7:$AE$130,MATCH($A27,'Benchmark Data'!$A$7:$A$130,0)),0)</f>
        <v>1</v>
      </c>
      <c r="L27" s="67">
        <f t="shared" si="2"/>
        <v>0</v>
      </c>
      <c r="M27" s="68">
        <f t="shared" si="3"/>
        <v>0</v>
      </c>
      <c r="N27" s="69">
        <f t="shared" si="4"/>
        <v>0</v>
      </c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</row>
    <row r="28" spans="1:50" outlineLevel="1">
      <c r="A28" s="71" t="s">
        <v>473</v>
      </c>
      <c r="B28" s="72" t="s">
        <v>474</v>
      </c>
      <c r="C28" s="73" t="s">
        <v>475</v>
      </c>
      <c r="D28" s="71" t="s">
        <v>178</v>
      </c>
      <c r="E28" s="74" t="s">
        <v>476</v>
      </c>
      <c r="F28" s="17" t="s">
        <v>63</v>
      </c>
      <c r="G28" s="75">
        <f>G27</f>
        <v>1.2777777777777779E-2</v>
      </c>
      <c r="H28" s="76">
        <f>H27*(1+Settings!$C$8)</f>
        <v>211.95652173913038</v>
      </c>
      <c r="I28" s="76">
        <f t="shared" si="1"/>
        <v>2.7083333333333326</v>
      </c>
      <c r="J28" s="77">
        <f>J27</f>
        <v>0</v>
      </c>
      <c r="K28" s="51">
        <f>K27</f>
        <v>1</v>
      </c>
      <c r="L28" s="52">
        <f t="shared" si="2"/>
        <v>0</v>
      </c>
      <c r="M28" s="51">
        <f t="shared" si="3"/>
        <v>0</v>
      </c>
      <c r="N28" s="78">
        <f t="shared" si="4"/>
        <v>0</v>
      </c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</row>
    <row r="29" spans="1:50" outlineLevel="1">
      <c r="A29" s="71" t="s">
        <v>473</v>
      </c>
      <c r="B29" s="72" t="s">
        <v>474</v>
      </c>
      <c r="C29" s="73" t="s">
        <v>475</v>
      </c>
      <c r="D29" s="71" t="s">
        <v>178</v>
      </c>
      <c r="E29" s="74" t="s">
        <v>476</v>
      </c>
      <c r="F29" s="17" t="s">
        <v>64</v>
      </c>
      <c r="G29" s="75">
        <f>G27</f>
        <v>1.2777777777777779E-2</v>
      </c>
      <c r="H29" s="76">
        <f>H27*(1+Settings!$C$9)</f>
        <v>254.34782608695647</v>
      </c>
      <c r="I29" s="76">
        <f t="shared" si="1"/>
        <v>3.2499999999999996</v>
      </c>
      <c r="J29" s="77">
        <f>J27</f>
        <v>0</v>
      </c>
      <c r="K29" s="51">
        <f>K27</f>
        <v>1</v>
      </c>
      <c r="L29" s="52">
        <f t="shared" si="2"/>
        <v>0</v>
      </c>
      <c r="M29" s="51">
        <f t="shared" si="3"/>
        <v>0</v>
      </c>
      <c r="N29" s="78">
        <f t="shared" si="4"/>
        <v>0</v>
      </c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</row>
    <row r="30" spans="1:50" outlineLevel="1">
      <c r="A30" s="71" t="s">
        <v>473</v>
      </c>
      <c r="B30" s="72" t="s">
        <v>474</v>
      </c>
      <c r="C30" s="73" t="s">
        <v>475</v>
      </c>
      <c r="D30" s="71" t="s">
        <v>178</v>
      </c>
      <c r="E30" s="74" t="s">
        <v>476</v>
      </c>
      <c r="F30" s="17" t="s">
        <v>65</v>
      </c>
      <c r="G30" s="80">
        <f>G27</f>
        <v>1.2777777777777779E-2</v>
      </c>
      <c r="H30" s="81">
        <f>H27</f>
        <v>169.56521739130432</v>
      </c>
      <c r="I30" s="76">
        <f t="shared" si="1"/>
        <v>2.1666666666666665</v>
      </c>
      <c r="J30" s="77">
        <f>J27</f>
        <v>0</v>
      </c>
      <c r="K30" s="82">
        <f>K27</f>
        <v>1</v>
      </c>
      <c r="L30" s="52">
        <f t="shared" si="2"/>
        <v>0</v>
      </c>
      <c r="M30" s="51">
        <f t="shared" si="3"/>
        <v>0</v>
      </c>
      <c r="N30" s="78">
        <f t="shared" si="4"/>
        <v>0</v>
      </c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</row>
    <row r="31" spans="1:50">
      <c r="A31" s="83" t="s">
        <v>473</v>
      </c>
      <c r="B31" s="16" t="s">
        <v>474</v>
      </c>
      <c r="C31" s="84" t="s">
        <v>475</v>
      </c>
      <c r="D31" s="85" t="s">
        <v>178</v>
      </c>
      <c r="E31" s="86" t="s">
        <v>476</v>
      </c>
      <c r="F31" s="16" t="s">
        <v>179</v>
      </c>
      <c r="G31" s="87">
        <f>CHOOSE(IF(OR($C$3="Expert input",$I$27=0),4,IF($C$3="+25%",2,IF($C$3="+50%",3,1))),G27,G28,G29,G30)</f>
        <v>1.2777777777777779E-2</v>
      </c>
      <c r="H31" s="88">
        <f>CHOOSE(IF(OR($C$3="Expert input",$I$27=0),4,IF($C$3="+25%",2,IF($C$3="+50%",3,1))),H27,H28,H29,H30)</f>
        <v>169.56521739130432</v>
      </c>
      <c r="I31" s="88">
        <f t="shared" si="1"/>
        <v>2.1666666666666665</v>
      </c>
      <c r="J31" s="54">
        <f>J27</f>
        <v>0</v>
      </c>
      <c r="K31" s="53">
        <f>CHOOSE(IF(OR($C$3="Expert input",$I$27=0),4,IF($C$3="+25%",2,IF($C$3="+50%",3,1))),K27,K28,K29,K30)</f>
        <v>1</v>
      </c>
      <c r="L31" s="54">
        <f t="shared" si="2"/>
        <v>0</v>
      </c>
      <c r="M31" s="53">
        <f t="shared" si="3"/>
        <v>0</v>
      </c>
      <c r="N31" s="54">
        <f t="shared" si="4"/>
        <v>0</v>
      </c>
      <c r="O31" s="43"/>
      <c r="P31" s="43"/>
      <c r="Q31" s="43"/>
      <c r="R31" s="43"/>
      <c r="S31" s="43">
        <v>0.17</v>
      </c>
      <c r="T31" s="43">
        <v>0.83</v>
      </c>
      <c r="U31" s="43"/>
      <c r="V31" s="43"/>
      <c r="W31" s="43"/>
      <c r="X31" s="43"/>
      <c r="Y31" s="43"/>
      <c r="Z31" s="43"/>
      <c r="AA31" s="89">
        <f>O31*$M31</f>
        <v>0</v>
      </c>
      <c r="AB31" s="90">
        <f>O31*$N31</f>
        <v>0</v>
      </c>
      <c r="AC31" s="89">
        <f>P31*$M31</f>
        <v>0</v>
      </c>
      <c r="AD31" s="90">
        <f>P31*$N31</f>
        <v>0</v>
      </c>
      <c r="AE31" s="89">
        <f>Q31*$M31</f>
        <v>0</v>
      </c>
      <c r="AF31" s="90">
        <f>Q31*$N31</f>
        <v>0</v>
      </c>
      <c r="AG31" s="89">
        <f>R31*$M31</f>
        <v>0</v>
      </c>
      <c r="AH31" s="90">
        <f>R31*$N31</f>
        <v>0</v>
      </c>
      <c r="AI31" s="89">
        <f>S31*$M31</f>
        <v>0</v>
      </c>
      <c r="AJ31" s="90">
        <f>S31*$N31</f>
        <v>0</v>
      </c>
      <c r="AK31" s="89">
        <f>T31*$M31</f>
        <v>0</v>
      </c>
      <c r="AL31" s="90">
        <f>T31*$N31</f>
        <v>0</v>
      </c>
      <c r="AM31" s="89">
        <f>U31*$M31</f>
        <v>0</v>
      </c>
      <c r="AN31" s="90">
        <f>U31*$N31</f>
        <v>0</v>
      </c>
      <c r="AO31" s="89">
        <f>V31*$M31</f>
        <v>0</v>
      </c>
      <c r="AP31" s="90">
        <f>V31*$N31</f>
        <v>0</v>
      </c>
      <c r="AQ31" s="89">
        <f>W31*$M31</f>
        <v>0</v>
      </c>
      <c r="AR31" s="90">
        <f>W31*$N31</f>
        <v>0</v>
      </c>
      <c r="AS31" s="89">
        <f>X31*$M31</f>
        <v>0</v>
      </c>
      <c r="AT31" s="90">
        <f>X31*$N31</f>
        <v>0</v>
      </c>
      <c r="AU31" s="89">
        <f>Y31*$M31</f>
        <v>0</v>
      </c>
      <c r="AV31" s="90">
        <f>Y31*$N31</f>
        <v>0</v>
      </c>
      <c r="AW31" s="89">
        <f>Z31*$M31</f>
        <v>0</v>
      </c>
      <c r="AX31" s="90">
        <f>Z31*$N31</f>
        <v>0</v>
      </c>
    </row>
    <row r="32" spans="1:50" outlineLevel="1">
      <c r="A32" s="58" t="s">
        <v>477</v>
      </c>
      <c r="B32" s="59" t="s">
        <v>478</v>
      </c>
      <c r="C32" s="60" t="s">
        <v>479</v>
      </c>
      <c r="D32" s="61" t="s">
        <v>178</v>
      </c>
      <c r="E32" s="62" t="s">
        <v>476</v>
      </c>
      <c r="F32" s="59" t="s">
        <v>62</v>
      </c>
      <c r="G32" s="63">
        <f>IFERROR(INDEX('Benchmark Data'!$AC$7:$AC$130,MATCH($A32,'Benchmark Data'!$A$7:$A$130,0)),0)</f>
        <v>8.3333333333333332E-3</v>
      </c>
      <c r="H32" s="64">
        <f>IFERROR(INDEX('Benchmark Data'!$AD$7:$AD$130,MATCH($A32,'Benchmark Data'!$A$7:$A$130,0)),0)</f>
        <v>78</v>
      </c>
      <c r="I32" s="65">
        <f t="shared" si="1"/>
        <v>0.65</v>
      </c>
      <c r="J32" s="66">
        <f>$E$8</f>
        <v>0</v>
      </c>
      <c r="K32" s="29">
        <f>IFERROR(INDEX('Benchmark Data'!$AE$7:$AE$130,MATCH($A32,'Benchmark Data'!$A$7:$A$130,0)),0)</f>
        <v>1</v>
      </c>
      <c r="L32" s="67">
        <f t="shared" si="2"/>
        <v>0</v>
      </c>
      <c r="M32" s="68">
        <f t="shared" si="3"/>
        <v>0</v>
      </c>
      <c r="N32" s="69">
        <f t="shared" si="4"/>
        <v>0</v>
      </c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</row>
    <row r="33" spans="1:50" outlineLevel="1">
      <c r="A33" s="71" t="s">
        <v>477</v>
      </c>
      <c r="B33" s="72" t="s">
        <v>478</v>
      </c>
      <c r="C33" s="73" t="s">
        <v>479</v>
      </c>
      <c r="D33" s="71" t="s">
        <v>178</v>
      </c>
      <c r="E33" s="74" t="s">
        <v>476</v>
      </c>
      <c r="F33" s="17" t="s">
        <v>63</v>
      </c>
      <c r="G33" s="75">
        <f>G32</f>
        <v>8.3333333333333332E-3</v>
      </c>
      <c r="H33" s="76">
        <f>H32*(1+Settings!$C$8)</f>
        <v>97.5</v>
      </c>
      <c r="I33" s="76">
        <f t="shared" si="1"/>
        <v>0.8125</v>
      </c>
      <c r="J33" s="77">
        <f>J32</f>
        <v>0</v>
      </c>
      <c r="K33" s="51">
        <f>K32</f>
        <v>1</v>
      </c>
      <c r="L33" s="52">
        <f t="shared" si="2"/>
        <v>0</v>
      </c>
      <c r="M33" s="51">
        <f t="shared" si="3"/>
        <v>0</v>
      </c>
      <c r="N33" s="78">
        <f t="shared" si="4"/>
        <v>0</v>
      </c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</row>
    <row r="34" spans="1:50" outlineLevel="1">
      <c r="A34" s="71" t="s">
        <v>477</v>
      </c>
      <c r="B34" s="72" t="s">
        <v>478</v>
      </c>
      <c r="C34" s="73" t="s">
        <v>479</v>
      </c>
      <c r="D34" s="71" t="s">
        <v>178</v>
      </c>
      <c r="E34" s="74" t="s">
        <v>476</v>
      </c>
      <c r="F34" s="17" t="s">
        <v>64</v>
      </c>
      <c r="G34" s="75">
        <f>G32</f>
        <v>8.3333333333333332E-3</v>
      </c>
      <c r="H34" s="76">
        <f>H32*(1+Settings!$C$9)</f>
        <v>117</v>
      </c>
      <c r="I34" s="76">
        <f t="shared" si="1"/>
        <v>0.97499999999999998</v>
      </c>
      <c r="J34" s="77">
        <f>J32</f>
        <v>0</v>
      </c>
      <c r="K34" s="51">
        <f>K32</f>
        <v>1</v>
      </c>
      <c r="L34" s="52">
        <f t="shared" si="2"/>
        <v>0</v>
      </c>
      <c r="M34" s="51">
        <f t="shared" si="3"/>
        <v>0</v>
      </c>
      <c r="N34" s="78">
        <f t="shared" si="4"/>
        <v>0</v>
      </c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</row>
    <row r="35" spans="1:50" outlineLevel="1">
      <c r="A35" s="71" t="s">
        <v>477</v>
      </c>
      <c r="B35" s="72" t="s">
        <v>478</v>
      </c>
      <c r="C35" s="73" t="s">
        <v>479</v>
      </c>
      <c r="D35" s="71" t="s">
        <v>178</v>
      </c>
      <c r="E35" s="74" t="s">
        <v>476</v>
      </c>
      <c r="F35" s="17" t="s">
        <v>65</v>
      </c>
      <c r="G35" s="80">
        <f>G32</f>
        <v>8.3333333333333332E-3</v>
      </c>
      <c r="H35" s="81">
        <f>H32</f>
        <v>78</v>
      </c>
      <c r="I35" s="76">
        <f t="shared" si="1"/>
        <v>0.65</v>
      </c>
      <c r="J35" s="77">
        <f>J32</f>
        <v>0</v>
      </c>
      <c r="K35" s="82">
        <f>K32</f>
        <v>1</v>
      </c>
      <c r="L35" s="52">
        <f t="shared" si="2"/>
        <v>0</v>
      </c>
      <c r="M35" s="51">
        <f t="shared" si="3"/>
        <v>0</v>
      </c>
      <c r="N35" s="78">
        <f t="shared" si="4"/>
        <v>0</v>
      </c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</row>
    <row r="36" spans="1:50">
      <c r="A36" s="83" t="s">
        <v>477</v>
      </c>
      <c r="B36" s="16" t="s">
        <v>478</v>
      </c>
      <c r="C36" s="84" t="s">
        <v>479</v>
      </c>
      <c r="D36" s="85" t="s">
        <v>178</v>
      </c>
      <c r="E36" s="86" t="s">
        <v>476</v>
      </c>
      <c r="F36" s="16" t="s">
        <v>179</v>
      </c>
      <c r="G36" s="87">
        <f>CHOOSE(IF(OR($C$3="Expert input",$I$32=0),4,IF($C$3="+25%",2,IF($C$3="+50%",3,1))),G32,G33,G34,G35)</f>
        <v>8.3333333333333332E-3</v>
      </c>
      <c r="H36" s="88">
        <f>CHOOSE(IF(OR($C$3="Expert input",$I$32=0),4,IF($C$3="+25%",2,IF($C$3="+50%",3,1))),H32,H33,H34,H35)</f>
        <v>78</v>
      </c>
      <c r="I36" s="88">
        <f t="shared" si="1"/>
        <v>0.65</v>
      </c>
      <c r="J36" s="54">
        <f>J32</f>
        <v>0</v>
      </c>
      <c r="K36" s="53">
        <f>CHOOSE(IF(OR($C$3="Expert input",$I$32=0),4,IF($C$3="+25%",2,IF($C$3="+50%",3,1))),K32,K33,K34,K35)</f>
        <v>1</v>
      </c>
      <c r="L36" s="54">
        <f t="shared" si="2"/>
        <v>0</v>
      </c>
      <c r="M36" s="53">
        <f t="shared" si="3"/>
        <v>0</v>
      </c>
      <c r="N36" s="54">
        <f t="shared" si="4"/>
        <v>0</v>
      </c>
      <c r="O36" s="43"/>
      <c r="P36" s="43"/>
      <c r="Q36" s="43"/>
      <c r="R36" s="43"/>
      <c r="S36" s="43"/>
      <c r="T36" s="43"/>
      <c r="U36" s="43">
        <v>0.83</v>
      </c>
      <c r="V36" s="43">
        <v>0.17</v>
      </c>
      <c r="W36" s="43"/>
      <c r="X36" s="43"/>
      <c r="Y36" s="43"/>
      <c r="Z36" s="43"/>
      <c r="AA36" s="89">
        <f>O36*$M36</f>
        <v>0</v>
      </c>
      <c r="AB36" s="90">
        <f>O36*$N36</f>
        <v>0</v>
      </c>
      <c r="AC36" s="89">
        <f>P36*$M36</f>
        <v>0</v>
      </c>
      <c r="AD36" s="90">
        <f>P36*$N36</f>
        <v>0</v>
      </c>
      <c r="AE36" s="89">
        <f>Q36*$M36</f>
        <v>0</v>
      </c>
      <c r="AF36" s="90">
        <f>Q36*$N36</f>
        <v>0</v>
      </c>
      <c r="AG36" s="89">
        <f>R36*$M36</f>
        <v>0</v>
      </c>
      <c r="AH36" s="90">
        <f>R36*$N36</f>
        <v>0</v>
      </c>
      <c r="AI36" s="89">
        <f>S36*$M36</f>
        <v>0</v>
      </c>
      <c r="AJ36" s="90">
        <f>S36*$N36</f>
        <v>0</v>
      </c>
      <c r="AK36" s="89">
        <f>T36*$M36</f>
        <v>0</v>
      </c>
      <c r="AL36" s="90">
        <f>T36*$N36</f>
        <v>0</v>
      </c>
      <c r="AM36" s="89">
        <f>U36*$M36</f>
        <v>0</v>
      </c>
      <c r="AN36" s="90">
        <f>U36*$N36</f>
        <v>0</v>
      </c>
      <c r="AO36" s="89">
        <f>V36*$M36</f>
        <v>0</v>
      </c>
      <c r="AP36" s="90">
        <f>V36*$N36</f>
        <v>0</v>
      </c>
      <c r="AQ36" s="89">
        <f>W36*$M36</f>
        <v>0</v>
      </c>
      <c r="AR36" s="90">
        <f>W36*$N36</f>
        <v>0</v>
      </c>
      <c r="AS36" s="89">
        <f>X36*$M36</f>
        <v>0</v>
      </c>
      <c r="AT36" s="90">
        <f>X36*$N36</f>
        <v>0</v>
      </c>
      <c r="AU36" s="89">
        <f>Y36*$M36</f>
        <v>0</v>
      </c>
      <c r="AV36" s="90">
        <f>Y36*$N36</f>
        <v>0</v>
      </c>
      <c r="AW36" s="89">
        <f>Z36*$M36</f>
        <v>0</v>
      </c>
      <c r="AX36" s="90">
        <f>Z36*$N36</f>
        <v>0</v>
      </c>
    </row>
    <row r="37" spans="1:50" outlineLevel="1">
      <c r="A37" s="58" t="s">
        <v>480</v>
      </c>
      <c r="B37" s="59" t="s">
        <v>481</v>
      </c>
      <c r="C37" s="60" t="s">
        <v>482</v>
      </c>
      <c r="D37" s="61" t="s">
        <v>483</v>
      </c>
      <c r="E37" s="62" t="s">
        <v>236</v>
      </c>
      <c r="F37" s="59" t="s">
        <v>62</v>
      </c>
      <c r="G37" s="63">
        <f>IFERROR(INDEX('Benchmark Data'!$AC$7:$AC$130,MATCH($A37,'Benchmark Data'!$A$7:$A$130,0)),0)</f>
        <v>0</v>
      </c>
      <c r="H37" s="64">
        <f>IFERROR(INDEX('Benchmark Data'!$AD$7:$AD$130,MATCH($A37,'Benchmark Data'!$A$7:$A$130,0)),0)</f>
        <v>0</v>
      </c>
      <c r="I37" s="65">
        <f t="shared" si="1"/>
        <v>0</v>
      </c>
      <c r="J37" s="66">
        <f>$E$8</f>
        <v>0</v>
      </c>
      <c r="K37" s="29">
        <f>IFERROR(INDEX('Benchmark Data'!$AE$7:$AE$130,MATCH($A37,'Benchmark Data'!$A$7:$A$130,0)),0)</f>
        <v>1</v>
      </c>
      <c r="L37" s="67">
        <f t="shared" si="2"/>
        <v>0</v>
      </c>
      <c r="M37" s="68">
        <f t="shared" si="3"/>
        <v>0</v>
      </c>
      <c r="N37" s="69">
        <f t="shared" si="4"/>
        <v>0</v>
      </c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</row>
    <row r="38" spans="1:50" outlineLevel="1">
      <c r="A38" s="71" t="s">
        <v>480</v>
      </c>
      <c r="B38" s="72" t="s">
        <v>481</v>
      </c>
      <c r="C38" s="73" t="s">
        <v>482</v>
      </c>
      <c r="D38" s="71" t="s">
        <v>483</v>
      </c>
      <c r="E38" s="74" t="s">
        <v>236</v>
      </c>
      <c r="F38" s="17" t="s">
        <v>63</v>
      </c>
      <c r="G38" s="75">
        <f>G37</f>
        <v>0</v>
      </c>
      <c r="H38" s="76">
        <f>H37*(1+Settings!$C$8)</f>
        <v>0</v>
      </c>
      <c r="I38" s="76">
        <f t="shared" si="1"/>
        <v>0</v>
      </c>
      <c r="J38" s="77">
        <f>J37</f>
        <v>0</v>
      </c>
      <c r="K38" s="51">
        <f>K37</f>
        <v>1</v>
      </c>
      <c r="L38" s="52">
        <f t="shared" si="2"/>
        <v>0</v>
      </c>
      <c r="M38" s="51">
        <f t="shared" si="3"/>
        <v>0</v>
      </c>
      <c r="N38" s="78">
        <f t="shared" si="4"/>
        <v>0</v>
      </c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</row>
    <row r="39" spans="1:50" outlineLevel="1">
      <c r="A39" s="71" t="s">
        <v>480</v>
      </c>
      <c r="B39" s="72" t="s">
        <v>481</v>
      </c>
      <c r="C39" s="73" t="s">
        <v>482</v>
      </c>
      <c r="D39" s="71" t="s">
        <v>483</v>
      </c>
      <c r="E39" s="74" t="s">
        <v>236</v>
      </c>
      <c r="F39" s="17" t="s">
        <v>64</v>
      </c>
      <c r="G39" s="75">
        <f>G37</f>
        <v>0</v>
      </c>
      <c r="H39" s="76">
        <f>H37*(1+Settings!$C$9)</f>
        <v>0</v>
      </c>
      <c r="I39" s="76">
        <f t="shared" si="1"/>
        <v>0</v>
      </c>
      <c r="J39" s="77">
        <f>J37</f>
        <v>0</v>
      </c>
      <c r="K39" s="51">
        <f>K37</f>
        <v>1</v>
      </c>
      <c r="L39" s="52">
        <f t="shared" si="2"/>
        <v>0</v>
      </c>
      <c r="M39" s="51">
        <f t="shared" si="3"/>
        <v>0</v>
      </c>
      <c r="N39" s="78">
        <f t="shared" si="4"/>
        <v>0</v>
      </c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</row>
    <row r="40" spans="1:50" outlineLevel="1">
      <c r="A40" s="71" t="s">
        <v>480</v>
      </c>
      <c r="B40" s="72" t="s">
        <v>481</v>
      </c>
      <c r="C40" s="73" t="s">
        <v>482</v>
      </c>
      <c r="D40" s="71" t="s">
        <v>483</v>
      </c>
      <c r="E40" s="74" t="s">
        <v>236</v>
      </c>
      <c r="F40" s="17" t="s">
        <v>65</v>
      </c>
      <c r="G40" s="95"/>
      <c r="H40" s="96"/>
      <c r="I40" s="76">
        <f t="shared" si="1"/>
        <v>0</v>
      </c>
      <c r="J40" s="77">
        <f>J37</f>
        <v>0</v>
      </c>
      <c r="K40" s="45">
        <v>1</v>
      </c>
      <c r="L40" s="52">
        <f t="shared" si="2"/>
        <v>0</v>
      </c>
      <c r="M40" s="51">
        <f t="shared" si="3"/>
        <v>0</v>
      </c>
      <c r="N40" s="78">
        <f t="shared" si="4"/>
        <v>0</v>
      </c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</row>
    <row r="41" spans="1:50">
      <c r="A41" s="83" t="s">
        <v>480</v>
      </c>
      <c r="B41" s="16" t="s">
        <v>481</v>
      </c>
      <c r="C41" s="84" t="s">
        <v>482</v>
      </c>
      <c r="D41" s="85" t="s">
        <v>483</v>
      </c>
      <c r="E41" s="86" t="s">
        <v>236</v>
      </c>
      <c r="F41" s="16" t="s">
        <v>179</v>
      </c>
      <c r="G41" s="87">
        <f>CHOOSE(IF(OR($C$3="Expert input",$I$37=0),4,IF($C$3="+25%",2,IF($C$3="+50%",3,1))),G37,G38,G39,G40)</f>
        <v>0</v>
      </c>
      <c r="H41" s="88">
        <f>CHOOSE(IF(OR($C$3="Expert input",$I$37=0),4,IF($C$3="+25%",2,IF($C$3="+50%",3,1))),H37,H38,H39,H40)</f>
        <v>0</v>
      </c>
      <c r="I41" s="88">
        <f t="shared" si="1"/>
        <v>0</v>
      </c>
      <c r="J41" s="54">
        <f>J37</f>
        <v>0</v>
      </c>
      <c r="K41" s="53">
        <f>CHOOSE(IF(OR($C$3="Expert input",$I$37=0),4,IF($C$3="+25%",2,IF($C$3="+50%",3,1))),K37,K38,K39,K40)</f>
        <v>1</v>
      </c>
      <c r="L41" s="54">
        <f t="shared" si="2"/>
        <v>0</v>
      </c>
      <c r="M41" s="53">
        <f t="shared" si="3"/>
        <v>0</v>
      </c>
      <c r="N41" s="54">
        <f t="shared" si="4"/>
        <v>0</v>
      </c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89">
        <f>O41*$M41</f>
        <v>0</v>
      </c>
      <c r="AB41" s="90">
        <f>O41*$N41</f>
        <v>0</v>
      </c>
      <c r="AC41" s="89">
        <f>P41*$M41</f>
        <v>0</v>
      </c>
      <c r="AD41" s="90">
        <f>P41*$N41</f>
        <v>0</v>
      </c>
      <c r="AE41" s="89">
        <f>Q41*$M41</f>
        <v>0</v>
      </c>
      <c r="AF41" s="90">
        <f>Q41*$N41</f>
        <v>0</v>
      </c>
      <c r="AG41" s="89">
        <f>R41*$M41</f>
        <v>0</v>
      </c>
      <c r="AH41" s="90">
        <f>R41*$N41</f>
        <v>0</v>
      </c>
      <c r="AI41" s="89">
        <f>S41*$M41</f>
        <v>0</v>
      </c>
      <c r="AJ41" s="90">
        <f>S41*$N41</f>
        <v>0</v>
      </c>
      <c r="AK41" s="89">
        <f>T41*$M41</f>
        <v>0</v>
      </c>
      <c r="AL41" s="90">
        <f>T41*$N41</f>
        <v>0</v>
      </c>
      <c r="AM41" s="89">
        <f>U41*$M41</f>
        <v>0</v>
      </c>
      <c r="AN41" s="90">
        <f>U41*$N41</f>
        <v>0</v>
      </c>
      <c r="AO41" s="89">
        <f>V41*$M41</f>
        <v>0</v>
      </c>
      <c r="AP41" s="90">
        <f>V41*$N41</f>
        <v>0</v>
      </c>
      <c r="AQ41" s="89">
        <f>W41*$M41</f>
        <v>0</v>
      </c>
      <c r="AR41" s="90">
        <f>W41*$N41</f>
        <v>0</v>
      </c>
      <c r="AS41" s="89">
        <f>X41*$M41</f>
        <v>0</v>
      </c>
      <c r="AT41" s="90">
        <f>X41*$N41</f>
        <v>0</v>
      </c>
      <c r="AU41" s="89">
        <f>Y41*$M41</f>
        <v>0</v>
      </c>
      <c r="AV41" s="90">
        <f>Y41*$N41</f>
        <v>0</v>
      </c>
      <c r="AW41" s="89">
        <f>Z41*$M41</f>
        <v>0</v>
      </c>
      <c r="AX41" s="90">
        <f>Z41*$N41</f>
        <v>0</v>
      </c>
    </row>
    <row r="42" spans="1:50" outlineLevel="1">
      <c r="A42" s="58" t="s">
        <v>484</v>
      </c>
      <c r="B42" s="59" t="s">
        <v>485</v>
      </c>
      <c r="C42" s="60" t="s">
        <v>486</v>
      </c>
      <c r="D42" s="61" t="s">
        <v>483</v>
      </c>
      <c r="E42" s="62" t="s">
        <v>236</v>
      </c>
      <c r="F42" s="59" t="s">
        <v>62</v>
      </c>
      <c r="G42" s="63">
        <f>IFERROR(INDEX('Benchmark Data'!$AC$7:$AC$130,MATCH($A42,'Benchmark Data'!$A$7:$A$130,0)),0)</f>
        <v>1.4999999999999999E-2</v>
      </c>
      <c r="H42" s="64">
        <f>IFERROR(INDEX('Benchmark Data'!$AD$7:$AD$130,MATCH($A42,'Benchmark Data'!$A$7:$A$130,0)),0)</f>
        <v>133.33333333333334</v>
      </c>
      <c r="I42" s="65">
        <f t="shared" si="1"/>
        <v>2</v>
      </c>
      <c r="J42" s="66">
        <f>$E$8</f>
        <v>0</v>
      </c>
      <c r="K42" s="29">
        <f>IFERROR(INDEX('Benchmark Data'!$AE$7:$AE$130,MATCH($A42,'Benchmark Data'!$A$7:$A$130,0)),0)</f>
        <v>1</v>
      </c>
      <c r="L42" s="67">
        <f t="shared" si="2"/>
        <v>0</v>
      </c>
      <c r="M42" s="68">
        <f t="shared" si="3"/>
        <v>0</v>
      </c>
      <c r="N42" s="69">
        <f t="shared" si="4"/>
        <v>0</v>
      </c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</row>
    <row r="43" spans="1:50" outlineLevel="1">
      <c r="A43" s="71" t="s">
        <v>484</v>
      </c>
      <c r="B43" s="72" t="s">
        <v>485</v>
      </c>
      <c r="C43" s="73" t="s">
        <v>486</v>
      </c>
      <c r="D43" s="71" t="s">
        <v>483</v>
      </c>
      <c r="E43" s="74" t="s">
        <v>236</v>
      </c>
      <c r="F43" s="17" t="s">
        <v>63</v>
      </c>
      <c r="G43" s="75">
        <f>G42</f>
        <v>1.4999999999999999E-2</v>
      </c>
      <c r="H43" s="76">
        <f>H42*(1+Settings!$C$8)</f>
        <v>166.66666666666669</v>
      </c>
      <c r="I43" s="76">
        <f t="shared" si="1"/>
        <v>2.5</v>
      </c>
      <c r="J43" s="77">
        <f>J42</f>
        <v>0</v>
      </c>
      <c r="K43" s="51">
        <f>K42</f>
        <v>1</v>
      </c>
      <c r="L43" s="52">
        <f t="shared" si="2"/>
        <v>0</v>
      </c>
      <c r="M43" s="51">
        <f t="shared" si="3"/>
        <v>0</v>
      </c>
      <c r="N43" s="78">
        <f t="shared" si="4"/>
        <v>0</v>
      </c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</row>
    <row r="44" spans="1:50" outlineLevel="1">
      <c r="A44" s="71" t="s">
        <v>484</v>
      </c>
      <c r="B44" s="72" t="s">
        <v>485</v>
      </c>
      <c r="C44" s="73" t="s">
        <v>486</v>
      </c>
      <c r="D44" s="71" t="s">
        <v>483</v>
      </c>
      <c r="E44" s="74" t="s">
        <v>236</v>
      </c>
      <c r="F44" s="17" t="s">
        <v>64</v>
      </c>
      <c r="G44" s="75">
        <f>G42</f>
        <v>1.4999999999999999E-2</v>
      </c>
      <c r="H44" s="76">
        <f>H42*(1+Settings!$C$9)</f>
        <v>200</v>
      </c>
      <c r="I44" s="76">
        <f t="shared" si="1"/>
        <v>3</v>
      </c>
      <c r="J44" s="77">
        <f>J42</f>
        <v>0</v>
      </c>
      <c r="K44" s="51">
        <f>K42</f>
        <v>1</v>
      </c>
      <c r="L44" s="52">
        <f t="shared" si="2"/>
        <v>0</v>
      </c>
      <c r="M44" s="51">
        <f t="shared" si="3"/>
        <v>0</v>
      </c>
      <c r="N44" s="78">
        <f t="shared" si="4"/>
        <v>0</v>
      </c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</row>
    <row r="45" spans="1:50" outlineLevel="1">
      <c r="A45" s="71" t="s">
        <v>484</v>
      </c>
      <c r="B45" s="72" t="s">
        <v>485</v>
      </c>
      <c r="C45" s="73" t="s">
        <v>486</v>
      </c>
      <c r="D45" s="71" t="s">
        <v>483</v>
      </c>
      <c r="E45" s="74" t="s">
        <v>236</v>
      </c>
      <c r="F45" s="17" t="s">
        <v>65</v>
      </c>
      <c r="G45" s="80">
        <f>G42</f>
        <v>1.4999999999999999E-2</v>
      </c>
      <c r="H45" s="81">
        <f>H42</f>
        <v>133.33333333333334</v>
      </c>
      <c r="I45" s="76">
        <f t="shared" si="1"/>
        <v>2</v>
      </c>
      <c r="J45" s="77">
        <f>J42</f>
        <v>0</v>
      </c>
      <c r="K45" s="82">
        <f>K42</f>
        <v>1</v>
      </c>
      <c r="L45" s="52">
        <f t="shared" si="2"/>
        <v>0</v>
      </c>
      <c r="M45" s="51">
        <f t="shared" si="3"/>
        <v>0</v>
      </c>
      <c r="N45" s="78">
        <f t="shared" si="4"/>
        <v>0</v>
      </c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</row>
    <row r="46" spans="1:50">
      <c r="A46" s="83" t="s">
        <v>484</v>
      </c>
      <c r="B46" s="16" t="s">
        <v>485</v>
      </c>
      <c r="C46" s="84" t="s">
        <v>486</v>
      </c>
      <c r="D46" s="85" t="s">
        <v>483</v>
      </c>
      <c r="E46" s="86" t="s">
        <v>236</v>
      </c>
      <c r="F46" s="16" t="s">
        <v>179</v>
      </c>
      <c r="G46" s="87">
        <f>CHOOSE(IF(OR($C$3="Expert input",$I$42=0),4,IF($C$3="+25%",2,IF($C$3="+50%",3,1))),G42,G43,G44,G45)</f>
        <v>1.4999999999999999E-2</v>
      </c>
      <c r="H46" s="88">
        <f>CHOOSE(IF(OR($C$3="Expert input",$I$42=0),4,IF($C$3="+25%",2,IF($C$3="+50%",3,1))),H42,H43,H44,H45)</f>
        <v>133.33333333333334</v>
      </c>
      <c r="I46" s="88">
        <f t="shared" si="1"/>
        <v>2</v>
      </c>
      <c r="J46" s="54">
        <f>J42</f>
        <v>0</v>
      </c>
      <c r="K46" s="53">
        <f>CHOOSE(IF(OR($C$3="Expert input",$I$42=0),4,IF($C$3="+25%",2,IF($C$3="+50%",3,1))),K42,K43,K44,K45)</f>
        <v>1</v>
      </c>
      <c r="L46" s="54">
        <f t="shared" si="2"/>
        <v>0</v>
      </c>
      <c r="M46" s="53">
        <f t="shared" si="3"/>
        <v>0</v>
      </c>
      <c r="N46" s="54">
        <f t="shared" si="4"/>
        <v>0</v>
      </c>
      <c r="O46" s="43"/>
      <c r="P46" s="43"/>
      <c r="Q46" s="43"/>
      <c r="R46" s="43"/>
      <c r="S46" s="43"/>
      <c r="T46" s="43"/>
      <c r="U46" s="43">
        <v>0.12</v>
      </c>
      <c r="V46" s="43">
        <v>0.54</v>
      </c>
      <c r="W46" s="43">
        <v>0.17</v>
      </c>
      <c r="X46" s="43">
        <v>0.17</v>
      </c>
      <c r="Y46" s="43"/>
      <c r="Z46" s="43"/>
      <c r="AA46" s="89">
        <f>O46*$M46</f>
        <v>0</v>
      </c>
      <c r="AB46" s="90">
        <f>O46*$N46</f>
        <v>0</v>
      </c>
      <c r="AC46" s="89">
        <f>P46*$M46</f>
        <v>0</v>
      </c>
      <c r="AD46" s="90">
        <f>P46*$N46</f>
        <v>0</v>
      </c>
      <c r="AE46" s="89">
        <f>Q46*$M46</f>
        <v>0</v>
      </c>
      <c r="AF46" s="90">
        <f>Q46*$N46</f>
        <v>0</v>
      </c>
      <c r="AG46" s="89">
        <f>R46*$M46</f>
        <v>0</v>
      </c>
      <c r="AH46" s="90">
        <f>R46*$N46</f>
        <v>0</v>
      </c>
      <c r="AI46" s="89">
        <f>S46*$M46</f>
        <v>0</v>
      </c>
      <c r="AJ46" s="90">
        <f>S46*$N46</f>
        <v>0</v>
      </c>
      <c r="AK46" s="89">
        <f>T46*$M46</f>
        <v>0</v>
      </c>
      <c r="AL46" s="90">
        <f>T46*$N46</f>
        <v>0</v>
      </c>
      <c r="AM46" s="89">
        <f>U46*$M46</f>
        <v>0</v>
      </c>
      <c r="AN46" s="90">
        <f>U46*$N46</f>
        <v>0</v>
      </c>
      <c r="AO46" s="89">
        <f>V46*$M46</f>
        <v>0</v>
      </c>
      <c r="AP46" s="90">
        <f>V46*$N46</f>
        <v>0</v>
      </c>
      <c r="AQ46" s="89">
        <f>W46*$M46</f>
        <v>0</v>
      </c>
      <c r="AR46" s="90">
        <f>W46*$N46</f>
        <v>0</v>
      </c>
      <c r="AS46" s="89">
        <f>X46*$M46</f>
        <v>0</v>
      </c>
      <c r="AT46" s="90">
        <f>X46*$N46</f>
        <v>0</v>
      </c>
      <c r="AU46" s="89">
        <f>Y46*$M46</f>
        <v>0</v>
      </c>
      <c r="AV46" s="90">
        <f>Y46*$N46</f>
        <v>0</v>
      </c>
      <c r="AW46" s="89">
        <f>Z46*$M46</f>
        <v>0</v>
      </c>
      <c r="AX46" s="90">
        <f>Z46*$N46</f>
        <v>0</v>
      </c>
    </row>
    <row r="47" spans="1:50" outlineLevel="1">
      <c r="A47" s="58" t="s">
        <v>487</v>
      </c>
      <c r="B47" s="59" t="s">
        <v>488</v>
      </c>
      <c r="C47" s="60" t="s">
        <v>489</v>
      </c>
      <c r="D47" s="61" t="s">
        <v>483</v>
      </c>
      <c r="E47" s="62" t="s">
        <v>236</v>
      </c>
      <c r="F47" s="59" t="s">
        <v>62</v>
      </c>
      <c r="G47" s="63">
        <f>IFERROR(INDEX('Benchmark Data'!$AC$7:$AC$130,MATCH($A47,'Benchmark Data'!$A$7:$A$130,0)),0)</f>
        <v>0.01</v>
      </c>
      <c r="H47" s="64">
        <f>IFERROR(INDEX('Benchmark Data'!$AD$7:$AD$130,MATCH($A47,'Benchmark Data'!$A$7:$A$130,0)),0)</f>
        <v>133.33333333333331</v>
      </c>
      <c r="I47" s="65">
        <f t="shared" si="1"/>
        <v>1.3333333333333333</v>
      </c>
      <c r="J47" s="66">
        <f>$E$8</f>
        <v>0</v>
      </c>
      <c r="K47" s="29">
        <f>IFERROR(INDEX('Benchmark Data'!$AE$7:$AE$130,MATCH($A47,'Benchmark Data'!$A$7:$A$130,0)),0)</f>
        <v>1</v>
      </c>
      <c r="L47" s="67">
        <f t="shared" si="2"/>
        <v>0</v>
      </c>
      <c r="M47" s="68">
        <f t="shared" si="3"/>
        <v>0</v>
      </c>
      <c r="N47" s="69">
        <f t="shared" si="4"/>
        <v>0</v>
      </c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</row>
    <row r="48" spans="1:50" outlineLevel="1">
      <c r="A48" s="71" t="s">
        <v>487</v>
      </c>
      <c r="B48" s="72" t="s">
        <v>488</v>
      </c>
      <c r="C48" s="73" t="s">
        <v>489</v>
      </c>
      <c r="D48" s="71" t="s">
        <v>483</v>
      </c>
      <c r="E48" s="74" t="s">
        <v>236</v>
      </c>
      <c r="F48" s="17" t="s">
        <v>63</v>
      </c>
      <c r="G48" s="75">
        <f>G47</f>
        <v>0.01</v>
      </c>
      <c r="H48" s="76">
        <f>H47*(1+Settings!$C$8)</f>
        <v>166.66666666666663</v>
      </c>
      <c r="I48" s="76">
        <f t="shared" si="1"/>
        <v>1.6666666666666663</v>
      </c>
      <c r="J48" s="77">
        <f>J47</f>
        <v>0</v>
      </c>
      <c r="K48" s="51">
        <f>K47</f>
        <v>1</v>
      </c>
      <c r="L48" s="52">
        <f t="shared" si="2"/>
        <v>0</v>
      </c>
      <c r="M48" s="51">
        <f t="shared" si="3"/>
        <v>0</v>
      </c>
      <c r="N48" s="78">
        <f t="shared" si="4"/>
        <v>0</v>
      </c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</row>
    <row r="49" spans="1:50" outlineLevel="1">
      <c r="A49" s="71" t="s">
        <v>487</v>
      </c>
      <c r="B49" s="72" t="s">
        <v>488</v>
      </c>
      <c r="C49" s="73" t="s">
        <v>489</v>
      </c>
      <c r="D49" s="71" t="s">
        <v>483</v>
      </c>
      <c r="E49" s="74" t="s">
        <v>236</v>
      </c>
      <c r="F49" s="17" t="s">
        <v>64</v>
      </c>
      <c r="G49" s="75">
        <f>G47</f>
        <v>0.01</v>
      </c>
      <c r="H49" s="76">
        <f>H47*(1+Settings!$C$9)</f>
        <v>199.99999999999997</v>
      </c>
      <c r="I49" s="76">
        <f t="shared" ref="I49:I80" si="5">G49*H49</f>
        <v>1.9999999999999998</v>
      </c>
      <c r="J49" s="77">
        <f>J47</f>
        <v>0</v>
      </c>
      <c r="K49" s="51">
        <f>K47</f>
        <v>1</v>
      </c>
      <c r="L49" s="52">
        <f t="shared" ref="L49:L80" si="6">J49*K49</f>
        <v>0</v>
      </c>
      <c r="M49" s="51">
        <f t="shared" ref="M49:M80" si="7">L49*G49</f>
        <v>0</v>
      </c>
      <c r="N49" s="78">
        <f t="shared" ref="N49:N81" si="8">L49*I49</f>
        <v>0</v>
      </c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</row>
    <row r="50" spans="1:50" outlineLevel="1">
      <c r="A50" s="71" t="s">
        <v>487</v>
      </c>
      <c r="B50" s="72" t="s">
        <v>488</v>
      </c>
      <c r="C50" s="73" t="s">
        <v>489</v>
      </c>
      <c r="D50" s="71" t="s">
        <v>483</v>
      </c>
      <c r="E50" s="74" t="s">
        <v>236</v>
      </c>
      <c r="F50" s="17" t="s">
        <v>65</v>
      </c>
      <c r="G50" s="80">
        <f>G47</f>
        <v>0.01</v>
      </c>
      <c r="H50" s="81">
        <f>H47</f>
        <v>133.33333333333331</v>
      </c>
      <c r="I50" s="76">
        <f t="shared" si="5"/>
        <v>1.3333333333333333</v>
      </c>
      <c r="J50" s="77">
        <f>J47</f>
        <v>0</v>
      </c>
      <c r="K50" s="82">
        <f>K47</f>
        <v>1</v>
      </c>
      <c r="L50" s="52">
        <f t="shared" si="6"/>
        <v>0</v>
      </c>
      <c r="M50" s="51">
        <f t="shared" si="7"/>
        <v>0</v>
      </c>
      <c r="N50" s="78">
        <f t="shared" si="8"/>
        <v>0</v>
      </c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</row>
    <row r="51" spans="1:50">
      <c r="A51" s="83" t="s">
        <v>487</v>
      </c>
      <c r="B51" s="16" t="s">
        <v>488</v>
      </c>
      <c r="C51" s="84" t="s">
        <v>489</v>
      </c>
      <c r="D51" s="85" t="s">
        <v>483</v>
      </c>
      <c r="E51" s="86" t="s">
        <v>236</v>
      </c>
      <c r="F51" s="16" t="s">
        <v>179</v>
      </c>
      <c r="G51" s="87">
        <f>CHOOSE(IF(OR($C$3="Expert input",$I$47=0),4,IF($C$3="+25%",2,IF($C$3="+50%",3,1))),G47,G48,G49,G50)</f>
        <v>0.01</v>
      </c>
      <c r="H51" s="88">
        <f>CHOOSE(IF(OR($C$3="Expert input",$I$47=0),4,IF($C$3="+25%",2,IF($C$3="+50%",3,1))),H47,H48,H49,H50)</f>
        <v>133.33333333333331</v>
      </c>
      <c r="I51" s="88">
        <f t="shared" si="5"/>
        <v>1.3333333333333333</v>
      </c>
      <c r="J51" s="54">
        <f>J47</f>
        <v>0</v>
      </c>
      <c r="K51" s="53">
        <f>CHOOSE(IF(OR($C$3="Expert input",$I$47=0),4,IF($C$3="+25%",2,IF($C$3="+50%",3,1))),K47,K48,K49,K50)</f>
        <v>1</v>
      </c>
      <c r="L51" s="54">
        <f t="shared" si="6"/>
        <v>0</v>
      </c>
      <c r="M51" s="53">
        <f t="shared" si="7"/>
        <v>0</v>
      </c>
      <c r="N51" s="54">
        <f t="shared" si="8"/>
        <v>0</v>
      </c>
      <c r="O51" s="43"/>
      <c r="P51" s="43"/>
      <c r="Q51" s="43"/>
      <c r="R51" s="43"/>
      <c r="S51" s="43"/>
      <c r="T51" s="43"/>
      <c r="U51" s="43"/>
      <c r="V51" s="43">
        <v>0.45</v>
      </c>
      <c r="W51" s="43">
        <v>0.38</v>
      </c>
      <c r="X51" s="43">
        <v>0.17</v>
      </c>
      <c r="Y51" s="43"/>
      <c r="Z51" s="43"/>
      <c r="AA51" s="89">
        <f>O51*$M51</f>
        <v>0</v>
      </c>
      <c r="AB51" s="90">
        <f>O51*$N51</f>
        <v>0</v>
      </c>
      <c r="AC51" s="89">
        <f>P51*$M51</f>
        <v>0</v>
      </c>
      <c r="AD51" s="90">
        <f>P51*$N51</f>
        <v>0</v>
      </c>
      <c r="AE51" s="89">
        <f>Q51*$M51</f>
        <v>0</v>
      </c>
      <c r="AF51" s="90">
        <f>Q51*$N51</f>
        <v>0</v>
      </c>
      <c r="AG51" s="89">
        <f>R51*$M51</f>
        <v>0</v>
      </c>
      <c r="AH51" s="90">
        <f>R51*$N51</f>
        <v>0</v>
      </c>
      <c r="AI51" s="89">
        <f>S51*$M51</f>
        <v>0</v>
      </c>
      <c r="AJ51" s="90">
        <f>S51*$N51</f>
        <v>0</v>
      </c>
      <c r="AK51" s="89">
        <f>T51*$M51</f>
        <v>0</v>
      </c>
      <c r="AL51" s="90">
        <f>T51*$N51</f>
        <v>0</v>
      </c>
      <c r="AM51" s="89">
        <f>U51*$M51</f>
        <v>0</v>
      </c>
      <c r="AN51" s="90">
        <f>U51*$N51</f>
        <v>0</v>
      </c>
      <c r="AO51" s="89">
        <f>V51*$M51</f>
        <v>0</v>
      </c>
      <c r="AP51" s="90">
        <f>V51*$N51</f>
        <v>0</v>
      </c>
      <c r="AQ51" s="89">
        <f>W51*$M51</f>
        <v>0</v>
      </c>
      <c r="AR51" s="90">
        <f>W51*$N51</f>
        <v>0</v>
      </c>
      <c r="AS51" s="89">
        <f>X51*$M51</f>
        <v>0</v>
      </c>
      <c r="AT51" s="90">
        <f>X51*$N51</f>
        <v>0</v>
      </c>
      <c r="AU51" s="89">
        <f>Y51*$M51</f>
        <v>0</v>
      </c>
      <c r="AV51" s="90">
        <f>Y51*$N51</f>
        <v>0</v>
      </c>
      <c r="AW51" s="89">
        <f>Z51*$M51</f>
        <v>0</v>
      </c>
      <c r="AX51" s="90">
        <f>Z51*$N51</f>
        <v>0</v>
      </c>
    </row>
    <row r="52" spans="1:50" outlineLevel="1">
      <c r="A52" s="58" t="s">
        <v>490</v>
      </c>
      <c r="B52" s="59" t="s">
        <v>491</v>
      </c>
      <c r="C52" s="60" t="s">
        <v>492</v>
      </c>
      <c r="D52" s="61" t="s">
        <v>483</v>
      </c>
      <c r="E52" s="62" t="s">
        <v>236</v>
      </c>
      <c r="F52" s="59" t="s">
        <v>62</v>
      </c>
      <c r="G52" s="63">
        <f>IFERROR(INDEX('Benchmark Data'!$AC$7:$AC$130,MATCH($A52,'Benchmark Data'!$A$7:$A$130,0)),0)</f>
        <v>0.01</v>
      </c>
      <c r="H52" s="64">
        <f>IFERROR(INDEX('Benchmark Data'!$AD$7:$AD$130,MATCH($A52,'Benchmark Data'!$A$7:$A$130,0)),0)</f>
        <v>150</v>
      </c>
      <c r="I52" s="65">
        <f t="shared" si="5"/>
        <v>1.5</v>
      </c>
      <c r="J52" s="66">
        <f>$E$8</f>
        <v>0</v>
      </c>
      <c r="K52" s="29">
        <f>IFERROR(INDEX('Benchmark Data'!$AE$7:$AE$130,MATCH($A52,'Benchmark Data'!$A$7:$A$130,0)),0)</f>
        <v>1</v>
      </c>
      <c r="L52" s="67">
        <f t="shared" si="6"/>
        <v>0</v>
      </c>
      <c r="M52" s="68">
        <f t="shared" si="7"/>
        <v>0</v>
      </c>
      <c r="N52" s="69">
        <f t="shared" si="8"/>
        <v>0</v>
      </c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</row>
    <row r="53" spans="1:50" outlineLevel="1">
      <c r="A53" s="71" t="s">
        <v>490</v>
      </c>
      <c r="B53" s="72" t="s">
        <v>491</v>
      </c>
      <c r="C53" s="73" t="s">
        <v>492</v>
      </c>
      <c r="D53" s="71" t="s">
        <v>483</v>
      </c>
      <c r="E53" s="74" t="s">
        <v>236</v>
      </c>
      <c r="F53" s="17" t="s">
        <v>63</v>
      </c>
      <c r="G53" s="75">
        <f>G52</f>
        <v>0.01</v>
      </c>
      <c r="H53" s="76">
        <f>H52*(1+Settings!$C$8)</f>
        <v>187.5</v>
      </c>
      <c r="I53" s="76">
        <f t="shared" si="5"/>
        <v>1.875</v>
      </c>
      <c r="J53" s="77">
        <f>J52</f>
        <v>0</v>
      </c>
      <c r="K53" s="51">
        <f>K52</f>
        <v>1</v>
      </c>
      <c r="L53" s="52">
        <f t="shared" si="6"/>
        <v>0</v>
      </c>
      <c r="M53" s="51">
        <f t="shared" si="7"/>
        <v>0</v>
      </c>
      <c r="N53" s="78">
        <f t="shared" si="8"/>
        <v>0</v>
      </c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</row>
    <row r="54" spans="1:50" outlineLevel="1">
      <c r="A54" s="71" t="s">
        <v>490</v>
      </c>
      <c r="B54" s="72" t="s">
        <v>491</v>
      </c>
      <c r="C54" s="73" t="s">
        <v>492</v>
      </c>
      <c r="D54" s="71" t="s">
        <v>483</v>
      </c>
      <c r="E54" s="74" t="s">
        <v>236</v>
      </c>
      <c r="F54" s="17" t="s">
        <v>64</v>
      </c>
      <c r="G54" s="75">
        <f>G52</f>
        <v>0.01</v>
      </c>
      <c r="H54" s="76">
        <f>H52*(1+Settings!$C$9)</f>
        <v>225</v>
      </c>
      <c r="I54" s="76">
        <f t="shared" si="5"/>
        <v>2.25</v>
      </c>
      <c r="J54" s="77">
        <f>J52</f>
        <v>0</v>
      </c>
      <c r="K54" s="51">
        <f>K52</f>
        <v>1</v>
      </c>
      <c r="L54" s="52">
        <f t="shared" si="6"/>
        <v>0</v>
      </c>
      <c r="M54" s="51">
        <f t="shared" si="7"/>
        <v>0</v>
      </c>
      <c r="N54" s="78">
        <f t="shared" si="8"/>
        <v>0</v>
      </c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</row>
    <row r="55" spans="1:50" outlineLevel="1">
      <c r="A55" s="71" t="s">
        <v>490</v>
      </c>
      <c r="B55" s="72" t="s">
        <v>491</v>
      </c>
      <c r="C55" s="73" t="s">
        <v>492</v>
      </c>
      <c r="D55" s="71" t="s">
        <v>483</v>
      </c>
      <c r="E55" s="74" t="s">
        <v>236</v>
      </c>
      <c r="F55" s="17" t="s">
        <v>65</v>
      </c>
      <c r="G55" s="80">
        <f>G52</f>
        <v>0.01</v>
      </c>
      <c r="H55" s="81">
        <f>H52</f>
        <v>150</v>
      </c>
      <c r="I55" s="76">
        <f t="shared" si="5"/>
        <v>1.5</v>
      </c>
      <c r="J55" s="77">
        <f>J52</f>
        <v>0</v>
      </c>
      <c r="K55" s="82">
        <f>K52</f>
        <v>1</v>
      </c>
      <c r="L55" s="52">
        <f t="shared" si="6"/>
        <v>0</v>
      </c>
      <c r="M55" s="51">
        <f t="shared" si="7"/>
        <v>0</v>
      </c>
      <c r="N55" s="78">
        <f t="shared" si="8"/>
        <v>0</v>
      </c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</row>
    <row r="56" spans="1:50">
      <c r="A56" s="83" t="s">
        <v>490</v>
      </c>
      <c r="B56" s="16" t="s">
        <v>491</v>
      </c>
      <c r="C56" s="84" t="s">
        <v>492</v>
      </c>
      <c r="D56" s="85" t="s">
        <v>483</v>
      </c>
      <c r="E56" s="86" t="s">
        <v>236</v>
      </c>
      <c r="F56" s="16" t="s">
        <v>179</v>
      </c>
      <c r="G56" s="87">
        <f>CHOOSE(IF(OR($C$3="Expert input",$I$52=0),4,IF($C$3="+25%",2,IF($C$3="+50%",3,1))),G52,G53,G54,G55)</f>
        <v>0.01</v>
      </c>
      <c r="H56" s="88">
        <f>CHOOSE(IF(OR($C$3="Expert input",$I$52=0),4,IF($C$3="+25%",2,IF($C$3="+50%",3,1))),H52,H53,H54,H55)</f>
        <v>150</v>
      </c>
      <c r="I56" s="88">
        <f t="shared" si="5"/>
        <v>1.5</v>
      </c>
      <c r="J56" s="54">
        <f>J52</f>
        <v>0</v>
      </c>
      <c r="K56" s="53">
        <f>CHOOSE(IF(OR($C$3="Expert input",$I$52=0),4,IF($C$3="+25%",2,IF($C$3="+50%",3,1))),K52,K53,K54,K55)</f>
        <v>1</v>
      </c>
      <c r="L56" s="54">
        <f t="shared" si="6"/>
        <v>0</v>
      </c>
      <c r="M56" s="53">
        <f t="shared" si="7"/>
        <v>0</v>
      </c>
      <c r="N56" s="54">
        <f t="shared" si="8"/>
        <v>0</v>
      </c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>
        <v>0.5</v>
      </c>
      <c r="Z56" s="43">
        <v>0.5</v>
      </c>
      <c r="AA56" s="89">
        <f>O56*$M56</f>
        <v>0</v>
      </c>
      <c r="AB56" s="90">
        <f>O56*$N56</f>
        <v>0</v>
      </c>
      <c r="AC56" s="89">
        <f>P56*$M56</f>
        <v>0</v>
      </c>
      <c r="AD56" s="90">
        <f>P56*$N56</f>
        <v>0</v>
      </c>
      <c r="AE56" s="89">
        <f>Q56*$M56</f>
        <v>0</v>
      </c>
      <c r="AF56" s="90">
        <f>Q56*$N56</f>
        <v>0</v>
      </c>
      <c r="AG56" s="89">
        <f>R56*$M56</f>
        <v>0</v>
      </c>
      <c r="AH56" s="90">
        <f>R56*$N56</f>
        <v>0</v>
      </c>
      <c r="AI56" s="89">
        <f>S56*$M56</f>
        <v>0</v>
      </c>
      <c r="AJ56" s="90">
        <f>S56*$N56</f>
        <v>0</v>
      </c>
      <c r="AK56" s="89">
        <f>T56*$M56</f>
        <v>0</v>
      </c>
      <c r="AL56" s="90">
        <f>T56*$N56</f>
        <v>0</v>
      </c>
      <c r="AM56" s="89">
        <f>U56*$M56</f>
        <v>0</v>
      </c>
      <c r="AN56" s="90">
        <f>U56*$N56</f>
        <v>0</v>
      </c>
      <c r="AO56" s="89">
        <f>V56*$M56</f>
        <v>0</v>
      </c>
      <c r="AP56" s="90">
        <f>V56*$N56</f>
        <v>0</v>
      </c>
      <c r="AQ56" s="89">
        <f>W56*$M56</f>
        <v>0</v>
      </c>
      <c r="AR56" s="90">
        <f>W56*$N56</f>
        <v>0</v>
      </c>
      <c r="AS56" s="89">
        <f>X56*$M56</f>
        <v>0</v>
      </c>
      <c r="AT56" s="90">
        <f>X56*$N56</f>
        <v>0</v>
      </c>
      <c r="AU56" s="89">
        <f>Y56*$M56</f>
        <v>0</v>
      </c>
      <c r="AV56" s="90">
        <f>Y56*$N56</f>
        <v>0</v>
      </c>
      <c r="AW56" s="89">
        <f>Z56*$M56</f>
        <v>0</v>
      </c>
      <c r="AX56" s="90">
        <f>Z56*$N56</f>
        <v>0</v>
      </c>
    </row>
    <row r="57" spans="1:50" outlineLevel="1">
      <c r="A57" s="58" t="s">
        <v>493</v>
      </c>
      <c r="B57" s="59" t="s">
        <v>494</v>
      </c>
      <c r="C57" s="60" t="s">
        <v>495</v>
      </c>
      <c r="D57" s="61" t="s">
        <v>496</v>
      </c>
      <c r="E57" s="62" t="s">
        <v>236</v>
      </c>
      <c r="F57" s="59" t="s">
        <v>62</v>
      </c>
      <c r="G57" s="63">
        <f>IFERROR(INDEX('Benchmark Data'!$AC$7:$AC$130,MATCH($A57,'Benchmark Data'!$A$7:$A$130,0)),0)</f>
        <v>0.01</v>
      </c>
      <c r="H57" s="64">
        <f>IFERROR(INDEX('Benchmark Data'!$AD$7:$AD$130,MATCH($A57,'Benchmark Data'!$A$7:$A$130,0)),0)</f>
        <v>150</v>
      </c>
      <c r="I57" s="65">
        <f t="shared" si="5"/>
        <v>1.5</v>
      </c>
      <c r="J57" s="91"/>
      <c r="K57" s="29">
        <f>IFERROR(INDEX('Benchmark Data'!$AE$7:$AE$130,MATCH($A57,'Benchmark Data'!$A$7:$A$130,0)),0)</f>
        <v>1</v>
      </c>
      <c r="L57" s="67">
        <f t="shared" si="6"/>
        <v>0</v>
      </c>
      <c r="M57" s="68">
        <f t="shared" si="7"/>
        <v>0</v>
      </c>
      <c r="N57" s="69">
        <f t="shared" si="8"/>
        <v>0</v>
      </c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</row>
    <row r="58" spans="1:50" outlineLevel="1">
      <c r="A58" s="71" t="s">
        <v>493</v>
      </c>
      <c r="B58" s="72" t="s">
        <v>494</v>
      </c>
      <c r="C58" s="73" t="s">
        <v>495</v>
      </c>
      <c r="D58" s="71" t="s">
        <v>496</v>
      </c>
      <c r="E58" s="74" t="s">
        <v>236</v>
      </c>
      <c r="F58" s="17" t="s">
        <v>63</v>
      </c>
      <c r="G58" s="75">
        <f>G57</f>
        <v>0.01</v>
      </c>
      <c r="H58" s="76">
        <f>H57*(1+Settings!$C$8)</f>
        <v>187.5</v>
      </c>
      <c r="I58" s="76">
        <f t="shared" si="5"/>
        <v>1.875</v>
      </c>
      <c r="J58" s="77">
        <f>J57</f>
        <v>0</v>
      </c>
      <c r="K58" s="51">
        <f>K57</f>
        <v>1</v>
      </c>
      <c r="L58" s="52">
        <f t="shared" si="6"/>
        <v>0</v>
      </c>
      <c r="M58" s="51">
        <f t="shared" si="7"/>
        <v>0</v>
      </c>
      <c r="N58" s="78">
        <f t="shared" si="8"/>
        <v>0</v>
      </c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</row>
    <row r="59" spans="1:50" outlineLevel="1">
      <c r="A59" s="71" t="s">
        <v>493</v>
      </c>
      <c r="B59" s="72" t="s">
        <v>494</v>
      </c>
      <c r="C59" s="73" t="s">
        <v>495</v>
      </c>
      <c r="D59" s="71" t="s">
        <v>496</v>
      </c>
      <c r="E59" s="74" t="s">
        <v>236</v>
      </c>
      <c r="F59" s="17" t="s">
        <v>64</v>
      </c>
      <c r="G59" s="75">
        <f>G57</f>
        <v>0.01</v>
      </c>
      <c r="H59" s="76">
        <f>H57*(1+Settings!$C$9)</f>
        <v>225</v>
      </c>
      <c r="I59" s="76">
        <f t="shared" si="5"/>
        <v>2.25</v>
      </c>
      <c r="J59" s="77">
        <f>J57</f>
        <v>0</v>
      </c>
      <c r="K59" s="51">
        <f>K57</f>
        <v>1</v>
      </c>
      <c r="L59" s="52">
        <f t="shared" si="6"/>
        <v>0</v>
      </c>
      <c r="M59" s="51">
        <f t="shared" si="7"/>
        <v>0</v>
      </c>
      <c r="N59" s="78">
        <f t="shared" si="8"/>
        <v>0</v>
      </c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</row>
    <row r="60" spans="1:50" outlineLevel="1">
      <c r="A60" s="71" t="s">
        <v>493</v>
      </c>
      <c r="B60" s="72" t="s">
        <v>494</v>
      </c>
      <c r="C60" s="73" t="s">
        <v>495</v>
      </c>
      <c r="D60" s="71" t="s">
        <v>496</v>
      </c>
      <c r="E60" s="74" t="s">
        <v>236</v>
      </c>
      <c r="F60" s="17" t="s">
        <v>65</v>
      </c>
      <c r="G60" s="80">
        <f>G57</f>
        <v>0.01</v>
      </c>
      <c r="H60" s="81">
        <f>H57</f>
        <v>150</v>
      </c>
      <c r="I60" s="76">
        <f t="shared" si="5"/>
        <v>1.5</v>
      </c>
      <c r="J60" s="77">
        <f>J57</f>
        <v>0</v>
      </c>
      <c r="K60" s="82">
        <f>K57</f>
        <v>1</v>
      </c>
      <c r="L60" s="52">
        <f t="shared" si="6"/>
        <v>0</v>
      </c>
      <c r="M60" s="51">
        <f t="shared" si="7"/>
        <v>0</v>
      </c>
      <c r="N60" s="78">
        <f t="shared" si="8"/>
        <v>0</v>
      </c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</row>
    <row r="61" spans="1:50">
      <c r="A61" s="83" t="s">
        <v>493</v>
      </c>
      <c r="B61" s="16" t="s">
        <v>494</v>
      </c>
      <c r="C61" s="84" t="s">
        <v>495</v>
      </c>
      <c r="D61" s="85" t="s">
        <v>496</v>
      </c>
      <c r="E61" s="86" t="s">
        <v>236</v>
      </c>
      <c r="F61" s="16" t="s">
        <v>179</v>
      </c>
      <c r="G61" s="87">
        <f>CHOOSE(IF(OR($C$3="Expert input",$I$57=0),4,IF($C$3="+25%",2,IF($C$3="+50%",3,1))),G57,G58,G59,G60)</f>
        <v>0.01</v>
      </c>
      <c r="H61" s="88">
        <f>CHOOSE(IF(OR($C$3="Expert input",$I$57=0),4,IF($C$3="+25%",2,IF($C$3="+50%",3,1))),H57,H58,H59,H60)</f>
        <v>150</v>
      </c>
      <c r="I61" s="88">
        <f t="shared" si="5"/>
        <v>1.5</v>
      </c>
      <c r="J61" s="54">
        <f>J57</f>
        <v>0</v>
      </c>
      <c r="K61" s="53">
        <f>CHOOSE(IF(OR($C$3="Expert input",$I$57=0),4,IF($C$3="+25%",2,IF($C$3="+50%",3,1))),K57,K58,K59,K60)</f>
        <v>1</v>
      </c>
      <c r="L61" s="54">
        <f t="shared" si="6"/>
        <v>0</v>
      </c>
      <c r="M61" s="53">
        <f t="shared" si="7"/>
        <v>0</v>
      </c>
      <c r="N61" s="54">
        <f t="shared" si="8"/>
        <v>0</v>
      </c>
      <c r="O61" s="43"/>
      <c r="P61" s="43"/>
      <c r="Q61" s="43"/>
      <c r="R61" s="43"/>
      <c r="S61" s="43"/>
      <c r="T61" s="43"/>
      <c r="U61" s="43"/>
      <c r="V61" s="43"/>
      <c r="W61" s="43">
        <v>1</v>
      </c>
      <c r="X61" s="43"/>
      <c r="Y61" s="43"/>
      <c r="Z61" s="43"/>
      <c r="AA61" s="89">
        <f>O61*$M61</f>
        <v>0</v>
      </c>
      <c r="AB61" s="90">
        <f>O61*$N61</f>
        <v>0</v>
      </c>
      <c r="AC61" s="89">
        <f>P61*$M61</f>
        <v>0</v>
      </c>
      <c r="AD61" s="90">
        <f>P61*$N61</f>
        <v>0</v>
      </c>
      <c r="AE61" s="89">
        <f>Q61*$M61</f>
        <v>0</v>
      </c>
      <c r="AF61" s="90">
        <f>Q61*$N61</f>
        <v>0</v>
      </c>
      <c r="AG61" s="89">
        <f>R61*$M61</f>
        <v>0</v>
      </c>
      <c r="AH61" s="90">
        <f>R61*$N61</f>
        <v>0</v>
      </c>
      <c r="AI61" s="89">
        <f>S61*$M61</f>
        <v>0</v>
      </c>
      <c r="AJ61" s="90">
        <f>S61*$N61</f>
        <v>0</v>
      </c>
      <c r="AK61" s="89">
        <f>T61*$M61</f>
        <v>0</v>
      </c>
      <c r="AL61" s="90">
        <f>T61*$N61</f>
        <v>0</v>
      </c>
      <c r="AM61" s="89">
        <f>U61*$M61</f>
        <v>0</v>
      </c>
      <c r="AN61" s="90">
        <f>U61*$N61</f>
        <v>0</v>
      </c>
      <c r="AO61" s="89">
        <f>V61*$M61</f>
        <v>0</v>
      </c>
      <c r="AP61" s="90">
        <f>V61*$N61</f>
        <v>0</v>
      </c>
      <c r="AQ61" s="89">
        <f>W61*$M61</f>
        <v>0</v>
      </c>
      <c r="AR61" s="90">
        <f>W61*$N61</f>
        <v>0</v>
      </c>
      <c r="AS61" s="89">
        <f>X61*$M61</f>
        <v>0</v>
      </c>
      <c r="AT61" s="90">
        <f>X61*$N61</f>
        <v>0</v>
      </c>
      <c r="AU61" s="89">
        <f>Y61*$M61</f>
        <v>0</v>
      </c>
      <c r="AV61" s="90">
        <f>Y61*$N61</f>
        <v>0</v>
      </c>
      <c r="AW61" s="89">
        <f>Z61*$M61</f>
        <v>0</v>
      </c>
      <c r="AX61" s="90">
        <f>Z61*$N61</f>
        <v>0</v>
      </c>
    </row>
    <row r="62" spans="1:50" outlineLevel="1">
      <c r="A62" s="58" t="s">
        <v>497</v>
      </c>
      <c r="B62" s="59" t="s">
        <v>498</v>
      </c>
      <c r="C62" s="60" t="s">
        <v>499</v>
      </c>
      <c r="D62" s="61" t="s">
        <v>496</v>
      </c>
      <c r="E62" s="62" t="s">
        <v>236</v>
      </c>
      <c r="F62" s="59" t="s">
        <v>62</v>
      </c>
      <c r="G62" s="63">
        <f>IFERROR(INDEX('Benchmark Data'!$AC$7:$AC$130,MATCH($A62,'Benchmark Data'!$A$7:$A$130,0)),0)</f>
        <v>0.02</v>
      </c>
      <c r="H62" s="64">
        <f>IFERROR(INDEX('Benchmark Data'!$AD$7:$AD$130,MATCH($A62,'Benchmark Data'!$A$7:$A$130,0)),0)</f>
        <v>150</v>
      </c>
      <c r="I62" s="65">
        <f t="shared" si="5"/>
        <v>3</v>
      </c>
      <c r="J62" s="91"/>
      <c r="K62" s="29">
        <f>IFERROR(INDEX('Benchmark Data'!$AE$7:$AE$130,MATCH($A62,'Benchmark Data'!$A$7:$A$130,0)),0)</f>
        <v>1</v>
      </c>
      <c r="L62" s="67">
        <f t="shared" si="6"/>
        <v>0</v>
      </c>
      <c r="M62" s="68">
        <f t="shared" si="7"/>
        <v>0</v>
      </c>
      <c r="N62" s="69">
        <f t="shared" si="8"/>
        <v>0</v>
      </c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</row>
    <row r="63" spans="1:50" outlineLevel="1">
      <c r="A63" s="71" t="s">
        <v>497</v>
      </c>
      <c r="B63" s="72" t="s">
        <v>498</v>
      </c>
      <c r="C63" s="73" t="s">
        <v>499</v>
      </c>
      <c r="D63" s="71" t="s">
        <v>496</v>
      </c>
      <c r="E63" s="74" t="s">
        <v>236</v>
      </c>
      <c r="F63" s="17" t="s">
        <v>63</v>
      </c>
      <c r="G63" s="75">
        <f>G62</f>
        <v>0.02</v>
      </c>
      <c r="H63" s="76">
        <f>H62*(1+Settings!$C$8)</f>
        <v>187.5</v>
      </c>
      <c r="I63" s="76">
        <f t="shared" si="5"/>
        <v>3.75</v>
      </c>
      <c r="J63" s="77">
        <f>J62</f>
        <v>0</v>
      </c>
      <c r="K63" s="51">
        <f>K62</f>
        <v>1</v>
      </c>
      <c r="L63" s="52">
        <f t="shared" si="6"/>
        <v>0</v>
      </c>
      <c r="M63" s="51">
        <f t="shared" si="7"/>
        <v>0</v>
      </c>
      <c r="N63" s="78">
        <f t="shared" si="8"/>
        <v>0</v>
      </c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</row>
    <row r="64" spans="1:50" outlineLevel="1">
      <c r="A64" s="71" t="s">
        <v>497</v>
      </c>
      <c r="B64" s="72" t="s">
        <v>498</v>
      </c>
      <c r="C64" s="73" t="s">
        <v>499</v>
      </c>
      <c r="D64" s="71" t="s">
        <v>496</v>
      </c>
      <c r="E64" s="74" t="s">
        <v>236</v>
      </c>
      <c r="F64" s="17" t="s">
        <v>64</v>
      </c>
      <c r="G64" s="75">
        <f>G62</f>
        <v>0.02</v>
      </c>
      <c r="H64" s="76">
        <f>H62*(1+Settings!$C$9)</f>
        <v>225</v>
      </c>
      <c r="I64" s="76">
        <f t="shared" si="5"/>
        <v>4.5</v>
      </c>
      <c r="J64" s="77">
        <f>J62</f>
        <v>0</v>
      </c>
      <c r="K64" s="51">
        <f>K62</f>
        <v>1</v>
      </c>
      <c r="L64" s="52">
        <f t="shared" si="6"/>
        <v>0</v>
      </c>
      <c r="M64" s="51">
        <f t="shared" si="7"/>
        <v>0</v>
      </c>
      <c r="N64" s="78">
        <f t="shared" si="8"/>
        <v>0</v>
      </c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</row>
    <row r="65" spans="1:50" outlineLevel="1">
      <c r="A65" s="71" t="s">
        <v>497</v>
      </c>
      <c r="B65" s="72" t="s">
        <v>498</v>
      </c>
      <c r="C65" s="73" t="s">
        <v>499</v>
      </c>
      <c r="D65" s="71" t="s">
        <v>496</v>
      </c>
      <c r="E65" s="74" t="s">
        <v>236</v>
      </c>
      <c r="F65" s="17" t="s">
        <v>65</v>
      </c>
      <c r="G65" s="80">
        <f>G62</f>
        <v>0.02</v>
      </c>
      <c r="H65" s="81">
        <f>H62</f>
        <v>150</v>
      </c>
      <c r="I65" s="76">
        <f t="shared" si="5"/>
        <v>3</v>
      </c>
      <c r="J65" s="77">
        <f>J62</f>
        <v>0</v>
      </c>
      <c r="K65" s="82">
        <f>K62</f>
        <v>1</v>
      </c>
      <c r="L65" s="52">
        <f t="shared" si="6"/>
        <v>0</v>
      </c>
      <c r="M65" s="51">
        <f t="shared" si="7"/>
        <v>0</v>
      </c>
      <c r="N65" s="78">
        <f t="shared" si="8"/>
        <v>0</v>
      </c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</row>
    <row r="66" spans="1:50">
      <c r="A66" s="83" t="s">
        <v>497</v>
      </c>
      <c r="B66" s="16" t="s">
        <v>498</v>
      </c>
      <c r="C66" s="84" t="s">
        <v>499</v>
      </c>
      <c r="D66" s="85" t="s">
        <v>496</v>
      </c>
      <c r="E66" s="86" t="s">
        <v>236</v>
      </c>
      <c r="F66" s="16" t="s">
        <v>179</v>
      </c>
      <c r="G66" s="87">
        <f>CHOOSE(IF(OR($C$3="Expert input",$I$62=0),4,IF($C$3="+25%",2,IF($C$3="+50%",3,1))),G62,G63,G64,G65)</f>
        <v>0.02</v>
      </c>
      <c r="H66" s="88">
        <f>CHOOSE(IF(OR($C$3="Expert input",$I$62=0),4,IF($C$3="+25%",2,IF($C$3="+50%",3,1))),H62,H63,H64,H65)</f>
        <v>150</v>
      </c>
      <c r="I66" s="88">
        <f t="shared" si="5"/>
        <v>3</v>
      </c>
      <c r="J66" s="54">
        <f>J62</f>
        <v>0</v>
      </c>
      <c r="K66" s="53">
        <f>CHOOSE(IF(OR($C$3="Expert input",$I$62=0),4,IF($C$3="+25%",2,IF($C$3="+50%",3,1))),K62,K63,K64,K65)</f>
        <v>1</v>
      </c>
      <c r="L66" s="54">
        <f t="shared" si="6"/>
        <v>0</v>
      </c>
      <c r="M66" s="53">
        <f t="shared" si="7"/>
        <v>0</v>
      </c>
      <c r="N66" s="54">
        <f t="shared" si="8"/>
        <v>0</v>
      </c>
      <c r="O66" s="43"/>
      <c r="P66" s="43"/>
      <c r="Q66" s="43"/>
      <c r="R66" s="43"/>
      <c r="S66" s="43"/>
      <c r="T66" s="43"/>
      <c r="U66" s="43"/>
      <c r="V66" s="43"/>
      <c r="W66" s="43">
        <v>1</v>
      </c>
      <c r="X66" s="43"/>
      <c r="Y66" s="43"/>
      <c r="Z66" s="43"/>
      <c r="AA66" s="89">
        <f>O66*$M66</f>
        <v>0</v>
      </c>
      <c r="AB66" s="90">
        <f>O66*$N66</f>
        <v>0</v>
      </c>
      <c r="AC66" s="89">
        <f>P66*$M66</f>
        <v>0</v>
      </c>
      <c r="AD66" s="90">
        <f>P66*$N66</f>
        <v>0</v>
      </c>
      <c r="AE66" s="89">
        <f>Q66*$M66</f>
        <v>0</v>
      </c>
      <c r="AF66" s="90">
        <f>Q66*$N66</f>
        <v>0</v>
      </c>
      <c r="AG66" s="89">
        <f>R66*$M66</f>
        <v>0</v>
      </c>
      <c r="AH66" s="90">
        <f>R66*$N66</f>
        <v>0</v>
      </c>
      <c r="AI66" s="89">
        <f>S66*$M66</f>
        <v>0</v>
      </c>
      <c r="AJ66" s="90">
        <f>S66*$N66</f>
        <v>0</v>
      </c>
      <c r="AK66" s="89">
        <f>T66*$M66</f>
        <v>0</v>
      </c>
      <c r="AL66" s="90">
        <f>T66*$N66</f>
        <v>0</v>
      </c>
      <c r="AM66" s="89">
        <f>U66*$M66</f>
        <v>0</v>
      </c>
      <c r="AN66" s="90">
        <f>U66*$N66</f>
        <v>0</v>
      </c>
      <c r="AO66" s="89">
        <f>V66*$M66</f>
        <v>0</v>
      </c>
      <c r="AP66" s="90">
        <f>V66*$N66</f>
        <v>0</v>
      </c>
      <c r="AQ66" s="89">
        <f>W66*$M66</f>
        <v>0</v>
      </c>
      <c r="AR66" s="90">
        <f>W66*$N66</f>
        <v>0</v>
      </c>
      <c r="AS66" s="89">
        <f>X66*$M66</f>
        <v>0</v>
      </c>
      <c r="AT66" s="90">
        <f>X66*$N66</f>
        <v>0</v>
      </c>
      <c r="AU66" s="89">
        <f>Y66*$M66</f>
        <v>0</v>
      </c>
      <c r="AV66" s="90">
        <f>Y66*$N66</f>
        <v>0</v>
      </c>
      <c r="AW66" s="89">
        <f>Z66*$M66</f>
        <v>0</v>
      </c>
      <c r="AX66" s="90">
        <f>Z66*$N66</f>
        <v>0</v>
      </c>
    </row>
    <row r="67" spans="1:50" outlineLevel="1">
      <c r="A67" s="58" t="s">
        <v>500</v>
      </c>
      <c r="B67" s="59" t="s">
        <v>448</v>
      </c>
      <c r="C67" s="60" t="s">
        <v>449</v>
      </c>
      <c r="D67" s="61" t="s">
        <v>284</v>
      </c>
      <c r="E67" s="62" t="s">
        <v>112</v>
      </c>
      <c r="F67" s="59" t="s">
        <v>62</v>
      </c>
      <c r="G67" s="63">
        <f>IFERROR(INDEX('Benchmark Data'!$AC$7:$AC$130,MATCH($A67,'Benchmark Data'!$A$7:$A$130,0)),0)</f>
        <v>0</v>
      </c>
      <c r="H67" s="64">
        <f>IFERROR(INDEX('Benchmark Data'!$AD$7:$AD$130,MATCH($A67,'Benchmark Data'!$A$7:$A$130,0)),0)</f>
        <v>0</v>
      </c>
      <c r="I67" s="65">
        <f t="shared" si="5"/>
        <v>0</v>
      </c>
      <c r="J67" s="91"/>
      <c r="K67" s="29">
        <f>IFERROR(INDEX('Benchmark Data'!$AE$7:$AE$130,MATCH($A67,'Benchmark Data'!$A$7:$A$130,0)),0)</f>
        <v>1</v>
      </c>
      <c r="L67" s="67">
        <f t="shared" si="6"/>
        <v>0</v>
      </c>
      <c r="M67" s="68">
        <f t="shared" si="7"/>
        <v>0</v>
      </c>
      <c r="N67" s="69">
        <f t="shared" si="8"/>
        <v>0</v>
      </c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</row>
    <row r="68" spans="1:50" outlineLevel="1">
      <c r="A68" s="71" t="s">
        <v>500</v>
      </c>
      <c r="B68" s="72" t="s">
        <v>448</v>
      </c>
      <c r="C68" s="73" t="s">
        <v>449</v>
      </c>
      <c r="D68" s="71" t="s">
        <v>284</v>
      </c>
      <c r="E68" s="74" t="s">
        <v>112</v>
      </c>
      <c r="F68" s="17" t="s">
        <v>63</v>
      </c>
      <c r="G68" s="75">
        <f>G67</f>
        <v>0</v>
      </c>
      <c r="H68" s="76">
        <f>H67*(1+Settings!$C$8)</f>
        <v>0</v>
      </c>
      <c r="I68" s="76">
        <f t="shared" si="5"/>
        <v>0</v>
      </c>
      <c r="J68" s="77">
        <f>J67</f>
        <v>0</v>
      </c>
      <c r="K68" s="51">
        <f>K67</f>
        <v>1</v>
      </c>
      <c r="L68" s="52">
        <f t="shared" si="6"/>
        <v>0</v>
      </c>
      <c r="M68" s="51">
        <f t="shared" si="7"/>
        <v>0</v>
      </c>
      <c r="N68" s="78">
        <f t="shared" si="8"/>
        <v>0</v>
      </c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</row>
    <row r="69" spans="1:50" outlineLevel="1">
      <c r="A69" s="71" t="s">
        <v>500</v>
      </c>
      <c r="B69" s="72" t="s">
        <v>448</v>
      </c>
      <c r="C69" s="73" t="s">
        <v>449</v>
      </c>
      <c r="D69" s="71" t="s">
        <v>284</v>
      </c>
      <c r="E69" s="74" t="s">
        <v>112</v>
      </c>
      <c r="F69" s="17" t="s">
        <v>64</v>
      </c>
      <c r="G69" s="75">
        <f>G67</f>
        <v>0</v>
      </c>
      <c r="H69" s="76">
        <f>H67*(1+Settings!$C$9)</f>
        <v>0</v>
      </c>
      <c r="I69" s="76">
        <f t="shared" si="5"/>
        <v>0</v>
      </c>
      <c r="J69" s="77">
        <f>J67</f>
        <v>0</v>
      </c>
      <c r="K69" s="51">
        <f>K67</f>
        <v>1</v>
      </c>
      <c r="L69" s="52">
        <f t="shared" si="6"/>
        <v>0</v>
      </c>
      <c r="M69" s="51">
        <f t="shared" si="7"/>
        <v>0</v>
      </c>
      <c r="N69" s="78">
        <f t="shared" si="8"/>
        <v>0</v>
      </c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</row>
    <row r="70" spans="1:50" outlineLevel="1">
      <c r="A70" s="71" t="s">
        <v>500</v>
      </c>
      <c r="B70" s="72" t="s">
        <v>448</v>
      </c>
      <c r="C70" s="73" t="s">
        <v>449</v>
      </c>
      <c r="D70" s="71" t="s">
        <v>284</v>
      </c>
      <c r="E70" s="74" t="s">
        <v>112</v>
      </c>
      <c r="F70" s="17" t="s">
        <v>65</v>
      </c>
      <c r="G70" s="80">
        <f>IFERROR(INDEX('Benchmark Data'!$AH$7:$AH$130,MATCH($A70,'Benchmark Data'!$A$7:$A$130,0)),0)</f>
        <v>1</v>
      </c>
      <c r="H70" s="81">
        <f>IFERROR(INDEX('Benchmark Data'!$AI$7:$AI$130,MATCH($A70,'Benchmark Data'!$A$7:$A$130,0)),0)</f>
        <v>2500</v>
      </c>
      <c r="I70" s="76">
        <f t="shared" si="5"/>
        <v>2500</v>
      </c>
      <c r="J70" s="77">
        <f>J67</f>
        <v>0</v>
      </c>
      <c r="K70" s="82">
        <f>IFERROR(INDEX('Benchmark Data'!$AJ$7:$AJ$130,MATCH($A70,'Benchmark Data'!$A$7:$A$130,0)),0)</f>
        <v>1</v>
      </c>
      <c r="L70" s="52">
        <f t="shared" si="6"/>
        <v>0</v>
      </c>
      <c r="M70" s="51">
        <f t="shared" si="7"/>
        <v>0</v>
      </c>
      <c r="N70" s="78">
        <f t="shared" si="8"/>
        <v>0</v>
      </c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</row>
    <row r="71" spans="1:50">
      <c r="A71" s="83" t="s">
        <v>500</v>
      </c>
      <c r="B71" s="16" t="s">
        <v>448</v>
      </c>
      <c r="C71" s="84" t="s">
        <v>449</v>
      </c>
      <c r="D71" s="85" t="s">
        <v>284</v>
      </c>
      <c r="E71" s="86" t="s">
        <v>112</v>
      </c>
      <c r="F71" s="16" t="s">
        <v>179</v>
      </c>
      <c r="G71" s="87">
        <f>CHOOSE(IF(OR($C$3="Expert input",$I$67=0),4,IF($C$3="+25%",2,IF($C$3="+50%",3,1))),G67,G68,G69,G70)</f>
        <v>1</v>
      </c>
      <c r="H71" s="88">
        <f>CHOOSE(IF(OR($C$3="Expert input",$I$67=0),4,IF($C$3="+25%",2,IF($C$3="+50%",3,1))),H67,H68,H69,H70)</f>
        <v>2500</v>
      </c>
      <c r="I71" s="88">
        <f t="shared" si="5"/>
        <v>2500</v>
      </c>
      <c r="J71" s="54">
        <f>J67</f>
        <v>0</v>
      </c>
      <c r="K71" s="53">
        <f>CHOOSE(IF(OR($C$3="Expert input",$I$67=0),4,IF($C$3="+25%",2,IF($C$3="+50%",3,1))),K67,K68,K69,K70)</f>
        <v>1</v>
      </c>
      <c r="L71" s="54">
        <f t="shared" si="6"/>
        <v>0</v>
      </c>
      <c r="M71" s="53">
        <f t="shared" si="7"/>
        <v>0</v>
      </c>
      <c r="N71" s="54">
        <f t="shared" si="8"/>
        <v>0</v>
      </c>
      <c r="O71" s="43"/>
      <c r="P71" s="43"/>
      <c r="Q71" s="43"/>
      <c r="R71" s="43"/>
      <c r="S71" s="43"/>
      <c r="T71" s="43">
        <v>1</v>
      </c>
      <c r="U71" s="43"/>
      <c r="V71" s="43"/>
      <c r="W71" s="43"/>
      <c r="X71" s="43"/>
      <c r="Y71" s="43"/>
      <c r="Z71" s="43"/>
      <c r="AA71" s="89">
        <f>O71*$M71</f>
        <v>0</v>
      </c>
      <c r="AB71" s="90">
        <f>O71*$N71</f>
        <v>0</v>
      </c>
      <c r="AC71" s="89">
        <f>P71*$M71</f>
        <v>0</v>
      </c>
      <c r="AD71" s="90">
        <f>P71*$N71</f>
        <v>0</v>
      </c>
      <c r="AE71" s="89">
        <f>Q71*$M71</f>
        <v>0</v>
      </c>
      <c r="AF71" s="90">
        <f>Q71*$N71</f>
        <v>0</v>
      </c>
      <c r="AG71" s="89">
        <f>R71*$M71</f>
        <v>0</v>
      </c>
      <c r="AH71" s="90">
        <f>R71*$N71</f>
        <v>0</v>
      </c>
      <c r="AI71" s="89">
        <f>S71*$M71</f>
        <v>0</v>
      </c>
      <c r="AJ71" s="90">
        <f>S71*$N71</f>
        <v>0</v>
      </c>
      <c r="AK71" s="89">
        <f>T71*$M71</f>
        <v>0</v>
      </c>
      <c r="AL71" s="90">
        <f>T71*$N71</f>
        <v>0</v>
      </c>
      <c r="AM71" s="89">
        <f>U71*$M71</f>
        <v>0</v>
      </c>
      <c r="AN71" s="90">
        <f>U71*$N71</f>
        <v>0</v>
      </c>
      <c r="AO71" s="89">
        <f>V71*$M71</f>
        <v>0</v>
      </c>
      <c r="AP71" s="90">
        <f>V71*$N71</f>
        <v>0</v>
      </c>
      <c r="AQ71" s="89">
        <f>W71*$M71</f>
        <v>0</v>
      </c>
      <c r="AR71" s="90">
        <f>W71*$N71</f>
        <v>0</v>
      </c>
      <c r="AS71" s="89">
        <f>X71*$M71</f>
        <v>0</v>
      </c>
      <c r="AT71" s="90">
        <f>X71*$N71</f>
        <v>0</v>
      </c>
      <c r="AU71" s="89">
        <f>Y71*$M71</f>
        <v>0</v>
      </c>
      <c r="AV71" s="90">
        <f>Y71*$N71</f>
        <v>0</v>
      </c>
      <c r="AW71" s="89">
        <f>Z71*$M71</f>
        <v>0</v>
      </c>
      <c r="AX71" s="90">
        <f>Z71*$N71</f>
        <v>0</v>
      </c>
    </row>
    <row r="72" spans="1:50" outlineLevel="1">
      <c r="A72" s="58" t="s">
        <v>501</v>
      </c>
      <c r="B72" s="59" t="s">
        <v>288</v>
      </c>
      <c r="C72" s="60" t="s">
        <v>289</v>
      </c>
      <c r="D72" s="61" t="s">
        <v>284</v>
      </c>
      <c r="E72" s="62" t="s">
        <v>502</v>
      </c>
      <c r="F72" s="59" t="s">
        <v>62</v>
      </c>
      <c r="G72" s="63">
        <f>IFERROR(INDEX('Benchmark Data'!$AC$7:$AC$130,MATCH($A72,'Benchmark Data'!$A$7:$A$130,0)),0)</f>
        <v>0</v>
      </c>
      <c r="H72" s="64">
        <f>IFERROR(INDEX('Benchmark Data'!$AD$7:$AD$130,MATCH($A72,'Benchmark Data'!$A$7:$A$130,0)),0)</f>
        <v>0</v>
      </c>
      <c r="I72" s="65">
        <f t="shared" si="5"/>
        <v>0</v>
      </c>
      <c r="J72" s="91"/>
      <c r="K72" s="29">
        <f>IFERROR(INDEX('Benchmark Data'!$AE$7:$AE$130,MATCH($A72,'Benchmark Data'!$A$7:$A$130,0)),0)</f>
        <v>1</v>
      </c>
      <c r="L72" s="67">
        <f t="shared" si="6"/>
        <v>0</v>
      </c>
      <c r="M72" s="68">
        <f t="shared" si="7"/>
        <v>0</v>
      </c>
      <c r="N72" s="69">
        <f t="shared" si="8"/>
        <v>0</v>
      </c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</row>
    <row r="73" spans="1:50" outlineLevel="1">
      <c r="A73" s="71" t="s">
        <v>501</v>
      </c>
      <c r="B73" s="72" t="s">
        <v>288</v>
      </c>
      <c r="C73" s="73" t="s">
        <v>289</v>
      </c>
      <c r="D73" s="71" t="s">
        <v>284</v>
      </c>
      <c r="E73" s="74" t="s">
        <v>502</v>
      </c>
      <c r="F73" s="17" t="s">
        <v>63</v>
      </c>
      <c r="G73" s="75">
        <f>G72</f>
        <v>0</v>
      </c>
      <c r="H73" s="76">
        <f>H72*(1+Settings!$C$8)</f>
        <v>0</v>
      </c>
      <c r="I73" s="76">
        <f t="shared" si="5"/>
        <v>0</v>
      </c>
      <c r="J73" s="77">
        <f>J72</f>
        <v>0</v>
      </c>
      <c r="K73" s="51">
        <f>K72</f>
        <v>1</v>
      </c>
      <c r="L73" s="52">
        <f t="shared" si="6"/>
        <v>0</v>
      </c>
      <c r="M73" s="51">
        <f t="shared" si="7"/>
        <v>0</v>
      </c>
      <c r="N73" s="78">
        <f t="shared" si="8"/>
        <v>0</v>
      </c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</row>
    <row r="74" spans="1:50" outlineLevel="1">
      <c r="A74" s="71" t="s">
        <v>501</v>
      </c>
      <c r="B74" s="72" t="s">
        <v>288</v>
      </c>
      <c r="C74" s="73" t="s">
        <v>289</v>
      </c>
      <c r="D74" s="71" t="s">
        <v>284</v>
      </c>
      <c r="E74" s="74" t="s">
        <v>502</v>
      </c>
      <c r="F74" s="17" t="s">
        <v>64</v>
      </c>
      <c r="G74" s="75">
        <f>G72</f>
        <v>0</v>
      </c>
      <c r="H74" s="76">
        <f>H72*(1+Settings!$C$9)</f>
        <v>0</v>
      </c>
      <c r="I74" s="76">
        <f t="shared" si="5"/>
        <v>0</v>
      </c>
      <c r="J74" s="77">
        <f>J72</f>
        <v>0</v>
      </c>
      <c r="K74" s="51">
        <f>K72</f>
        <v>1</v>
      </c>
      <c r="L74" s="52">
        <f t="shared" si="6"/>
        <v>0</v>
      </c>
      <c r="M74" s="51">
        <f t="shared" si="7"/>
        <v>0</v>
      </c>
      <c r="N74" s="78">
        <f t="shared" si="8"/>
        <v>0</v>
      </c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</row>
    <row r="75" spans="1:50" outlineLevel="1">
      <c r="A75" s="71" t="s">
        <v>501</v>
      </c>
      <c r="B75" s="72" t="s">
        <v>288</v>
      </c>
      <c r="C75" s="73" t="s">
        <v>289</v>
      </c>
      <c r="D75" s="71" t="s">
        <v>284</v>
      </c>
      <c r="E75" s="74" t="s">
        <v>502</v>
      </c>
      <c r="F75" s="17" t="s">
        <v>65</v>
      </c>
      <c r="G75" s="80">
        <f>IFERROR(INDEX('Benchmark Data'!$AH$7:$AH$130,MATCH($A75,'Benchmark Data'!$A$7:$A$130,0)),0)</f>
        <v>1</v>
      </c>
      <c r="H75" s="81">
        <f>IFERROR(INDEX('Benchmark Data'!$AI$7:$AI$130,MATCH($A75,'Benchmark Data'!$A$7:$A$130,0)),0)</f>
        <v>500</v>
      </c>
      <c r="I75" s="76">
        <f t="shared" si="5"/>
        <v>500</v>
      </c>
      <c r="J75" s="77">
        <f>J72</f>
        <v>0</v>
      </c>
      <c r="K75" s="82">
        <f>IFERROR(INDEX('Benchmark Data'!$AJ$7:$AJ$130,MATCH($A75,'Benchmark Data'!$A$7:$A$130,0)),0)</f>
        <v>20</v>
      </c>
      <c r="L75" s="52">
        <f t="shared" si="6"/>
        <v>0</v>
      </c>
      <c r="M75" s="51">
        <f t="shared" si="7"/>
        <v>0</v>
      </c>
      <c r="N75" s="78">
        <f t="shared" si="8"/>
        <v>0</v>
      </c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</row>
    <row r="76" spans="1:50">
      <c r="A76" s="83" t="s">
        <v>501</v>
      </c>
      <c r="B76" s="16" t="s">
        <v>288</v>
      </c>
      <c r="C76" s="84" t="s">
        <v>289</v>
      </c>
      <c r="D76" s="85" t="s">
        <v>284</v>
      </c>
      <c r="E76" s="86" t="s">
        <v>502</v>
      </c>
      <c r="F76" s="16" t="s">
        <v>179</v>
      </c>
      <c r="G76" s="87">
        <f>CHOOSE(IF(OR($C$3="Expert input",$I$72=0),4,IF($C$3="+25%",2,IF($C$3="+50%",3,1))),G72,G73,G74,G75)</f>
        <v>1</v>
      </c>
      <c r="H76" s="88">
        <f>CHOOSE(IF(OR($C$3="Expert input",$I$72=0),4,IF($C$3="+25%",2,IF($C$3="+50%",3,1))),H72,H73,H74,H75)</f>
        <v>500</v>
      </c>
      <c r="I76" s="88">
        <f t="shared" si="5"/>
        <v>500</v>
      </c>
      <c r="J76" s="54">
        <f>J72</f>
        <v>0</v>
      </c>
      <c r="K76" s="53">
        <f>CHOOSE(IF(OR($C$3="Expert input",$I$72=0),4,IF($C$3="+25%",2,IF($C$3="+50%",3,1))),K72,K73,K74,K75)</f>
        <v>20</v>
      </c>
      <c r="L76" s="54">
        <f t="shared" si="6"/>
        <v>0</v>
      </c>
      <c r="M76" s="53">
        <f t="shared" si="7"/>
        <v>0</v>
      </c>
      <c r="N76" s="54">
        <f t="shared" si="8"/>
        <v>0</v>
      </c>
      <c r="O76" s="43"/>
      <c r="P76" s="43"/>
      <c r="Q76" s="43"/>
      <c r="R76" s="43"/>
      <c r="S76" s="43"/>
      <c r="T76" s="43">
        <v>0.25</v>
      </c>
      <c r="U76" s="43">
        <v>0.25</v>
      </c>
      <c r="V76" s="43">
        <v>0.25</v>
      </c>
      <c r="W76" s="43">
        <v>0.25</v>
      </c>
      <c r="X76" s="43"/>
      <c r="Y76" s="43"/>
      <c r="Z76" s="43"/>
      <c r="AA76" s="89">
        <f>O76*$M76</f>
        <v>0</v>
      </c>
      <c r="AB76" s="90">
        <f>O76*$N76</f>
        <v>0</v>
      </c>
      <c r="AC76" s="89">
        <f>P76*$M76</f>
        <v>0</v>
      </c>
      <c r="AD76" s="90">
        <f>P76*$N76</f>
        <v>0</v>
      </c>
      <c r="AE76" s="89">
        <f>Q76*$M76</f>
        <v>0</v>
      </c>
      <c r="AF76" s="90">
        <f>Q76*$N76</f>
        <v>0</v>
      </c>
      <c r="AG76" s="89">
        <f>R76*$M76</f>
        <v>0</v>
      </c>
      <c r="AH76" s="90">
        <f>R76*$N76</f>
        <v>0</v>
      </c>
      <c r="AI76" s="89">
        <f>S76*$M76</f>
        <v>0</v>
      </c>
      <c r="AJ76" s="90">
        <f>S76*$N76</f>
        <v>0</v>
      </c>
      <c r="AK76" s="89">
        <f>T76*$M76</f>
        <v>0</v>
      </c>
      <c r="AL76" s="90">
        <f>T76*$N76</f>
        <v>0</v>
      </c>
      <c r="AM76" s="89">
        <f>U76*$M76</f>
        <v>0</v>
      </c>
      <c r="AN76" s="90">
        <f>U76*$N76</f>
        <v>0</v>
      </c>
      <c r="AO76" s="89">
        <f>V76*$M76</f>
        <v>0</v>
      </c>
      <c r="AP76" s="90">
        <f>V76*$N76</f>
        <v>0</v>
      </c>
      <c r="AQ76" s="89">
        <f>W76*$M76</f>
        <v>0</v>
      </c>
      <c r="AR76" s="90">
        <f>W76*$N76</f>
        <v>0</v>
      </c>
      <c r="AS76" s="89">
        <f>X76*$M76</f>
        <v>0</v>
      </c>
      <c r="AT76" s="90">
        <f>X76*$N76</f>
        <v>0</v>
      </c>
      <c r="AU76" s="89">
        <f>Y76*$M76</f>
        <v>0</v>
      </c>
      <c r="AV76" s="90">
        <f>Y76*$N76</f>
        <v>0</v>
      </c>
      <c r="AW76" s="89">
        <f>Z76*$M76</f>
        <v>0</v>
      </c>
      <c r="AX76" s="90">
        <f>Z76*$N76</f>
        <v>0</v>
      </c>
    </row>
    <row r="77" spans="1:50" outlineLevel="1">
      <c r="A77" s="58" t="s">
        <v>503</v>
      </c>
      <c r="B77" s="92" t="s">
        <v>504</v>
      </c>
      <c r="C77" s="60"/>
      <c r="D77" s="93" t="s">
        <v>292</v>
      </c>
      <c r="E77" s="62" t="s">
        <v>236</v>
      </c>
      <c r="F77" s="59" t="s">
        <v>62</v>
      </c>
      <c r="G77" s="63">
        <f>IFERROR(INDEX('Benchmark Data'!$AC$7:$AC$130,MATCH($A77,'Benchmark Data'!$A$7:$A$130,0)),0)</f>
        <v>0</v>
      </c>
      <c r="H77" s="64">
        <f>IFERROR(INDEX('Benchmark Data'!$AD$7:$AD$130,MATCH($A77,'Benchmark Data'!$A$7:$A$130,0)),0)</f>
        <v>0</v>
      </c>
      <c r="I77" s="65">
        <f t="shared" si="5"/>
        <v>0</v>
      </c>
      <c r="J77" s="66">
        <f>$E$8</f>
        <v>0</v>
      </c>
      <c r="K77" s="29">
        <f>IFERROR(INDEX('Benchmark Data'!$AE$7:$AE$130,MATCH($A77,'Benchmark Data'!$A$7:$A$130,0)),0)</f>
        <v>1</v>
      </c>
      <c r="L77" s="67">
        <f t="shared" si="6"/>
        <v>0</v>
      </c>
      <c r="M77" s="68">
        <f t="shared" si="7"/>
        <v>0</v>
      </c>
      <c r="N77" s="69">
        <f t="shared" si="8"/>
        <v>0</v>
      </c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</row>
    <row r="78" spans="1:50" outlineLevel="1">
      <c r="A78" s="71" t="s">
        <v>503</v>
      </c>
      <c r="B78" s="72" t="s">
        <v>504</v>
      </c>
      <c r="C78" s="73"/>
      <c r="D78" s="94" t="s">
        <v>292</v>
      </c>
      <c r="E78" s="74" t="s">
        <v>236</v>
      </c>
      <c r="F78" s="17" t="s">
        <v>63</v>
      </c>
      <c r="G78" s="75">
        <f>G77</f>
        <v>0</v>
      </c>
      <c r="H78" s="76">
        <f>H77*(1+Settings!$C$8)</f>
        <v>0</v>
      </c>
      <c r="I78" s="76">
        <f t="shared" si="5"/>
        <v>0</v>
      </c>
      <c r="J78" s="77">
        <f>J77</f>
        <v>0</v>
      </c>
      <c r="K78" s="51">
        <f>K77</f>
        <v>1</v>
      </c>
      <c r="L78" s="52">
        <f t="shared" si="6"/>
        <v>0</v>
      </c>
      <c r="M78" s="51">
        <f t="shared" si="7"/>
        <v>0</v>
      </c>
      <c r="N78" s="78">
        <f t="shared" si="8"/>
        <v>0</v>
      </c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</row>
    <row r="79" spans="1:50" outlineLevel="1">
      <c r="A79" s="71" t="s">
        <v>503</v>
      </c>
      <c r="B79" s="72" t="s">
        <v>504</v>
      </c>
      <c r="C79" s="73"/>
      <c r="D79" s="94" t="s">
        <v>292</v>
      </c>
      <c r="E79" s="74" t="s">
        <v>236</v>
      </c>
      <c r="F79" s="17" t="s">
        <v>64</v>
      </c>
      <c r="G79" s="75">
        <f>G77</f>
        <v>0</v>
      </c>
      <c r="H79" s="76">
        <f>H77*(1+Settings!$C$9)</f>
        <v>0</v>
      </c>
      <c r="I79" s="76">
        <f t="shared" si="5"/>
        <v>0</v>
      </c>
      <c r="J79" s="77">
        <f>J77</f>
        <v>0</v>
      </c>
      <c r="K79" s="51">
        <f>K77</f>
        <v>1</v>
      </c>
      <c r="L79" s="52">
        <f t="shared" si="6"/>
        <v>0</v>
      </c>
      <c r="M79" s="51">
        <f t="shared" si="7"/>
        <v>0</v>
      </c>
      <c r="N79" s="78">
        <f t="shared" si="8"/>
        <v>0</v>
      </c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</row>
    <row r="80" spans="1:50" outlineLevel="1">
      <c r="A80" s="71" t="s">
        <v>503</v>
      </c>
      <c r="B80" s="72" t="s">
        <v>504</v>
      </c>
      <c r="C80" s="73"/>
      <c r="D80" s="94" t="s">
        <v>292</v>
      </c>
      <c r="E80" s="74" t="s">
        <v>236</v>
      </c>
      <c r="F80" s="17" t="s">
        <v>65</v>
      </c>
      <c r="G80" s="95"/>
      <c r="H80" s="96"/>
      <c r="I80" s="76">
        <f t="shared" si="5"/>
        <v>0</v>
      </c>
      <c r="J80" s="77">
        <f>J77</f>
        <v>0</v>
      </c>
      <c r="K80" s="45">
        <v>1</v>
      </c>
      <c r="L80" s="52">
        <f t="shared" si="6"/>
        <v>0</v>
      </c>
      <c r="M80" s="51">
        <f t="shared" si="7"/>
        <v>0</v>
      </c>
      <c r="N80" s="78">
        <f t="shared" si="8"/>
        <v>0</v>
      </c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</row>
    <row r="81" spans="1:50">
      <c r="A81" s="83" t="s">
        <v>503</v>
      </c>
      <c r="B81" s="97" t="s">
        <v>504</v>
      </c>
      <c r="C81" s="84"/>
      <c r="D81" s="98" t="s">
        <v>292</v>
      </c>
      <c r="E81" s="86" t="s">
        <v>236</v>
      </c>
      <c r="F81" s="16" t="s">
        <v>179</v>
      </c>
      <c r="G81" s="87">
        <f>CHOOSE(IF(OR($C$3="Expert input",$I$77=0),4,IF($C$3="+25%",2,IF($C$3="+50%",3,1))),G77,G78,G79,G80)</f>
        <v>0</v>
      </c>
      <c r="H81" s="88">
        <f>CHOOSE(IF(OR($C$3="Expert input",$I$77=0),4,IF($C$3="+25%",2,IF($C$3="+50%",3,1))),H77,H78,H79,H80)</f>
        <v>0</v>
      </c>
      <c r="I81" s="88">
        <f t="shared" ref="I81:I112" si="9">G81*H81</f>
        <v>0</v>
      </c>
      <c r="J81" s="54">
        <f>J77</f>
        <v>0</v>
      </c>
      <c r="K81" s="53">
        <f>CHOOSE(IF(OR($C$3="Expert input",$I$77=0),4,IF($C$3="+25%",2,IF($C$3="+50%",3,1))),K77,K78,K79,K80)</f>
        <v>1</v>
      </c>
      <c r="L81" s="54">
        <f t="shared" ref="L81:L112" si="10">J81*K81</f>
        <v>0</v>
      </c>
      <c r="M81" s="53">
        <f t="shared" ref="M81:M112" si="11">L81*G81</f>
        <v>0</v>
      </c>
      <c r="N81" s="54">
        <f t="shared" si="8"/>
        <v>0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89">
        <f>O81*$M81</f>
        <v>0</v>
      </c>
      <c r="AB81" s="90">
        <f>O81*$N81</f>
        <v>0</v>
      </c>
      <c r="AC81" s="89">
        <f>P81*$M81</f>
        <v>0</v>
      </c>
      <c r="AD81" s="90">
        <f>P81*$N81</f>
        <v>0</v>
      </c>
      <c r="AE81" s="89">
        <f>Q81*$M81</f>
        <v>0</v>
      </c>
      <c r="AF81" s="90">
        <f>Q81*$N81</f>
        <v>0</v>
      </c>
      <c r="AG81" s="89">
        <f>R81*$M81</f>
        <v>0</v>
      </c>
      <c r="AH81" s="90">
        <f>R81*$N81</f>
        <v>0</v>
      </c>
      <c r="AI81" s="89">
        <f>S81*$M81</f>
        <v>0</v>
      </c>
      <c r="AJ81" s="90">
        <f>S81*$N81</f>
        <v>0</v>
      </c>
      <c r="AK81" s="89">
        <f>T81*$M81</f>
        <v>0</v>
      </c>
      <c r="AL81" s="90">
        <f>T81*$N81</f>
        <v>0</v>
      </c>
      <c r="AM81" s="89">
        <f>U81*$M81</f>
        <v>0</v>
      </c>
      <c r="AN81" s="90">
        <f>U81*$N81</f>
        <v>0</v>
      </c>
      <c r="AO81" s="89">
        <f>V81*$M81</f>
        <v>0</v>
      </c>
      <c r="AP81" s="90">
        <f>V81*$N81</f>
        <v>0</v>
      </c>
      <c r="AQ81" s="89">
        <f>W81*$M81</f>
        <v>0</v>
      </c>
      <c r="AR81" s="90">
        <f>W81*$N81</f>
        <v>0</v>
      </c>
      <c r="AS81" s="89">
        <f>X81*$M81</f>
        <v>0</v>
      </c>
      <c r="AT81" s="90">
        <f>X81*$N81</f>
        <v>0</v>
      </c>
      <c r="AU81" s="89">
        <f>Y81*$M81</f>
        <v>0</v>
      </c>
      <c r="AV81" s="90">
        <f>Y81*$N81</f>
        <v>0</v>
      </c>
      <c r="AW81" s="89">
        <f>Z81*$M81</f>
        <v>0</v>
      </c>
      <c r="AX81" s="90">
        <f>Z81*$N81</f>
        <v>0</v>
      </c>
    </row>
  </sheetData>
  <autoFilter ref="A16:N81" xr:uid="{00000000-0009-0000-0000-000006000000}"/>
  <mergeCells count="9">
    <mergeCell ref="D3:N3"/>
    <mergeCell ref="O6:Z6"/>
    <mergeCell ref="AA6:AX6"/>
    <mergeCell ref="A15:E15"/>
    <mergeCell ref="F15:I15"/>
    <mergeCell ref="J15:K15"/>
    <mergeCell ref="L15:N15"/>
    <mergeCell ref="O15:Z15"/>
    <mergeCell ref="AA15:AX15"/>
  </mergeCells>
  <conditionalFormatting sqref="O21:Z21">
    <cfRule type="expression" dxfId="41" priority="2">
      <formula>AND($L$21&gt;0,ABS(SUM($O$21:$Z$21)-1)&gt;0.001)</formula>
    </cfRule>
  </conditionalFormatting>
  <conditionalFormatting sqref="O26:Z26">
    <cfRule type="expression" dxfId="40" priority="3">
      <formula>AND($L$26&gt;0,ABS(SUM($O$26:$Z$26)-1)&gt;0.001)</formula>
    </cfRule>
  </conditionalFormatting>
  <conditionalFormatting sqref="O31:Z31">
    <cfRule type="expression" dxfId="39" priority="4">
      <formula>AND($L$31&gt;0,ABS(SUM($O$31:$Z$31)-1)&gt;0.001)</formula>
    </cfRule>
  </conditionalFormatting>
  <conditionalFormatting sqref="O36:Z36">
    <cfRule type="expression" dxfId="38" priority="5">
      <formula>AND($L$36&gt;0,ABS(SUM($O$36:$Z$36)-1)&gt;0.001)</formula>
    </cfRule>
  </conditionalFormatting>
  <conditionalFormatting sqref="O41:Z41">
    <cfRule type="expression" dxfId="37" priority="6">
      <formula>AND($L$41&gt;0,ABS(SUM($O$41:$Z$41)-1)&gt;0.001)</formula>
    </cfRule>
  </conditionalFormatting>
  <conditionalFormatting sqref="O46:Z46">
    <cfRule type="expression" dxfId="36" priority="7">
      <formula>AND($L$46&gt;0,ABS(SUM($O$46:$Z$46)-1)&gt;0.001)</formula>
    </cfRule>
  </conditionalFormatting>
  <conditionalFormatting sqref="O51:Z51">
    <cfRule type="expression" dxfId="35" priority="8">
      <formula>AND($L$51&gt;0,ABS(SUM($O$51:$Z$51)-1)&gt;0.001)</formula>
    </cfRule>
  </conditionalFormatting>
  <conditionalFormatting sqref="O56:Z56">
    <cfRule type="expression" dxfId="34" priority="9">
      <formula>AND($L$56&gt;0,ABS(SUM($O$56:$Z$56)-1)&gt;0.001)</formula>
    </cfRule>
  </conditionalFormatting>
  <conditionalFormatting sqref="O61:Z61">
    <cfRule type="expression" dxfId="33" priority="10">
      <formula>AND($L$61&gt;0,ABS(SUM($O$61:$Z$61)-1)&gt;0.001)</formula>
    </cfRule>
  </conditionalFormatting>
  <conditionalFormatting sqref="O66:Z66">
    <cfRule type="expression" dxfId="32" priority="11">
      <formula>AND($L$66&gt;0,ABS(SUM($O$66:$Z$66)-1)&gt;0.001)</formula>
    </cfRule>
  </conditionalFormatting>
  <conditionalFormatting sqref="O71:Z71">
    <cfRule type="expression" dxfId="31" priority="12">
      <formula>AND($L$71&gt;0,ABS(SUM($O$71:$Z$71)-1)&gt;0.001)</formula>
    </cfRule>
  </conditionalFormatting>
  <conditionalFormatting sqref="O76:Z76">
    <cfRule type="expression" dxfId="30" priority="13">
      <formula>AND($L$76&gt;0,ABS(SUM($O$76:$Z$76)-1)&gt;0.001)</formula>
    </cfRule>
  </conditionalFormatting>
  <conditionalFormatting sqref="O81:Z81">
    <cfRule type="expression" dxfId="29" priority="14">
      <formula>AND($L$81&gt;0,ABS(SUM($O$81:$Z$81)-1)&gt;0.001)</formula>
    </cfRule>
  </conditionalFormatting>
  <dataValidations count="1">
    <dataValidation type="list" sqref="C3" xr:uid="{00000000-0002-0000-0600-000000000000}">
      <formula1>"Industry average,+25%,+50%,Expert input"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  <pageSetUpPr fitToPage="1"/>
  </sheetPr>
  <dimension ref="A1:AX156"/>
  <sheetViews>
    <sheetView showGridLines="0" zoomScale="90" zoomScaleNormal="9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/>
    </sheetView>
  </sheetViews>
  <sheetFormatPr defaultColWidth="8.6640625" defaultRowHeight="14.4" outlineLevelRow="1"/>
  <cols>
    <col min="1" max="1" width="7" customWidth="1"/>
    <col min="2" max="2" width="36" customWidth="1"/>
    <col min="3" max="3" width="24" customWidth="1"/>
    <col min="4" max="4" width="17" customWidth="1"/>
    <col min="5" max="5" width="11" customWidth="1"/>
    <col min="6" max="6" width="26" customWidth="1"/>
    <col min="7" max="9" width="10" customWidth="1"/>
    <col min="10" max="10" width="12" customWidth="1"/>
    <col min="11" max="11" width="10" customWidth="1"/>
    <col min="12" max="13" width="11" customWidth="1"/>
    <col min="14" max="14" width="13" customWidth="1"/>
    <col min="15" max="26" width="7.44140625" customWidth="1"/>
    <col min="27" max="50" width="10" customWidth="1"/>
  </cols>
  <sheetData>
    <row r="1" spans="1:50" ht="17.399999999999999">
      <c r="A1" s="8" t="s">
        <v>505</v>
      </c>
    </row>
    <row r="2" spans="1:50">
      <c r="A2" s="9" t="str">
        <f>"Farm: "&amp;Settings!$C$6&amp;"     |     Plan year: "&amp;Settings!$C$7</f>
        <v>Farm: Chaka Buna Estate (Silva Forest Coffee)     |     Plan year: 2019 EFY (2026/27) – confirm</v>
      </c>
    </row>
    <row r="3" spans="1:50" ht="21.75" customHeight="1">
      <c r="B3" s="46" t="s">
        <v>99</v>
      </c>
      <c r="C3" s="47" t="s">
        <v>62</v>
      </c>
      <c r="D3" s="3" t="s">
        <v>100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5" spans="1:50">
      <c r="B5" s="48" t="s">
        <v>101</v>
      </c>
      <c r="F5" s="48" t="s">
        <v>102</v>
      </c>
    </row>
    <row r="6" spans="1:50" ht="23.85" customHeight="1">
      <c r="B6" s="18" t="s">
        <v>56</v>
      </c>
      <c r="C6" s="18" t="s">
        <v>55</v>
      </c>
      <c r="D6" s="18" t="s">
        <v>57</v>
      </c>
      <c r="E6" s="18" t="s">
        <v>58</v>
      </c>
      <c r="F6" s="18" t="s">
        <v>103</v>
      </c>
      <c r="M6" s="18" t="s">
        <v>60</v>
      </c>
      <c r="N6" s="18" t="s">
        <v>104</v>
      </c>
      <c r="O6" s="2" t="s">
        <v>105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 t="s">
        <v>106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 spans="1:50">
      <c r="B7" s="17" t="s">
        <v>506</v>
      </c>
      <c r="C7" s="49" t="s">
        <v>507</v>
      </c>
      <c r="D7" s="50" t="s">
        <v>112</v>
      </c>
      <c r="E7" s="44"/>
      <c r="F7" s="17" t="s">
        <v>62</v>
      </c>
      <c r="M7" s="51">
        <f>SUMIF($F$17:$F$156,"Industry average",M$17:M$156)</f>
        <v>0</v>
      </c>
      <c r="N7" s="52">
        <f>SUMIF($F$17:$F$156,"Industry average",N$17:N$156)</f>
        <v>0</v>
      </c>
    </row>
    <row r="8" spans="1:50">
      <c r="B8" s="17" t="s">
        <v>508</v>
      </c>
      <c r="C8" s="49" t="s">
        <v>509</v>
      </c>
      <c r="D8" s="50" t="s">
        <v>109</v>
      </c>
      <c r="E8" s="45"/>
      <c r="F8" s="17" t="s">
        <v>63</v>
      </c>
      <c r="M8" s="51">
        <f>SUMIF($F$17:$F$156,"+25%",M$17:M$156)</f>
        <v>0</v>
      </c>
      <c r="N8" s="52">
        <f>SUMIF($F$17:$F$156,"+25%",N$17:N$156)</f>
        <v>0</v>
      </c>
    </row>
    <row r="9" spans="1:50">
      <c r="B9" s="17" t="s">
        <v>510</v>
      </c>
      <c r="C9" s="49" t="s">
        <v>511</v>
      </c>
      <c r="D9" s="50" t="s">
        <v>512</v>
      </c>
      <c r="E9" s="44"/>
      <c r="F9" s="17" t="s">
        <v>64</v>
      </c>
      <c r="M9" s="51">
        <f>SUMIF($F$17:$F$156,"+50%",M$17:M$156)</f>
        <v>0</v>
      </c>
      <c r="N9" s="52">
        <f>SUMIF($F$17:$F$156,"+50%",N$17:N$156)</f>
        <v>0</v>
      </c>
    </row>
    <row r="10" spans="1:50">
      <c r="B10" s="17" t="s">
        <v>513</v>
      </c>
      <c r="C10" s="49" t="s">
        <v>514</v>
      </c>
      <c r="D10" s="50" t="s">
        <v>515</v>
      </c>
      <c r="E10" s="51">
        <f>IFERROR($E$9*$E$8,0)</f>
        <v>0</v>
      </c>
      <c r="F10" s="17" t="s">
        <v>65</v>
      </c>
      <c r="M10" s="51">
        <f>SUMIF($F$17:$F$156,"Expert input",M$17:M$156)</f>
        <v>0</v>
      </c>
      <c r="N10" s="52">
        <f>SUMIF($F$17:$F$156,"Expert input",N$17:N$156)</f>
        <v>0</v>
      </c>
    </row>
    <row r="11" spans="1:50">
      <c r="B11" s="17" t="s">
        <v>516</v>
      </c>
      <c r="C11" s="49" t="s">
        <v>517</v>
      </c>
      <c r="D11" s="50" t="s">
        <v>202</v>
      </c>
      <c r="E11" s="44"/>
      <c r="F11" s="16" t="s">
        <v>120</v>
      </c>
      <c r="M11" s="53">
        <f>SUMIF($F$17:$F$156,"Chaka Buna plan",M$17:M$156)</f>
        <v>0</v>
      </c>
      <c r="N11" s="54">
        <f>SUMIF($F$17:$F$156,"Chaka Buna plan",N$17:N$156)</f>
        <v>0</v>
      </c>
      <c r="O11" s="55">
        <f>IFERROR(AB11/$N$11,0)</f>
        <v>0</v>
      </c>
      <c r="P11" s="55">
        <f>IFERROR(AD11/$N$11,0)</f>
        <v>0</v>
      </c>
      <c r="Q11" s="55">
        <f>IFERROR(AF11/$N$11,0)</f>
        <v>0</v>
      </c>
      <c r="R11" s="55">
        <f>IFERROR(AH11/$N$11,0)</f>
        <v>0</v>
      </c>
      <c r="S11" s="55">
        <f>IFERROR(AJ11/$N$11,0)</f>
        <v>0</v>
      </c>
      <c r="T11" s="55">
        <f>IFERROR(AL11/$N$11,0)</f>
        <v>0</v>
      </c>
      <c r="U11" s="55">
        <f>IFERROR(AN11/$N$11,0)</f>
        <v>0</v>
      </c>
      <c r="V11" s="55">
        <f>IFERROR(AP11/$N$11,0)</f>
        <v>0</v>
      </c>
      <c r="W11" s="55">
        <f>IFERROR(AR11/$N$11,0)</f>
        <v>0</v>
      </c>
      <c r="X11" s="55">
        <f>IFERROR(AT11/$N$11,0)</f>
        <v>0</v>
      </c>
      <c r="Y11" s="55">
        <f>IFERROR(AV11/$N$11,0)</f>
        <v>0</v>
      </c>
      <c r="Z11" s="55">
        <f>IFERROR(AX11/$N$11,0)</f>
        <v>0</v>
      </c>
      <c r="AA11" s="53">
        <f t="shared" ref="AA11:AX11" si="0">SUM(AA17:AA156)</f>
        <v>0</v>
      </c>
      <c r="AB11" s="54">
        <f t="shared" si="0"/>
        <v>0</v>
      </c>
      <c r="AC11" s="53">
        <f t="shared" si="0"/>
        <v>0</v>
      </c>
      <c r="AD11" s="54">
        <f t="shared" si="0"/>
        <v>0</v>
      </c>
      <c r="AE11" s="53">
        <f t="shared" si="0"/>
        <v>0</v>
      </c>
      <c r="AF11" s="54">
        <f t="shared" si="0"/>
        <v>0</v>
      </c>
      <c r="AG11" s="53">
        <f t="shared" si="0"/>
        <v>0</v>
      </c>
      <c r="AH11" s="54">
        <f t="shared" si="0"/>
        <v>0</v>
      </c>
      <c r="AI11" s="53">
        <f t="shared" si="0"/>
        <v>0</v>
      </c>
      <c r="AJ11" s="54">
        <f t="shared" si="0"/>
        <v>0</v>
      </c>
      <c r="AK11" s="53">
        <f t="shared" si="0"/>
        <v>0</v>
      </c>
      <c r="AL11" s="54">
        <f t="shared" si="0"/>
        <v>0</v>
      </c>
      <c r="AM11" s="53">
        <f t="shared" si="0"/>
        <v>0</v>
      </c>
      <c r="AN11" s="54">
        <f t="shared" si="0"/>
        <v>0</v>
      </c>
      <c r="AO11" s="53">
        <f t="shared" si="0"/>
        <v>0</v>
      </c>
      <c r="AP11" s="54">
        <f t="shared" si="0"/>
        <v>0</v>
      </c>
      <c r="AQ11" s="53">
        <f t="shared" si="0"/>
        <v>0</v>
      </c>
      <c r="AR11" s="54">
        <f t="shared" si="0"/>
        <v>0</v>
      </c>
      <c r="AS11" s="53">
        <f t="shared" si="0"/>
        <v>0</v>
      </c>
      <c r="AT11" s="54">
        <f t="shared" si="0"/>
        <v>0</v>
      </c>
      <c r="AU11" s="53">
        <f t="shared" si="0"/>
        <v>0</v>
      </c>
      <c r="AV11" s="54">
        <f t="shared" si="0"/>
        <v>0</v>
      </c>
      <c r="AW11" s="53">
        <f t="shared" si="0"/>
        <v>0</v>
      </c>
      <c r="AX11" s="54">
        <f t="shared" si="0"/>
        <v>0</v>
      </c>
    </row>
    <row r="12" spans="1:50">
      <c r="B12" s="17" t="s">
        <v>518</v>
      </c>
      <c r="C12" s="49" t="s">
        <v>519</v>
      </c>
      <c r="D12" s="50" t="s">
        <v>117</v>
      </c>
      <c r="E12" s="44"/>
    </row>
    <row r="13" spans="1:50">
      <c r="B13" s="17" t="s">
        <v>520</v>
      </c>
      <c r="C13" s="49" t="s">
        <v>521</v>
      </c>
      <c r="D13" s="50" t="s">
        <v>522</v>
      </c>
      <c r="E13" s="44"/>
    </row>
    <row r="15" spans="1:50">
      <c r="A15" s="6" t="s">
        <v>121</v>
      </c>
      <c r="B15" s="6"/>
      <c r="C15" s="6"/>
      <c r="D15" s="6"/>
      <c r="E15" s="6"/>
      <c r="F15" s="5" t="s">
        <v>122</v>
      </c>
      <c r="G15" s="5"/>
      <c r="H15" s="5"/>
      <c r="I15" s="5"/>
      <c r="J15" s="1" t="s">
        <v>123</v>
      </c>
      <c r="K15" s="1"/>
      <c r="L15" s="4" t="s">
        <v>124</v>
      </c>
      <c r="M15" s="4"/>
      <c r="N15" s="4"/>
      <c r="O15" s="1" t="s">
        <v>125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4" t="s">
        <v>126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ht="57.75" customHeight="1">
      <c r="A16" s="56" t="s">
        <v>127</v>
      </c>
      <c r="B16" s="56" t="s">
        <v>128</v>
      </c>
      <c r="C16" s="56" t="s">
        <v>129</v>
      </c>
      <c r="D16" s="56" t="s">
        <v>130</v>
      </c>
      <c r="E16" s="56" t="s">
        <v>57</v>
      </c>
      <c r="F16" s="23" t="s">
        <v>103</v>
      </c>
      <c r="G16" s="23" t="s">
        <v>131</v>
      </c>
      <c r="H16" s="23" t="s">
        <v>132</v>
      </c>
      <c r="I16" s="23" t="s">
        <v>133</v>
      </c>
      <c r="J16" s="57" t="s">
        <v>134</v>
      </c>
      <c r="K16" s="57" t="s">
        <v>135</v>
      </c>
      <c r="L16" s="24" t="s">
        <v>136</v>
      </c>
      <c r="M16" s="24" t="s">
        <v>137</v>
      </c>
      <c r="N16" s="24" t="s">
        <v>138</v>
      </c>
      <c r="O16" s="57" t="s">
        <v>139</v>
      </c>
      <c r="P16" s="57" t="s">
        <v>140</v>
      </c>
      <c r="Q16" s="57" t="s">
        <v>141</v>
      </c>
      <c r="R16" s="57" t="s">
        <v>142</v>
      </c>
      <c r="S16" s="57" t="s">
        <v>143</v>
      </c>
      <c r="T16" s="57" t="s">
        <v>144</v>
      </c>
      <c r="U16" s="57" t="s">
        <v>145</v>
      </c>
      <c r="V16" s="57" t="s">
        <v>146</v>
      </c>
      <c r="W16" s="57" t="s">
        <v>147</v>
      </c>
      <c r="X16" s="57" t="s">
        <v>148</v>
      </c>
      <c r="Y16" s="57" t="s">
        <v>149</v>
      </c>
      <c r="Z16" s="57" t="s">
        <v>150</v>
      </c>
      <c r="AA16" s="24" t="s">
        <v>151</v>
      </c>
      <c r="AB16" s="24" t="s">
        <v>152</v>
      </c>
      <c r="AC16" s="24" t="s">
        <v>153</v>
      </c>
      <c r="AD16" s="24" t="s">
        <v>154</v>
      </c>
      <c r="AE16" s="24" t="s">
        <v>155</v>
      </c>
      <c r="AF16" s="24" t="s">
        <v>156</v>
      </c>
      <c r="AG16" s="24" t="s">
        <v>157</v>
      </c>
      <c r="AH16" s="24" t="s">
        <v>158</v>
      </c>
      <c r="AI16" s="24" t="s">
        <v>159</v>
      </c>
      <c r="AJ16" s="24" t="s">
        <v>160</v>
      </c>
      <c r="AK16" s="24" t="s">
        <v>161</v>
      </c>
      <c r="AL16" s="24" t="s">
        <v>162</v>
      </c>
      <c r="AM16" s="24" t="s">
        <v>163</v>
      </c>
      <c r="AN16" s="24" t="s">
        <v>164</v>
      </c>
      <c r="AO16" s="24" t="s">
        <v>165</v>
      </c>
      <c r="AP16" s="24" t="s">
        <v>166</v>
      </c>
      <c r="AQ16" s="24" t="s">
        <v>167</v>
      </c>
      <c r="AR16" s="24" t="s">
        <v>168</v>
      </c>
      <c r="AS16" s="24" t="s">
        <v>169</v>
      </c>
      <c r="AT16" s="24" t="s">
        <v>170</v>
      </c>
      <c r="AU16" s="24" t="s">
        <v>171</v>
      </c>
      <c r="AV16" s="24" t="s">
        <v>172</v>
      </c>
      <c r="AW16" s="24" t="s">
        <v>173</v>
      </c>
      <c r="AX16" s="24" t="s">
        <v>174</v>
      </c>
    </row>
    <row r="17" spans="1:50" outlineLevel="1">
      <c r="A17" s="58" t="s">
        <v>523</v>
      </c>
      <c r="B17" s="59" t="s">
        <v>524</v>
      </c>
      <c r="C17" s="60" t="s">
        <v>525</v>
      </c>
      <c r="D17" s="61" t="s">
        <v>526</v>
      </c>
      <c r="E17" s="62" t="s">
        <v>112</v>
      </c>
      <c r="F17" s="59" t="s">
        <v>62</v>
      </c>
      <c r="G17" s="63">
        <f>IFERROR(INDEX('Benchmark Data'!$AC$7:$AC$130,MATCH($A17,'Benchmark Data'!$A$7:$A$130,0)),0)</f>
        <v>1.3333333333333333</v>
      </c>
      <c r="H17" s="64">
        <f>IFERROR(INDEX('Benchmark Data'!$AD$7:$AD$130,MATCH($A17,'Benchmark Data'!$A$7:$A$130,0)),0)</f>
        <v>1500</v>
      </c>
      <c r="I17" s="65">
        <f t="shared" ref="I17:I48" si="1">G17*H17</f>
        <v>2000</v>
      </c>
      <c r="J17" s="91"/>
      <c r="K17" s="29">
        <f>IFERROR(INDEX('Benchmark Data'!$AE$7:$AE$130,MATCH($A17,'Benchmark Data'!$A$7:$A$130,0)),0)</f>
        <v>1</v>
      </c>
      <c r="L17" s="67">
        <f t="shared" ref="L17:L48" si="2">J17*K17</f>
        <v>0</v>
      </c>
      <c r="M17" s="68">
        <f t="shared" ref="M17:M48" si="3">L17*G17</f>
        <v>0</v>
      </c>
      <c r="N17" s="69">
        <f t="shared" ref="N17:N48" si="4">L17*I17</f>
        <v>0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</row>
    <row r="18" spans="1:50" outlineLevel="1">
      <c r="A18" s="71" t="s">
        <v>523</v>
      </c>
      <c r="B18" s="72" t="s">
        <v>524</v>
      </c>
      <c r="C18" s="73" t="s">
        <v>527</v>
      </c>
      <c r="D18" s="71" t="s">
        <v>526</v>
      </c>
      <c r="E18" s="74" t="s">
        <v>112</v>
      </c>
      <c r="F18" s="17" t="s">
        <v>63</v>
      </c>
      <c r="G18" s="75">
        <f>G17</f>
        <v>1.3333333333333333</v>
      </c>
      <c r="H18" s="76">
        <f>H17*(1+Settings!$C$8)</f>
        <v>1875</v>
      </c>
      <c r="I18" s="76">
        <f t="shared" si="1"/>
        <v>2500</v>
      </c>
      <c r="J18" s="77">
        <f>J17</f>
        <v>0</v>
      </c>
      <c r="K18" s="51">
        <f>K17</f>
        <v>1</v>
      </c>
      <c r="L18" s="52">
        <f t="shared" si="2"/>
        <v>0</v>
      </c>
      <c r="M18" s="51">
        <f t="shared" si="3"/>
        <v>0</v>
      </c>
      <c r="N18" s="78">
        <f t="shared" si="4"/>
        <v>0</v>
      </c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</row>
    <row r="19" spans="1:50" outlineLevel="1">
      <c r="A19" s="71" t="s">
        <v>523</v>
      </c>
      <c r="B19" s="72" t="s">
        <v>524</v>
      </c>
      <c r="C19" s="73" t="s">
        <v>527</v>
      </c>
      <c r="D19" s="71" t="s">
        <v>526</v>
      </c>
      <c r="E19" s="74" t="s">
        <v>112</v>
      </c>
      <c r="F19" s="17" t="s">
        <v>64</v>
      </c>
      <c r="G19" s="75">
        <f>G17</f>
        <v>1.3333333333333333</v>
      </c>
      <c r="H19" s="76">
        <f>H17*(1+Settings!$C$9)</f>
        <v>2250</v>
      </c>
      <c r="I19" s="76">
        <f t="shared" si="1"/>
        <v>3000</v>
      </c>
      <c r="J19" s="77">
        <f>J17</f>
        <v>0</v>
      </c>
      <c r="K19" s="51">
        <f>K17</f>
        <v>1</v>
      </c>
      <c r="L19" s="52">
        <f t="shared" si="2"/>
        <v>0</v>
      </c>
      <c r="M19" s="51">
        <f t="shared" si="3"/>
        <v>0</v>
      </c>
      <c r="N19" s="78">
        <f t="shared" si="4"/>
        <v>0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</row>
    <row r="20" spans="1:50" outlineLevel="1">
      <c r="A20" s="71" t="s">
        <v>523</v>
      </c>
      <c r="B20" s="72" t="s">
        <v>524</v>
      </c>
      <c r="C20" s="73" t="s">
        <v>527</v>
      </c>
      <c r="D20" s="71" t="s">
        <v>526</v>
      </c>
      <c r="E20" s="74" t="s">
        <v>112</v>
      </c>
      <c r="F20" s="17" t="s">
        <v>65</v>
      </c>
      <c r="G20" s="80">
        <f>G17</f>
        <v>1.3333333333333333</v>
      </c>
      <c r="H20" s="81">
        <f>H17</f>
        <v>1500</v>
      </c>
      <c r="I20" s="76">
        <f t="shared" si="1"/>
        <v>2000</v>
      </c>
      <c r="J20" s="77">
        <f>J17</f>
        <v>0</v>
      </c>
      <c r="K20" s="82">
        <f>K17</f>
        <v>1</v>
      </c>
      <c r="L20" s="52">
        <f t="shared" si="2"/>
        <v>0</v>
      </c>
      <c r="M20" s="51">
        <f t="shared" si="3"/>
        <v>0</v>
      </c>
      <c r="N20" s="78">
        <f t="shared" si="4"/>
        <v>0</v>
      </c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79"/>
      <c r="AV20" s="79"/>
      <c r="AW20" s="79"/>
      <c r="AX20" s="79"/>
    </row>
    <row r="21" spans="1:50">
      <c r="A21" s="83" t="s">
        <v>523</v>
      </c>
      <c r="B21" s="16" t="s">
        <v>524</v>
      </c>
      <c r="C21" s="84" t="s">
        <v>528</v>
      </c>
      <c r="D21" s="85" t="s">
        <v>526</v>
      </c>
      <c r="E21" s="86" t="s">
        <v>112</v>
      </c>
      <c r="F21" s="16" t="s">
        <v>179</v>
      </c>
      <c r="G21" s="87">
        <f>CHOOSE(IF(OR($C$3="Expert input",$I$17=0),4,IF($C$3="+25%",2,IF($C$3="+50%",3,1))),G17,G18,G19,G20)</f>
        <v>1.3333333333333333</v>
      </c>
      <c r="H21" s="88">
        <f>CHOOSE(IF(OR($C$3="Expert input",$I$17=0),4,IF($C$3="+25%",2,IF($C$3="+50%",3,1))),H17,H18,H19,H20)</f>
        <v>1500</v>
      </c>
      <c r="I21" s="88">
        <f t="shared" si="1"/>
        <v>2000</v>
      </c>
      <c r="J21" s="54">
        <f>J17</f>
        <v>0</v>
      </c>
      <c r="K21" s="53">
        <f>CHOOSE(IF(OR($C$3="Expert input",$I$17=0),4,IF($C$3="+25%",2,IF($C$3="+50%",3,1))),K17,K18,K19,K20)</f>
        <v>1</v>
      </c>
      <c r="L21" s="54">
        <f t="shared" si="2"/>
        <v>0</v>
      </c>
      <c r="M21" s="53">
        <f t="shared" si="3"/>
        <v>0</v>
      </c>
      <c r="N21" s="54">
        <f t="shared" si="4"/>
        <v>0</v>
      </c>
      <c r="O21" s="43">
        <v>0.54</v>
      </c>
      <c r="P21" s="43"/>
      <c r="Q21" s="43"/>
      <c r="R21" s="43"/>
      <c r="S21" s="43"/>
      <c r="T21" s="43"/>
      <c r="U21" s="43"/>
      <c r="V21" s="43"/>
      <c r="W21" s="43"/>
      <c r="X21" s="43"/>
      <c r="Y21" s="43">
        <v>0.13</v>
      </c>
      <c r="Z21" s="43">
        <v>0.33</v>
      </c>
      <c r="AA21" s="89">
        <f>O21*$M21</f>
        <v>0</v>
      </c>
      <c r="AB21" s="90">
        <f>O21*$N21</f>
        <v>0</v>
      </c>
      <c r="AC21" s="89">
        <f>P21*$M21</f>
        <v>0</v>
      </c>
      <c r="AD21" s="90">
        <f>P21*$N21</f>
        <v>0</v>
      </c>
      <c r="AE21" s="89">
        <f>Q21*$M21</f>
        <v>0</v>
      </c>
      <c r="AF21" s="90">
        <f>Q21*$N21</f>
        <v>0</v>
      </c>
      <c r="AG21" s="89">
        <f>R21*$M21</f>
        <v>0</v>
      </c>
      <c r="AH21" s="90">
        <f>R21*$N21</f>
        <v>0</v>
      </c>
      <c r="AI21" s="89">
        <f>S21*$M21</f>
        <v>0</v>
      </c>
      <c r="AJ21" s="90">
        <f>S21*$N21</f>
        <v>0</v>
      </c>
      <c r="AK21" s="89">
        <f>T21*$M21</f>
        <v>0</v>
      </c>
      <c r="AL21" s="90">
        <f>T21*$N21</f>
        <v>0</v>
      </c>
      <c r="AM21" s="89">
        <f>U21*$M21</f>
        <v>0</v>
      </c>
      <c r="AN21" s="90">
        <f>U21*$N21</f>
        <v>0</v>
      </c>
      <c r="AO21" s="89">
        <f>V21*$M21</f>
        <v>0</v>
      </c>
      <c r="AP21" s="90">
        <f>V21*$N21</f>
        <v>0</v>
      </c>
      <c r="AQ21" s="89">
        <f>W21*$M21</f>
        <v>0</v>
      </c>
      <c r="AR21" s="90">
        <f>W21*$N21</f>
        <v>0</v>
      </c>
      <c r="AS21" s="89">
        <f>X21*$M21</f>
        <v>0</v>
      </c>
      <c r="AT21" s="90">
        <f>X21*$N21</f>
        <v>0</v>
      </c>
      <c r="AU21" s="89">
        <f>Y21*$M21</f>
        <v>0</v>
      </c>
      <c r="AV21" s="90">
        <f>Y21*$N21</f>
        <v>0</v>
      </c>
      <c r="AW21" s="89">
        <f>Z21*$M21</f>
        <v>0</v>
      </c>
      <c r="AX21" s="90">
        <f>Z21*$N21</f>
        <v>0</v>
      </c>
    </row>
    <row r="22" spans="1:50" outlineLevel="1">
      <c r="A22" s="58" t="s">
        <v>529</v>
      </c>
      <c r="B22" s="59" t="s">
        <v>530</v>
      </c>
      <c r="C22" s="60" t="s">
        <v>531</v>
      </c>
      <c r="D22" s="61" t="s">
        <v>526</v>
      </c>
      <c r="E22" s="62" t="s">
        <v>226</v>
      </c>
      <c r="F22" s="59" t="s">
        <v>62</v>
      </c>
      <c r="G22" s="63">
        <f>IFERROR(INDEX('Benchmark Data'!$AC$7:$AC$130,MATCH($A22,'Benchmark Data'!$A$7:$A$130,0)),0)</f>
        <v>0.33333333333333298</v>
      </c>
      <c r="H22" s="64">
        <f>IFERROR(INDEX('Benchmark Data'!$AD$7:$AD$130,MATCH($A22,'Benchmark Data'!$A$7:$A$130,0)),0)</f>
        <v>240.00000000000026</v>
      </c>
      <c r="I22" s="65">
        <f t="shared" si="1"/>
        <v>80</v>
      </c>
      <c r="J22" s="91"/>
      <c r="K22" s="29">
        <f>IFERROR(INDEX('Benchmark Data'!$AE$7:$AE$130,MATCH($A22,'Benchmark Data'!$A$7:$A$130,0)),0)</f>
        <v>1</v>
      </c>
      <c r="L22" s="67">
        <f t="shared" si="2"/>
        <v>0</v>
      </c>
      <c r="M22" s="68">
        <f t="shared" si="3"/>
        <v>0</v>
      </c>
      <c r="N22" s="69">
        <f t="shared" si="4"/>
        <v>0</v>
      </c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</row>
    <row r="23" spans="1:50" outlineLevel="1">
      <c r="A23" s="71" t="s">
        <v>529</v>
      </c>
      <c r="B23" s="72" t="s">
        <v>530</v>
      </c>
      <c r="C23" s="73" t="s">
        <v>531</v>
      </c>
      <c r="D23" s="71" t="s">
        <v>526</v>
      </c>
      <c r="E23" s="74" t="s">
        <v>226</v>
      </c>
      <c r="F23" s="17" t="s">
        <v>63</v>
      </c>
      <c r="G23" s="75">
        <f>G22</f>
        <v>0.33333333333333298</v>
      </c>
      <c r="H23" s="76">
        <f>H22*(1+Settings!$C$8)</f>
        <v>300.00000000000034</v>
      </c>
      <c r="I23" s="76">
        <f t="shared" si="1"/>
        <v>100.00000000000001</v>
      </c>
      <c r="J23" s="77">
        <f>J22</f>
        <v>0</v>
      </c>
      <c r="K23" s="51">
        <f>K22</f>
        <v>1</v>
      </c>
      <c r="L23" s="52">
        <f t="shared" si="2"/>
        <v>0</v>
      </c>
      <c r="M23" s="51">
        <f t="shared" si="3"/>
        <v>0</v>
      </c>
      <c r="N23" s="78">
        <f t="shared" si="4"/>
        <v>0</v>
      </c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</row>
    <row r="24" spans="1:50" outlineLevel="1">
      <c r="A24" s="71" t="s">
        <v>529</v>
      </c>
      <c r="B24" s="72" t="s">
        <v>530</v>
      </c>
      <c r="C24" s="73" t="s">
        <v>531</v>
      </c>
      <c r="D24" s="71" t="s">
        <v>526</v>
      </c>
      <c r="E24" s="74" t="s">
        <v>226</v>
      </c>
      <c r="F24" s="17" t="s">
        <v>64</v>
      </c>
      <c r="G24" s="75">
        <f>G22</f>
        <v>0.33333333333333298</v>
      </c>
      <c r="H24" s="76">
        <f>H22*(1+Settings!$C$9)</f>
        <v>360.0000000000004</v>
      </c>
      <c r="I24" s="76">
        <f t="shared" si="1"/>
        <v>120</v>
      </c>
      <c r="J24" s="77">
        <f>J22</f>
        <v>0</v>
      </c>
      <c r="K24" s="51">
        <f>K22</f>
        <v>1</v>
      </c>
      <c r="L24" s="52">
        <f t="shared" si="2"/>
        <v>0</v>
      </c>
      <c r="M24" s="51">
        <f t="shared" si="3"/>
        <v>0</v>
      </c>
      <c r="N24" s="78">
        <f t="shared" si="4"/>
        <v>0</v>
      </c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</row>
    <row r="25" spans="1:50" outlineLevel="1">
      <c r="A25" s="71" t="s">
        <v>529</v>
      </c>
      <c r="B25" s="72" t="s">
        <v>530</v>
      </c>
      <c r="C25" s="73" t="s">
        <v>531</v>
      </c>
      <c r="D25" s="71" t="s">
        <v>526</v>
      </c>
      <c r="E25" s="74" t="s">
        <v>226</v>
      </c>
      <c r="F25" s="17" t="s">
        <v>65</v>
      </c>
      <c r="G25" s="80">
        <f>G22</f>
        <v>0.33333333333333298</v>
      </c>
      <c r="H25" s="81">
        <f>H22</f>
        <v>240.00000000000026</v>
      </c>
      <c r="I25" s="76">
        <f t="shared" si="1"/>
        <v>80</v>
      </c>
      <c r="J25" s="77">
        <f>J22</f>
        <v>0</v>
      </c>
      <c r="K25" s="82">
        <f>K22</f>
        <v>1</v>
      </c>
      <c r="L25" s="52">
        <f t="shared" si="2"/>
        <v>0</v>
      </c>
      <c r="M25" s="51">
        <f t="shared" si="3"/>
        <v>0</v>
      </c>
      <c r="N25" s="78">
        <f t="shared" si="4"/>
        <v>0</v>
      </c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</row>
    <row r="26" spans="1:50">
      <c r="A26" s="83" t="s">
        <v>529</v>
      </c>
      <c r="B26" s="16" t="s">
        <v>530</v>
      </c>
      <c r="C26" s="84" t="s">
        <v>531</v>
      </c>
      <c r="D26" s="85" t="s">
        <v>526</v>
      </c>
      <c r="E26" s="86" t="s">
        <v>226</v>
      </c>
      <c r="F26" s="16" t="s">
        <v>179</v>
      </c>
      <c r="G26" s="87">
        <f>CHOOSE(IF(OR($C$3="Expert input",$I$22=0),4,IF($C$3="+25%",2,IF($C$3="+50%",3,1))),G22,G23,G24,G25)</f>
        <v>0.33333333333333298</v>
      </c>
      <c r="H26" s="88">
        <f>CHOOSE(IF(OR($C$3="Expert input",$I$22=0),4,IF($C$3="+25%",2,IF($C$3="+50%",3,1))),H22,H23,H24,H25)</f>
        <v>240.00000000000026</v>
      </c>
      <c r="I26" s="88">
        <f t="shared" si="1"/>
        <v>80</v>
      </c>
      <c r="J26" s="54">
        <f>J22</f>
        <v>0</v>
      </c>
      <c r="K26" s="53">
        <f>CHOOSE(IF(OR($C$3="Expert input",$I$22=0),4,IF($C$3="+25%",2,IF($C$3="+50%",3,1))),K22,K23,K24,K25)</f>
        <v>1</v>
      </c>
      <c r="L26" s="54">
        <f t="shared" si="2"/>
        <v>0</v>
      </c>
      <c r="M26" s="53">
        <f t="shared" si="3"/>
        <v>0</v>
      </c>
      <c r="N26" s="54">
        <f t="shared" si="4"/>
        <v>0</v>
      </c>
      <c r="O26" s="43">
        <v>0.41</v>
      </c>
      <c r="P26" s="43"/>
      <c r="Q26" s="43"/>
      <c r="R26" s="43"/>
      <c r="S26" s="43"/>
      <c r="T26" s="43"/>
      <c r="U26" s="43"/>
      <c r="V26" s="43"/>
      <c r="W26" s="43">
        <v>0.17</v>
      </c>
      <c r="X26" s="43">
        <v>0.17</v>
      </c>
      <c r="Y26" s="43">
        <v>0.25</v>
      </c>
      <c r="Z26" s="43"/>
      <c r="AA26" s="89">
        <f>O26*$M26</f>
        <v>0</v>
      </c>
      <c r="AB26" s="90">
        <f>O26*$N26</f>
        <v>0</v>
      </c>
      <c r="AC26" s="89">
        <f>P26*$M26</f>
        <v>0</v>
      </c>
      <c r="AD26" s="90">
        <f>P26*$N26</f>
        <v>0</v>
      </c>
      <c r="AE26" s="89">
        <f>Q26*$M26</f>
        <v>0</v>
      </c>
      <c r="AF26" s="90">
        <f>Q26*$N26</f>
        <v>0</v>
      </c>
      <c r="AG26" s="89">
        <f>R26*$M26</f>
        <v>0</v>
      </c>
      <c r="AH26" s="90">
        <f>R26*$N26</f>
        <v>0</v>
      </c>
      <c r="AI26" s="89">
        <f>S26*$M26</f>
        <v>0</v>
      </c>
      <c r="AJ26" s="90">
        <f>S26*$N26</f>
        <v>0</v>
      </c>
      <c r="AK26" s="89">
        <f>T26*$M26</f>
        <v>0</v>
      </c>
      <c r="AL26" s="90">
        <f>T26*$N26</f>
        <v>0</v>
      </c>
      <c r="AM26" s="89">
        <f>U26*$M26</f>
        <v>0</v>
      </c>
      <c r="AN26" s="90">
        <f>U26*$N26</f>
        <v>0</v>
      </c>
      <c r="AO26" s="89">
        <f>V26*$M26</f>
        <v>0</v>
      </c>
      <c r="AP26" s="90">
        <f>V26*$N26</f>
        <v>0</v>
      </c>
      <c r="AQ26" s="89">
        <f>W26*$M26</f>
        <v>0</v>
      </c>
      <c r="AR26" s="90">
        <f>W26*$N26</f>
        <v>0</v>
      </c>
      <c r="AS26" s="89">
        <f>X26*$M26</f>
        <v>0</v>
      </c>
      <c r="AT26" s="90">
        <f>X26*$N26</f>
        <v>0</v>
      </c>
      <c r="AU26" s="89">
        <f>Y26*$M26</f>
        <v>0</v>
      </c>
      <c r="AV26" s="90">
        <f>Y26*$N26</f>
        <v>0</v>
      </c>
      <c r="AW26" s="89">
        <f>Z26*$M26</f>
        <v>0</v>
      </c>
      <c r="AX26" s="90">
        <f>Z26*$N26</f>
        <v>0</v>
      </c>
    </row>
    <row r="27" spans="1:50" outlineLevel="1">
      <c r="A27" s="58" t="s">
        <v>532</v>
      </c>
      <c r="B27" s="59" t="s">
        <v>533</v>
      </c>
      <c r="C27" s="60" t="s">
        <v>534</v>
      </c>
      <c r="D27" s="61" t="s">
        <v>526</v>
      </c>
      <c r="E27" s="62" t="s">
        <v>338</v>
      </c>
      <c r="F27" s="59" t="s">
        <v>62</v>
      </c>
      <c r="G27" s="63">
        <f>IFERROR(INDEX('Benchmark Data'!$AC$7:$AC$130,MATCH($A27,'Benchmark Data'!$A$7:$A$130,0)),0)</f>
        <v>0.1</v>
      </c>
      <c r="H27" s="64">
        <f>IFERROR(INDEX('Benchmark Data'!$AD$7:$AD$130,MATCH($A27,'Benchmark Data'!$A$7:$A$130,0)),0)</f>
        <v>100</v>
      </c>
      <c r="I27" s="65">
        <f t="shared" si="1"/>
        <v>10</v>
      </c>
      <c r="J27" s="91"/>
      <c r="K27" s="29">
        <f>IFERROR(INDEX('Benchmark Data'!$AE$7:$AE$130,MATCH($A27,'Benchmark Data'!$A$7:$A$130,0)),0)</f>
        <v>1</v>
      </c>
      <c r="L27" s="67">
        <f t="shared" si="2"/>
        <v>0</v>
      </c>
      <c r="M27" s="68">
        <f t="shared" si="3"/>
        <v>0</v>
      </c>
      <c r="N27" s="69">
        <f t="shared" si="4"/>
        <v>0</v>
      </c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</row>
    <row r="28" spans="1:50" outlineLevel="1">
      <c r="A28" s="71" t="s">
        <v>532</v>
      </c>
      <c r="B28" s="72" t="s">
        <v>533</v>
      </c>
      <c r="C28" s="73" t="s">
        <v>534</v>
      </c>
      <c r="D28" s="71" t="s">
        <v>526</v>
      </c>
      <c r="E28" s="74" t="s">
        <v>338</v>
      </c>
      <c r="F28" s="17" t="s">
        <v>63</v>
      </c>
      <c r="G28" s="75">
        <f>G27</f>
        <v>0.1</v>
      </c>
      <c r="H28" s="76">
        <f>H27*(1+Settings!$C$8)</f>
        <v>125</v>
      </c>
      <c r="I28" s="76">
        <f t="shared" si="1"/>
        <v>12.5</v>
      </c>
      <c r="J28" s="77">
        <f>J27</f>
        <v>0</v>
      </c>
      <c r="K28" s="51">
        <f>K27</f>
        <v>1</v>
      </c>
      <c r="L28" s="52">
        <f t="shared" si="2"/>
        <v>0</v>
      </c>
      <c r="M28" s="51">
        <f t="shared" si="3"/>
        <v>0</v>
      </c>
      <c r="N28" s="78">
        <f t="shared" si="4"/>
        <v>0</v>
      </c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</row>
    <row r="29" spans="1:50" outlineLevel="1">
      <c r="A29" s="71" t="s">
        <v>532</v>
      </c>
      <c r="B29" s="72" t="s">
        <v>533</v>
      </c>
      <c r="C29" s="73" t="s">
        <v>534</v>
      </c>
      <c r="D29" s="71" t="s">
        <v>526</v>
      </c>
      <c r="E29" s="74" t="s">
        <v>338</v>
      </c>
      <c r="F29" s="17" t="s">
        <v>64</v>
      </c>
      <c r="G29" s="75">
        <f>G27</f>
        <v>0.1</v>
      </c>
      <c r="H29" s="76">
        <f>H27*(1+Settings!$C$9)</f>
        <v>150</v>
      </c>
      <c r="I29" s="76">
        <f t="shared" si="1"/>
        <v>15</v>
      </c>
      <c r="J29" s="77">
        <f>J27</f>
        <v>0</v>
      </c>
      <c r="K29" s="51">
        <f>K27</f>
        <v>1</v>
      </c>
      <c r="L29" s="52">
        <f t="shared" si="2"/>
        <v>0</v>
      </c>
      <c r="M29" s="51">
        <f t="shared" si="3"/>
        <v>0</v>
      </c>
      <c r="N29" s="78">
        <f t="shared" si="4"/>
        <v>0</v>
      </c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</row>
    <row r="30" spans="1:50" outlineLevel="1">
      <c r="A30" s="71" t="s">
        <v>532</v>
      </c>
      <c r="B30" s="72" t="s">
        <v>533</v>
      </c>
      <c r="C30" s="73" t="s">
        <v>534</v>
      </c>
      <c r="D30" s="71" t="s">
        <v>526</v>
      </c>
      <c r="E30" s="74" t="s">
        <v>338</v>
      </c>
      <c r="F30" s="17" t="s">
        <v>65</v>
      </c>
      <c r="G30" s="80">
        <f>G27</f>
        <v>0.1</v>
      </c>
      <c r="H30" s="81">
        <f>H27</f>
        <v>100</v>
      </c>
      <c r="I30" s="76">
        <f t="shared" si="1"/>
        <v>10</v>
      </c>
      <c r="J30" s="77">
        <f>J27</f>
        <v>0</v>
      </c>
      <c r="K30" s="82">
        <f>K27</f>
        <v>1</v>
      </c>
      <c r="L30" s="52">
        <f t="shared" si="2"/>
        <v>0</v>
      </c>
      <c r="M30" s="51">
        <f t="shared" si="3"/>
        <v>0</v>
      </c>
      <c r="N30" s="78">
        <f t="shared" si="4"/>
        <v>0</v>
      </c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79"/>
      <c r="AV30" s="79"/>
      <c r="AW30" s="79"/>
      <c r="AX30" s="79"/>
    </row>
    <row r="31" spans="1:50">
      <c r="A31" s="83" t="s">
        <v>532</v>
      </c>
      <c r="B31" s="16" t="s">
        <v>533</v>
      </c>
      <c r="C31" s="84" t="s">
        <v>534</v>
      </c>
      <c r="D31" s="85" t="s">
        <v>526</v>
      </c>
      <c r="E31" s="86" t="s">
        <v>338</v>
      </c>
      <c r="F31" s="16" t="s">
        <v>179</v>
      </c>
      <c r="G31" s="87">
        <f>CHOOSE(IF(OR($C$3="Expert input",$I$27=0),4,IF($C$3="+25%",2,IF($C$3="+50%",3,1))),G27,G28,G29,G30)</f>
        <v>0.1</v>
      </c>
      <c r="H31" s="88">
        <f>CHOOSE(IF(OR($C$3="Expert input",$I$27=0),4,IF($C$3="+25%",2,IF($C$3="+50%",3,1))),H27,H28,H29,H30)</f>
        <v>100</v>
      </c>
      <c r="I31" s="88">
        <f t="shared" si="1"/>
        <v>10</v>
      </c>
      <c r="J31" s="54">
        <f>J27</f>
        <v>0</v>
      </c>
      <c r="K31" s="53">
        <f>CHOOSE(IF(OR($C$3="Expert input",$I$27=0),4,IF($C$3="+25%",2,IF($C$3="+50%",3,1))),K27,K28,K29,K30)</f>
        <v>1</v>
      </c>
      <c r="L31" s="54">
        <f t="shared" si="2"/>
        <v>0</v>
      </c>
      <c r="M31" s="53">
        <f t="shared" si="3"/>
        <v>0</v>
      </c>
      <c r="N31" s="54">
        <f t="shared" si="4"/>
        <v>0</v>
      </c>
      <c r="O31" s="43"/>
      <c r="P31" s="43"/>
      <c r="Q31" s="43"/>
      <c r="R31" s="43"/>
      <c r="S31" s="43"/>
      <c r="T31" s="43"/>
      <c r="U31" s="43"/>
      <c r="V31" s="43"/>
      <c r="W31" s="43"/>
      <c r="X31" s="43">
        <v>0.5</v>
      </c>
      <c r="Y31" s="43">
        <v>0.5</v>
      </c>
      <c r="Z31" s="43"/>
      <c r="AA31" s="89">
        <f>O31*$M31</f>
        <v>0</v>
      </c>
      <c r="AB31" s="90">
        <f>O31*$N31</f>
        <v>0</v>
      </c>
      <c r="AC31" s="89">
        <f>P31*$M31</f>
        <v>0</v>
      </c>
      <c r="AD31" s="90">
        <f>P31*$N31</f>
        <v>0</v>
      </c>
      <c r="AE31" s="89">
        <f>Q31*$M31</f>
        <v>0</v>
      </c>
      <c r="AF31" s="90">
        <f>Q31*$N31</f>
        <v>0</v>
      </c>
      <c r="AG31" s="89">
        <f>R31*$M31</f>
        <v>0</v>
      </c>
      <c r="AH31" s="90">
        <f>R31*$N31</f>
        <v>0</v>
      </c>
      <c r="AI31" s="89">
        <f>S31*$M31</f>
        <v>0</v>
      </c>
      <c r="AJ31" s="90">
        <f>S31*$N31</f>
        <v>0</v>
      </c>
      <c r="AK31" s="89">
        <f>T31*$M31</f>
        <v>0</v>
      </c>
      <c r="AL31" s="90">
        <f>T31*$N31</f>
        <v>0</v>
      </c>
      <c r="AM31" s="89">
        <f>U31*$M31</f>
        <v>0</v>
      </c>
      <c r="AN31" s="90">
        <f>U31*$N31</f>
        <v>0</v>
      </c>
      <c r="AO31" s="89">
        <f>V31*$M31</f>
        <v>0</v>
      </c>
      <c r="AP31" s="90">
        <f>V31*$N31</f>
        <v>0</v>
      </c>
      <c r="AQ31" s="89">
        <f>W31*$M31</f>
        <v>0</v>
      </c>
      <c r="AR31" s="90">
        <f>W31*$N31</f>
        <v>0</v>
      </c>
      <c r="AS31" s="89">
        <f>X31*$M31</f>
        <v>0</v>
      </c>
      <c r="AT31" s="90">
        <f>X31*$N31</f>
        <v>0</v>
      </c>
      <c r="AU31" s="89">
        <f>Y31*$M31</f>
        <v>0</v>
      </c>
      <c r="AV31" s="90">
        <f>Y31*$N31</f>
        <v>0</v>
      </c>
      <c r="AW31" s="89">
        <f>Z31*$M31</f>
        <v>0</v>
      </c>
      <c r="AX31" s="90">
        <f>Z31*$N31</f>
        <v>0</v>
      </c>
    </row>
    <row r="32" spans="1:50" outlineLevel="1">
      <c r="A32" s="58" t="s">
        <v>535</v>
      </c>
      <c r="B32" s="59" t="s">
        <v>536</v>
      </c>
      <c r="C32" s="60" t="s">
        <v>537</v>
      </c>
      <c r="D32" s="61" t="s">
        <v>526</v>
      </c>
      <c r="E32" s="62" t="s">
        <v>109</v>
      </c>
      <c r="F32" s="59" t="s">
        <v>62</v>
      </c>
      <c r="G32" s="63">
        <f>IFERROR(INDEX('Benchmark Data'!$AC$7:$AC$130,MATCH($A32,'Benchmark Data'!$A$7:$A$130,0)),0)</f>
        <v>13.666666666666666</v>
      </c>
      <c r="H32" s="64">
        <f>IFERROR(INDEX('Benchmark Data'!$AD$7:$AD$130,MATCH($A32,'Benchmark Data'!$A$7:$A$130,0)),0)</f>
        <v>160.97560975609755</v>
      </c>
      <c r="I32" s="65">
        <f t="shared" si="1"/>
        <v>2200</v>
      </c>
      <c r="J32" s="91"/>
      <c r="K32" s="29">
        <f>IFERROR(INDEX('Benchmark Data'!$AE$7:$AE$130,MATCH($A32,'Benchmark Data'!$A$7:$A$130,0)),0)</f>
        <v>1</v>
      </c>
      <c r="L32" s="67">
        <f t="shared" si="2"/>
        <v>0</v>
      </c>
      <c r="M32" s="68">
        <f t="shared" si="3"/>
        <v>0</v>
      </c>
      <c r="N32" s="69">
        <f t="shared" si="4"/>
        <v>0</v>
      </c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</row>
    <row r="33" spans="1:50" outlineLevel="1">
      <c r="A33" s="71" t="s">
        <v>535</v>
      </c>
      <c r="B33" s="72" t="s">
        <v>536</v>
      </c>
      <c r="C33" s="73" t="s">
        <v>537</v>
      </c>
      <c r="D33" s="71" t="s">
        <v>526</v>
      </c>
      <c r="E33" s="74" t="s">
        <v>109</v>
      </c>
      <c r="F33" s="17" t="s">
        <v>63</v>
      </c>
      <c r="G33" s="75">
        <f>G32</f>
        <v>13.666666666666666</v>
      </c>
      <c r="H33" s="76">
        <f>H32*(1+Settings!$C$8)</f>
        <v>201.21951219512195</v>
      </c>
      <c r="I33" s="76">
        <f t="shared" si="1"/>
        <v>2750</v>
      </c>
      <c r="J33" s="77">
        <f>J32</f>
        <v>0</v>
      </c>
      <c r="K33" s="51">
        <f>K32</f>
        <v>1</v>
      </c>
      <c r="L33" s="52">
        <f t="shared" si="2"/>
        <v>0</v>
      </c>
      <c r="M33" s="51">
        <f t="shared" si="3"/>
        <v>0</v>
      </c>
      <c r="N33" s="78">
        <f t="shared" si="4"/>
        <v>0</v>
      </c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</row>
    <row r="34" spans="1:50" outlineLevel="1">
      <c r="A34" s="71" t="s">
        <v>535</v>
      </c>
      <c r="B34" s="72" t="s">
        <v>536</v>
      </c>
      <c r="C34" s="73" t="s">
        <v>537</v>
      </c>
      <c r="D34" s="71" t="s">
        <v>526</v>
      </c>
      <c r="E34" s="74" t="s">
        <v>109</v>
      </c>
      <c r="F34" s="17" t="s">
        <v>64</v>
      </c>
      <c r="G34" s="75">
        <f>G32</f>
        <v>13.666666666666666</v>
      </c>
      <c r="H34" s="76">
        <f>H32*(1+Settings!$C$9)</f>
        <v>241.46341463414632</v>
      </c>
      <c r="I34" s="76">
        <f t="shared" si="1"/>
        <v>3299.9999999999995</v>
      </c>
      <c r="J34" s="77">
        <f>J32</f>
        <v>0</v>
      </c>
      <c r="K34" s="51">
        <f>K32</f>
        <v>1</v>
      </c>
      <c r="L34" s="52">
        <f t="shared" si="2"/>
        <v>0</v>
      </c>
      <c r="M34" s="51">
        <f t="shared" si="3"/>
        <v>0</v>
      </c>
      <c r="N34" s="78">
        <f t="shared" si="4"/>
        <v>0</v>
      </c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</row>
    <row r="35" spans="1:50" outlineLevel="1">
      <c r="A35" s="71" t="s">
        <v>535</v>
      </c>
      <c r="B35" s="72" t="s">
        <v>536</v>
      </c>
      <c r="C35" s="73" t="s">
        <v>537</v>
      </c>
      <c r="D35" s="71" t="s">
        <v>526</v>
      </c>
      <c r="E35" s="74" t="s">
        <v>109</v>
      </c>
      <c r="F35" s="17" t="s">
        <v>65</v>
      </c>
      <c r="G35" s="80">
        <f>G32</f>
        <v>13.666666666666666</v>
      </c>
      <c r="H35" s="81">
        <f>H32</f>
        <v>160.97560975609755</v>
      </c>
      <c r="I35" s="76">
        <f t="shared" si="1"/>
        <v>2200</v>
      </c>
      <c r="J35" s="77">
        <f>J32</f>
        <v>0</v>
      </c>
      <c r="K35" s="82">
        <f>K32</f>
        <v>1</v>
      </c>
      <c r="L35" s="52">
        <f t="shared" si="2"/>
        <v>0</v>
      </c>
      <c r="M35" s="51">
        <f t="shared" si="3"/>
        <v>0</v>
      </c>
      <c r="N35" s="78">
        <f t="shared" si="4"/>
        <v>0</v>
      </c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</row>
    <row r="36" spans="1:50">
      <c r="A36" s="83" t="s">
        <v>535</v>
      </c>
      <c r="B36" s="16" t="s">
        <v>536</v>
      </c>
      <c r="C36" s="84" t="s">
        <v>537</v>
      </c>
      <c r="D36" s="85" t="s">
        <v>526</v>
      </c>
      <c r="E36" s="86" t="s">
        <v>109</v>
      </c>
      <c r="F36" s="16" t="s">
        <v>179</v>
      </c>
      <c r="G36" s="87">
        <f>CHOOSE(IF(OR($C$3="Expert input",$I$32=0),4,IF($C$3="+25%",2,IF($C$3="+50%",3,1))),G32,G33,G34,G35)</f>
        <v>13.666666666666666</v>
      </c>
      <c r="H36" s="88">
        <f>CHOOSE(IF(OR($C$3="Expert input",$I$32=0),4,IF($C$3="+25%",2,IF($C$3="+50%",3,1))),H32,H33,H34,H35)</f>
        <v>160.97560975609755</v>
      </c>
      <c r="I36" s="88">
        <f t="shared" si="1"/>
        <v>2200</v>
      </c>
      <c r="J36" s="54">
        <f>J32</f>
        <v>0</v>
      </c>
      <c r="K36" s="53">
        <f>CHOOSE(IF(OR($C$3="Expert input",$I$32=0),4,IF($C$3="+25%",2,IF($C$3="+50%",3,1))),K32,K33,K34,K35)</f>
        <v>1</v>
      </c>
      <c r="L36" s="54">
        <f t="shared" si="2"/>
        <v>0</v>
      </c>
      <c r="M36" s="53">
        <f t="shared" si="3"/>
        <v>0</v>
      </c>
      <c r="N36" s="54">
        <f t="shared" si="4"/>
        <v>0</v>
      </c>
      <c r="O36" s="43">
        <v>0.34</v>
      </c>
      <c r="P36" s="43"/>
      <c r="Q36" s="43"/>
      <c r="R36" s="43"/>
      <c r="S36" s="43"/>
      <c r="T36" s="43"/>
      <c r="U36" s="43"/>
      <c r="V36" s="43"/>
      <c r="W36" s="43">
        <v>0.33</v>
      </c>
      <c r="X36" s="43">
        <v>0.33</v>
      </c>
      <c r="Y36" s="43"/>
      <c r="Z36" s="43"/>
      <c r="AA36" s="89">
        <f>O36*$M36</f>
        <v>0</v>
      </c>
      <c r="AB36" s="90">
        <f>O36*$N36</f>
        <v>0</v>
      </c>
      <c r="AC36" s="89">
        <f>P36*$M36</f>
        <v>0</v>
      </c>
      <c r="AD36" s="90">
        <f>P36*$N36</f>
        <v>0</v>
      </c>
      <c r="AE36" s="89">
        <f>Q36*$M36</f>
        <v>0</v>
      </c>
      <c r="AF36" s="90">
        <f>Q36*$N36</f>
        <v>0</v>
      </c>
      <c r="AG36" s="89">
        <f>R36*$M36</f>
        <v>0</v>
      </c>
      <c r="AH36" s="90">
        <f>R36*$N36</f>
        <v>0</v>
      </c>
      <c r="AI36" s="89">
        <f>S36*$M36</f>
        <v>0</v>
      </c>
      <c r="AJ36" s="90">
        <f>S36*$N36</f>
        <v>0</v>
      </c>
      <c r="AK36" s="89">
        <f>T36*$M36</f>
        <v>0</v>
      </c>
      <c r="AL36" s="90">
        <f>T36*$N36</f>
        <v>0</v>
      </c>
      <c r="AM36" s="89">
        <f>U36*$M36</f>
        <v>0</v>
      </c>
      <c r="AN36" s="90">
        <f>U36*$N36</f>
        <v>0</v>
      </c>
      <c r="AO36" s="89">
        <f>V36*$M36</f>
        <v>0</v>
      </c>
      <c r="AP36" s="90">
        <f>V36*$N36</f>
        <v>0</v>
      </c>
      <c r="AQ36" s="89">
        <f>W36*$M36</f>
        <v>0</v>
      </c>
      <c r="AR36" s="90">
        <f>W36*$N36</f>
        <v>0</v>
      </c>
      <c r="AS36" s="89">
        <f>X36*$M36</f>
        <v>0</v>
      </c>
      <c r="AT36" s="90">
        <f>X36*$N36</f>
        <v>0</v>
      </c>
      <c r="AU36" s="89">
        <f>Y36*$M36</f>
        <v>0</v>
      </c>
      <c r="AV36" s="90">
        <f>Y36*$N36</f>
        <v>0</v>
      </c>
      <c r="AW36" s="89">
        <f>Z36*$M36</f>
        <v>0</v>
      </c>
      <c r="AX36" s="90">
        <f>Z36*$N36</f>
        <v>0</v>
      </c>
    </row>
    <row r="37" spans="1:50" outlineLevel="1">
      <c r="A37" s="58" t="s">
        <v>538</v>
      </c>
      <c r="B37" s="59" t="s">
        <v>539</v>
      </c>
      <c r="C37" s="60" t="s">
        <v>540</v>
      </c>
      <c r="D37" s="61" t="s">
        <v>526</v>
      </c>
      <c r="E37" s="62" t="s">
        <v>112</v>
      </c>
      <c r="F37" s="59" t="s">
        <v>62</v>
      </c>
      <c r="G37" s="63">
        <f>IFERROR(INDEX('Benchmark Data'!$AC$7:$AC$130,MATCH($A37,'Benchmark Data'!$A$7:$A$130,0)),0)</f>
        <v>1.8571428571428551E-2</v>
      </c>
      <c r="H37" s="64">
        <f>IFERROR(INDEX('Benchmark Data'!$AD$7:$AD$130,MATCH($A37,'Benchmark Data'!$A$7:$A$130,0)),0)</f>
        <v>3500.0000000000036</v>
      </c>
      <c r="I37" s="65">
        <f t="shared" si="1"/>
        <v>65</v>
      </c>
      <c r="J37" s="91"/>
      <c r="K37" s="29">
        <f>IFERROR(INDEX('Benchmark Data'!$AE$7:$AE$130,MATCH($A37,'Benchmark Data'!$A$7:$A$130,0)),0)</f>
        <v>1</v>
      </c>
      <c r="L37" s="67">
        <f t="shared" si="2"/>
        <v>0</v>
      </c>
      <c r="M37" s="68">
        <f t="shared" si="3"/>
        <v>0</v>
      </c>
      <c r="N37" s="69">
        <f t="shared" si="4"/>
        <v>0</v>
      </c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</row>
    <row r="38" spans="1:50" outlineLevel="1">
      <c r="A38" s="71" t="s">
        <v>538</v>
      </c>
      <c r="B38" s="72" t="s">
        <v>539</v>
      </c>
      <c r="C38" s="73" t="s">
        <v>540</v>
      </c>
      <c r="D38" s="71" t="s">
        <v>526</v>
      </c>
      <c r="E38" s="74" t="s">
        <v>112</v>
      </c>
      <c r="F38" s="17" t="s">
        <v>63</v>
      </c>
      <c r="G38" s="75">
        <f>G37</f>
        <v>1.8571428571428551E-2</v>
      </c>
      <c r="H38" s="76">
        <f>H37*(1+Settings!$C$8)</f>
        <v>4375.0000000000045</v>
      </c>
      <c r="I38" s="76">
        <f t="shared" si="1"/>
        <v>81.25</v>
      </c>
      <c r="J38" s="77">
        <f>J37</f>
        <v>0</v>
      </c>
      <c r="K38" s="51">
        <f>K37</f>
        <v>1</v>
      </c>
      <c r="L38" s="52">
        <f t="shared" si="2"/>
        <v>0</v>
      </c>
      <c r="M38" s="51">
        <f t="shared" si="3"/>
        <v>0</v>
      </c>
      <c r="N38" s="78">
        <f t="shared" si="4"/>
        <v>0</v>
      </c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</row>
    <row r="39" spans="1:50" outlineLevel="1">
      <c r="A39" s="71" t="s">
        <v>538</v>
      </c>
      <c r="B39" s="72" t="s">
        <v>539</v>
      </c>
      <c r="C39" s="73" t="s">
        <v>540</v>
      </c>
      <c r="D39" s="71" t="s">
        <v>526</v>
      </c>
      <c r="E39" s="74" t="s">
        <v>112</v>
      </c>
      <c r="F39" s="17" t="s">
        <v>64</v>
      </c>
      <c r="G39" s="75">
        <f>G37</f>
        <v>1.8571428571428551E-2</v>
      </c>
      <c r="H39" s="76">
        <f>H37*(1+Settings!$C$9)</f>
        <v>5250.0000000000055</v>
      </c>
      <c r="I39" s="76">
        <f t="shared" si="1"/>
        <v>97.5</v>
      </c>
      <c r="J39" s="77">
        <f>J37</f>
        <v>0</v>
      </c>
      <c r="K39" s="51">
        <f>K37</f>
        <v>1</v>
      </c>
      <c r="L39" s="52">
        <f t="shared" si="2"/>
        <v>0</v>
      </c>
      <c r="M39" s="51">
        <f t="shared" si="3"/>
        <v>0</v>
      </c>
      <c r="N39" s="78">
        <f t="shared" si="4"/>
        <v>0</v>
      </c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79"/>
      <c r="AV39" s="79"/>
      <c r="AW39" s="79"/>
      <c r="AX39" s="79"/>
    </row>
    <row r="40" spans="1:50" outlineLevel="1">
      <c r="A40" s="71" t="s">
        <v>538</v>
      </c>
      <c r="B40" s="72" t="s">
        <v>539</v>
      </c>
      <c r="C40" s="73" t="s">
        <v>540</v>
      </c>
      <c r="D40" s="71" t="s">
        <v>526</v>
      </c>
      <c r="E40" s="74" t="s">
        <v>112</v>
      </c>
      <c r="F40" s="17" t="s">
        <v>65</v>
      </c>
      <c r="G40" s="80">
        <f>G37</f>
        <v>1.8571428571428551E-2</v>
      </c>
      <c r="H40" s="81">
        <f>H37</f>
        <v>3500.0000000000036</v>
      </c>
      <c r="I40" s="76">
        <f t="shared" si="1"/>
        <v>65</v>
      </c>
      <c r="J40" s="77">
        <f>J37</f>
        <v>0</v>
      </c>
      <c r="K40" s="82">
        <f>K37</f>
        <v>1</v>
      </c>
      <c r="L40" s="52">
        <f t="shared" si="2"/>
        <v>0</v>
      </c>
      <c r="M40" s="51">
        <f t="shared" si="3"/>
        <v>0</v>
      </c>
      <c r="N40" s="78">
        <f t="shared" si="4"/>
        <v>0</v>
      </c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</row>
    <row r="41" spans="1:50">
      <c r="A41" s="83" t="s">
        <v>538</v>
      </c>
      <c r="B41" s="16" t="s">
        <v>539</v>
      </c>
      <c r="C41" s="84" t="s">
        <v>540</v>
      </c>
      <c r="D41" s="85" t="s">
        <v>526</v>
      </c>
      <c r="E41" s="86" t="s">
        <v>112</v>
      </c>
      <c r="F41" s="16" t="s">
        <v>179</v>
      </c>
      <c r="G41" s="87">
        <f>CHOOSE(IF(OR($C$3="Expert input",$I$37=0),4,IF($C$3="+25%",2,IF($C$3="+50%",3,1))),G37,G38,G39,G40)</f>
        <v>1.8571428571428551E-2</v>
      </c>
      <c r="H41" s="88">
        <f>CHOOSE(IF(OR($C$3="Expert input",$I$37=0),4,IF($C$3="+25%",2,IF($C$3="+50%",3,1))),H37,H38,H39,H40)</f>
        <v>3500.0000000000036</v>
      </c>
      <c r="I41" s="88">
        <f t="shared" si="1"/>
        <v>65</v>
      </c>
      <c r="J41" s="54">
        <f>J37</f>
        <v>0</v>
      </c>
      <c r="K41" s="53">
        <f>CHOOSE(IF(OR($C$3="Expert input",$I$37=0),4,IF($C$3="+25%",2,IF($C$3="+50%",3,1))),K37,K38,K39,K40)</f>
        <v>1</v>
      </c>
      <c r="L41" s="54">
        <f t="shared" si="2"/>
        <v>0</v>
      </c>
      <c r="M41" s="53">
        <f t="shared" si="3"/>
        <v>0</v>
      </c>
      <c r="N41" s="54">
        <f t="shared" si="4"/>
        <v>0</v>
      </c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89">
        <f>O41*$M41</f>
        <v>0</v>
      </c>
      <c r="AB41" s="90">
        <f>O41*$N41</f>
        <v>0</v>
      </c>
      <c r="AC41" s="89">
        <f>P41*$M41</f>
        <v>0</v>
      </c>
      <c r="AD41" s="90">
        <f>P41*$N41</f>
        <v>0</v>
      </c>
      <c r="AE41" s="89">
        <f>Q41*$M41</f>
        <v>0</v>
      </c>
      <c r="AF41" s="90">
        <f>Q41*$N41</f>
        <v>0</v>
      </c>
      <c r="AG41" s="89">
        <f>R41*$M41</f>
        <v>0</v>
      </c>
      <c r="AH41" s="90">
        <f>R41*$N41</f>
        <v>0</v>
      </c>
      <c r="AI41" s="89">
        <f>S41*$M41</f>
        <v>0</v>
      </c>
      <c r="AJ41" s="90">
        <f>S41*$N41</f>
        <v>0</v>
      </c>
      <c r="AK41" s="89">
        <f>T41*$M41</f>
        <v>0</v>
      </c>
      <c r="AL41" s="90">
        <f>T41*$N41</f>
        <v>0</v>
      </c>
      <c r="AM41" s="89">
        <f>U41*$M41</f>
        <v>0</v>
      </c>
      <c r="AN41" s="90">
        <f>U41*$N41</f>
        <v>0</v>
      </c>
      <c r="AO41" s="89">
        <f>V41*$M41</f>
        <v>0</v>
      </c>
      <c r="AP41" s="90">
        <f>V41*$N41</f>
        <v>0</v>
      </c>
      <c r="AQ41" s="89">
        <f>W41*$M41</f>
        <v>0</v>
      </c>
      <c r="AR41" s="90">
        <f>W41*$N41</f>
        <v>0</v>
      </c>
      <c r="AS41" s="89">
        <f>X41*$M41</f>
        <v>0</v>
      </c>
      <c r="AT41" s="90">
        <f>X41*$N41</f>
        <v>0</v>
      </c>
      <c r="AU41" s="89">
        <f>Y41*$M41</f>
        <v>0</v>
      </c>
      <c r="AV41" s="90">
        <f>Y41*$N41</f>
        <v>0</v>
      </c>
      <c r="AW41" s="89">
        <f>Z41*$M41</f>
        <v>0</v>
      </c>
      <c r="AX41" s="90">
        <f>Z41*$N41</f>
        <v>0</v>
      </c>
    </row>
    <row r="42" spans="1:50" outlineLevel="1">
      <c r="A42" s="58" t="s">
        <v>541</v>
      </c>
      <c r="B42" s="59" t="s">
        <v>542</v>
      </c>
      <c r="C42" s="60" t="s">
        <v>543</v>
      </c>
      <c r="D42" s="61" t="s">
        <v>526</v>
      </c>
      <c r="E42" s="62" t="s">
        <v>112</v>
      </c>
      <c r="F42" s="59" t="s">
        <v>62</v>
      </c>
      <c r="G42" s="63">
        <f>IFERROR(INDEX('Benchmark Data'!$AC$7:$AC$130,MATCH($A42,'Benchmark Data'!$A$7:$A$130,0)),0)</f>
        <v>5.6481481481481431E-2</v>
      </c>
      <c r="H42" s="64">
        <f>IFERROR(INDEX('Benchmark Data'!$AD$7:$AD$130,MATCH($A42,'Benchmark Data'!$A$7:$A$130,0)),0)</f>
        <v>796.72131147541052</v>
      </c>
      <c r="I42" s="65">
        <f t="shared" si="1"/>
        <v>45</v>
      </c>
      <c r="J42" s="91"/>
      <c r="K42" s="29">
        <f>IFERROR(INDEX('Benchmark Data'!$AE$7:$AE$130,MATCH($A42,'Benchmark Data'!$A$7:$A$130,0)),0)</f>
        <v>1</v>
      </c>
      <c r="L42" s="67">
        <f t="shared" si="2"/>
        <v>0</v>
      </c>
      <c r="M42" s="68">
        <f t="shared" si="3"/>
        <v>0</v>
      </c>
      <c r="N42" s="69">
        <f t="shared" si="4"/>
        <v>0</v>
      </c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</row>
    <row r="43" spans="1:50" outlineLevel="1">
      <c r="A43" s="71" t="s">
        <v>541</v>
      </c>
      <c r="B43" s="72" t="s">
        <v>542</v>
      </c>
      <c r="C43" s="73" t="s">
        <v>543</v>
      </c>
      <c r="D43" s="71" t="s">
        <v>526</v>
      </c>
      <c r="E43" s="74" t="s">
        <v>112</v>
      </c>
      <c r="F43" s="17" t="s">
        <v>63</v>
      </c>
      <c r="G43" s="75">
        <f>G42</f>
        <v>5.6481481481481431E-2</v>
      </c>
      <c r="H43" s="76">
        <f>H42*(1+Settings!$C$8)</f>
        <v>995.90163934426312</v>
      </c>
      <c r="I43" s="76">
        <f t="shared" si="1"/>
        <v>56.249999999999993</v>
      </c>
      <c r="J43" s="77">
        <f>J42</f>
        <v>0</v>
      </c>
      <c r="K43" s="51">
        <f>K42</f>
        <v>1</v>
      </c>
      <c r="L43" s="52">
        <f t="shared" si="2"/>
        <v>0</v>
      </c>
      <c r="M43" s="51">
        <f t="shared" si="3"/>
        <v>0</v>
      </c>
      <c r="N43" s="78">
        <f t="shared" si="4"/>
        <v>0</v>
      </c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</row>
    <row r="44" spans="1:50" outlineLevel="1">
      <c r="A44" s="71" t="s">
        <v>541</v>
      </c>
      <c r="B44" s="72" t="s">
        <v>542</v>
      </c>
      <c r="C44" s="73" t="s">
        <v>543</v>
      </c>
      <c r="D44" s="71" t="s">
        <v>526</v>
      </c>
      <c r="E44" s="74" t="s">
        <v>112</v>
      </c>
      <c r="F44" s="17" t="s">
        <v>64</v>
      </c>
      <c r="G44" s="75">
        <f>G42</f>
        <v>5.6481481481481431E-2</v>
      </c>
      <c r="H44" s="76">
        <f>H42*(1+Settings!$C$9)</f>
        <v>1195.0819672131158</v>
      </c>
      <c r="I44" s="76">
        <f t="shared" si="1"/>
        <v>67.5</v>
      </c>
      <c r="J44" s="77">
        <f>J42</f>
        <v>0</v>
      </c>
      <c r="K44" s="51">
        <f>K42</f>
        <v>1</v>
      </c>
      <c r="L44" s="52">
        <f t="shared" si="2"/>
        <v>0</v>
      </c>
      <c r="M44" s="51">
        <f t="shared" si="3"/>
        <v>0</v>
      </c>
      <c r="N44" s="78">
        <f t="shared" si="4"/>
        <v>0</v>
      </c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</row>
    <row r="45" spans="1:50" outlineLevel="1">
      <c r="A45" s="71" t="s">
        <v>541</v>
      </c>
      <c r="B45" s="72" t="s">
        <v>542</v>
      </c>
      <c r="C45" s="73" t="s">
        <v>543</v>
      </c>
      <c r="D45" s="71" t="s">
        <v>526</v>
      </c>
      <c r="E45" s="74" t="s">
        <v>112</v>
      </c>
      <c r="F45" s="17" t="s">
        <v>65</v>
      </c>
      <c r="G45" s="80">
        <f>G42</f>
        <v>5.6481481481481431E-2</v>
      </c>
      <c r="H45" s="81">
        <f>H42</f>
        <v>796.72131147541052</v>
      </c>
      <c r="I45" s="76">
        <f t="shared" si="1"/>
        <v>45</v>
      </c>
      <c r="J45" s="77">
        <f>J42</f>
        <v>0</v>
      </c>
      <c r="K45" s="82">
        <f>K42</f>
        <v>1</v>
      </c>
      <c r="L45" s="52">
        <f t="shared" si="2"/>
        <v>0</v>
      </c>
      <c r="M45" s="51">
        <f t="shared" si="3"/>
        <v>0</v>
      </c>
      <c r="N45" s="78">
        <f t="shared" si="4"/>
        <v>0</v>
      </c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/>
      <c r="AR45" s="79"/>
      <c r="AS45" s="79"/>
      <c r="AT45" s="79"/>
      <c r="AU45" s="79"/>
      <c r="AV45" s="79"/>
      <c r="AW45" s="79"/>
      <c r="AX45" s="79"/>
    </row>
    <row r="46" spans="1:50">
      <c r="A46" s="83" t="s">
        <v>541</v>
      </c>
      <c r="B46" s="16" t="s">
        <v>542</v>
      </c>
      <c r="C46" s="84" t="s">
        <v>543</v>
      </c>
      <c r="D46" s="85" t="s">
        <v>526</v>
      </c>
      <c r="E46" s="86" t="s">
        <v>112</v>
      </c>
      <c r="F46" s="16" t="s">
        <v>179</v>
      </c>
      <c r="G46" s="87">
        <f>CHOOSE(IF(OR($C$3="Expert input",$I$42=0),4,IF($C$3="+25%",2,IF($C$3="+50%",3,1))),G42,G43,G44,G45)</f>
        <v>5.6481481481481431E-2</v>
      </c>
      <c r="H46" s="88">
        <f>CHOOSE(IF(OR($C$3="Expert input",$I$42=0),4,IF($C$3="+25%",2,IF($C$3="+50%",3,1))),H42,H43,H44,H45)</f>
        <v>796.72131147541052</v>
      </c>
      <c r="I46" s="88">
        <f t="shared" si="1"/>
        <v>45</v>
      </c>
      <c r="J46" s="54">
        <f>J42</f>
        <v>0</v>
      </c>
      <c r="K46" s="53">
        <f>CHOOSE(IF(OR($C$3="Expert input",$I$42=0),4,IF($C$3="+25%",2,IF($C$3="+50%",3,1))),K42,K43,K44,K45)</f>
        <v>1</v>
      </c>
      <c r="L46" s="54">
        <f t="shared" si="2"/>
        <v>0</v>
      </c>
      <c r="M46" s="53">
        <f t="shared" si="3"/>
        <v>0</v>
      </c>
      <c r="N46" s="54">
        <f t="shared" si="4"/>
        <v>0</v>
      </c>
      <c r="O46" s="43">
        <v>0.33</v>
      </c>
      <c r="P46" s="43"/>
      <c r="Q46" s="43"/>
      <c r="R46" s="43"/>
      <c r="S46" s="43"/>
      <c r="T46" s="43"/>
      <c r="U46" s="43"/>
      <c r="V46" s="43"/>
      <c r="W46" s="43">
        <v>0.17</v>
      </c>
      <c r="X46" s="43">
        <v>0.37</v>
      </c>
      <c r="Y46" s="43">
        <v>0.13</v>
      </c>
      <c r="Z46" s="43"/>
      <c r="AA46" s="89">
        <f>O46*$M46</f>
        <v>0</v>
      </c>
      <c r="AB46" s="90">
        <f>O46*$N46</f>
        <v>0</v>
      </c>
      <c r="AC46" s="89">
        <f>P46*$M46</f>
        <v>0</v>
      </c>
      <c r="AD46" s="90">
        <f>P46*$N46</f>
        <v>0</v>
      </c>
      <c r="AE46" s="89">
        <f>Q46*$M46</f>
        <v>0</v>
      </c>
      <c r="AF46" s="90">
        <f>Q46*$N46</f>
        <v>0</v>
      </c>
      <c r="AG46" s="89">
        <f>R46*$M46</f>
        <v>0</v>
      </c>
      <c r="AH46" s="90">
        <f>R46*$N46</f>
        <v>0</v>
      </c>
      <c r="AI46" s="89">
        <f>S46*$M46</f>
        <v>0</v>
      </c>
      <c r="AJ46" s="90">
        <f>S46*$N46</f>
        <v>0</v>
      </c>
      <c r="AK46" s="89">
        <f>T46*$M46</f>
        <v>0</v>
      </c>
      <c r="AL46" s="90">
        <f>T46*$N46</f>
        <v>0</v>
      </c>
      <c r="AM46" s="89">
        <f>U46*$M46</f>
        <v>0</v>
      </c>
      <c r="AN46" s="90">
        <f>U46*$N46</f>
        <v>0</v>
      </c>
      <c r="AO46" s="89">
        <f>V46*$M46</f>
        <v>0</v>
      </c>
      <c r="AP46" s="90">
        <f>V46*$N46</f>
        <v>0</v>
      </c>
      <c r="AQ46" s="89">
        <f>W46*$M46</f>
        <v>0</v>
      </c>
      <c r="AR46" s="90">
        <f>W46*$N46</f>
        <v>0</v>
      </c>
      <c r="AS46" s="89">
        <f>X46*$M46</f>
        <v>0</v>
      </c>
      <c r="AT46" s="90">
        <f>X46*$N46</f>
        <v>0</v>
      </c>
      <c r="AU46" s="89">
        <f>Y46*$M46</f>
        <v>0</v>
      </c>
      <c r="AV46" s="90">
        <f>Y46*$N46</f>
        <v>0</v>
      </c>
      <c r="AW46" s="89">
        <f>Z46*$M46</f>
        <v>0</v>
      </c>
      <c r="AX46" s="90">
        <f>Z46*$N46</f>
        <v>0</v>
      </c>
    </row>
    <row r="47" spans="1:50" outlineLevel="1">
      <c r="A47" s="58" t="s">
        <v>544</v>
      </c>
      <c r="B47" s="59" t="s">
        <v>545</v>
      </c>
      <c r="C47" s="60" t="s">
        <v>546</v>
      </c>
      <c r="D47" s="61" t="s">
        <v>526</v>
      </c>
      <c r="E47" s="62" t="s">
        <v>117</v>
      </c>
      <c r="F47" s="59" t="s">
        <v>62</v>
      </c>
      <c r="G47" s="63">
        <f>IFERROR(INDEX('Benchmark Data'!$AC$7:$AC$130,MATCH($A47,'Benchmark Data'!$A$7:$A$130,0)),0)</f>
        <v>0.52777777777777768</v>
      </c>
      <c r="H47" s="64">
        <f>IFERROR(INDEX('Benchmark Data'!$AD$7:$AD$130,MATCH($A47,'Benchmark Data'!$A$7:$A$130,0)),0)</f>
        <v>694.73684210526335</v>
      </c>
      <c r="I47" s="65">
        <f t="shared" si="1"/>
        <v>366.66666666666669</v>
      </c>
      <c r="J47" s="66">
        <f>$E$12</f>
        <v>0</v>
      </c>
      <c r="K47" s="29">
        <f>IFERROR(INDEX('Benchmark Data'!$AE$7:$AE$130,MATCH($A47,'Benchmark Data'!$A$7:$A$130,0)),0)</f>
        <v>1</v>
      </c>
      <c r="L47" s="67">
        <f t="shared" si="2"/>
        <v>0</v>
      </c>
      <c r="M47" s="68">
        <f t="shared" si="3"/>
        <v>0</v>
      </c>
      <c r="N47" s="69">
        <f t="shared" si="4"/>
        <v>0</v>
      </c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</row>
    <row r="48" spans="1:50" outlineLevel="1">
      <c r="A48" s="71" t="s">
        <v>544</v>
      </c>
      <c r="B48" s="72" t="s">
        <v>545</v>
      </c>
      <c r="C48" s="73" t="s">
        <v>546</v>
      </c>
      <c r="D48" s="71" t="s">
        <v>526</v>
      </c>
      <c r="E48" s="74" t="s">
        <v>117</v>
      </c>
      <c r="F48" s="17" t="s">
        <v>63</v>
      </c>
      <c r="G48" s="75">
        <f>G47</f>
        <v>0.52777777777777768</v>
      </c>
      <c r="H48" s="76">
        <f>H47*(1+Settings!$C$8)</f>
        <v>868.42105263157919</v>
      </c>
      <c r="I48" s="76">
        <f t="shared" si="1"/>
        <v>458.33333333333337</v>
      </c>
      <c r="J48" s="77">
        <f>J47</f>
        <v>0</v>
      </c>
      <c r="K48" s="51">
        <f>K47</f>
        <v>1</v>
      </c>
      <c r="L48" s="52">
        <f t="shared" si="2"/>
        <v>0</v>
      </c>
      <c r="M48" s="51">
        <f t="shared" si="3"/>
        <v>0</v>
      </c>
      <c r="N48" s="78">
        <f t="shared" si="4"/>
        <v>0</v>
      </c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79"/>
      <c r="AV48" s="79"/>
      <c r="AW48" s="79"/>
      <c r="AX48" s="79"/>
    </row>
    <row r="49" spans="1:50" outlineLevel="1">
      <c r="A49" s="71" t="s">
        <v>544</v>
      </c>
      <c r="B49" s="72" t="s">
        <v>545</v>
      </c>
      <c r="C49" s="73" t="s">
        <v>546</v>
      </c>
      <c r="D49" s="71" t="s">
        <v>526</v>
      </c>
      <c r="E49" s="74" t="s">
        <v>117</v>
      </c>
      <c r="F49" s="17" t="s">
        <v>64</v>
      </c>
      <c r="G49" s="75">
        <f>G47</f>
        <v>0.52777777777777768</v>
      </c>
      <c r="H49" s="76">
        <f>H47*(1+Settings!$C$9)</f>
        <v>1042.105263157895</v>
      </c>
      <c r="I49" s="76">
        <f t="shared" ref="I49:I80" si="5">G49*H49</f>
        <v>550</v>
      </c>
      <c r="J49" s="77">
        <f>J47</f>
        <v>0</v>
      </c>
      <c r="K49" s="51">
        <f>K47</f>
        <v>1</v>
      </c>
      <c r="L49" s="52">
        <f t="shared" ref="L49:L80" si="6">J49*K49</f>
        <v>0</v>
      </c>
      <c r="M49" s="51">
        <f t="shared" ref="M49:M80" si="7">L49*G49</f>
        <v>0</v>
      </c>
      <c r="N49" s="78">
        <f t="shared" ref="N49:N80" si="8">L49*I49</f>
        <v>0</v>
      </c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</row>
    <row r="50" spans="1:50" outlineLevel="1">
      <c r="A50" s="71" t="s">
        <v>544</v>
      </c>
      <c r="B50" s="72" t="s">
        <v>545</v>
      </c>
      <c r="C50" s="73" t="s">
        <v>546</v>
      </c>
      <c r="D50" s="71" t="s">
        <v>526</v>
      </c>
      <c r="E50" s="74" t="s">
        <v>117</v>
      </c>
      <c r="F50" s="17" t="s">
        <v>65</v>
      </c>
      <c r="G50" s="80">
        <f>G47</f>
        <v>0.52777777777777768</v>
      </c>
      <c r="H50" s="81">
        <f>H47</f>
        <v>694.73684210526335</v>
      </c>
      <c r="I50" s="76">
        <f t="shared" si="5"/>
        <v>366.66666666666669</v>
      </c>
      <c r="J50" s="77">
        <f>J47</f>
        <v>0</v>
      </c>
      <c r="K50" s="82">
        <f>K47</f>
        <v>1</v>
      </c>
      <c r="L50" s="52">
        <f t="shared" si="6"/>
        <v>0</v>
      </c>
      <c r="M50" s="51">
        <f t="shared" si="7"/>
        <v>0</v>
      </c>
      <c r="N50" s="78">
        <f t="shared" si="8"/>
        <v>0</v>
      </c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</row>
    <row r="51" spans="1:50">
      <c r="A51" s="83" t="s">
        <v>544</v>
      </c>
      <c r="B51" s="16" t="s">
        <v>545</v>
      </c>
      <c r="C51" s="84" t="s">
        <v>546</v>
      </c>
      <c r="D51" s="85" t="s">
        <v>526</v>
      </c>
      <c r="E51" s="86" t="s">
        <v>117</v>
      </c>
      <c r="F51" s="16" t="s">
        <v>179</v>
      </c>
      <c r="G51" s="87">
        <f>CHOOSE(IF(OR($C$3="Expert input",$I$47=0),4,IF($C$3="+25%",2,IF($C$3="+50%",3,1))),G47,G48,G49,G50)</f>
        <v>0.52777777777777768</v>
      </c>
      <c r="H51" s="88">
        <f>CHOOSE(IF(OR($C$3="Expert input",$I$47=0),4,IF($C$3="+25%",2,IF($C$3="+50%",3,1))),H47,H48,H49,H50)</f>
        <v>694.73684210526335</v>
      </c>
      <c r="I51" s="88">
        <f t="shared" si="5"/>
        <v>366.66666666666669</v>
      </c>
      <c r="J51" s="54">
        <f>J47</f>
        <v>0</v>
      </c>
      <c r="K51" s="53">
        <f>CHOOSE(IF(OR($C$3="Expert input",$I$47=0),4,IF($C$3="+25%",2,IF($C$3="+50%",3,1))),K47,K48,K49,K50)</f>
        <v>1</v>
      </c>
      <c r="L51" s="54">
        <f t="shared" si="6"/>
        <v>0</v>
      </c>
      <c r="M51" s="53">
        <f t="shared" si="7"/>
        <v>0</v>
      </c>
      <c r="N51" s="54">
        <f t="shared" si="8"/>
        <v>0</v>
      </c>
      <c r="O51" s="43">
        <v>0.33</v>
      </c>
      <c r="P51" s="43"/>
      <c r="Q51" s="43"/>
      <c r="R51" s="43"/>
      <c r="S51" s="43"/>
      <c r="T51" s="43"/>
      <c r="U51" s="43"/>
      <c r="V51" s="43"/>
      <c r="W51" s="43">
        <v>0.17</v>
      </c>
      <c r="X51" s="43">
        <v>0.39</v>
      </c>
      <c r="Y51" s="43">
        <v>0.11</v>
      </c>
      <c r="Z51" s="43"/>
      <c r="AA51" s="89">
        <f>O51*$M51</f>
        <v>0</v>
      </c>
      <c r="AB51" s="90">
        <f>O51*$N51</f>
        <v>0</v>
      </c>
      <c r="AC51" s="89">
        <f>P51*$M51</f>
        <v>0</v>
      </c>
      <c r="AD51" s="90">
        <f>P51*$N51</f>
        <v>0</v>
      </c>
      <c r="AE51" s="89">
        <f>Q51*$M51</f>
        <v>0</v>
      </c>
      <c r="AF51" s="90">
        <f>Q51*$N51</f>
        <v>0</v>
      </c>
      <c r="AG51" s="89">
        <f>R51*$M51</f>
        <v>0</v>
      </c>
      <c r="AH51" s="90">
        <f>R51*$N51</f>
        <v>0</v>
      </c>
      <c r="AI51" s="89">
        <f>S51*$M51</f>
        <v>0</v>
      </c>
      <c r="AJ51" s="90">
        <f>S51*$N51</f>
        <v>0</v>
      </c>
      <c r="AK51" s="89">
        <f>T51*$M51</f>
        <v>0</v>
      </c>
      <c r="AL51" s="90">
        <f>T51*$N51</f>
        <v>0</v>
      </c>
      <c r="AM51" s="89">
        <f>U51*$M51</f>
        <v>0</v>
      </c>
      <c r="AN51" s="90">
        <f>U51*$N51</f>
        <v>0</v>
      </c>
      <c r="AO51" s="89">
        <f>V51*$M51</f>
        <v>0</v>
      </c>
      <c r="AP51" s="90">
        <f>V51*$N51</f>
        <v>0</v>
      </c>
      <c r="AQ51" s="89">
        <f>W51*$M51</f>
        <v>0</v>
      </c>
      <c r="AR51" s="90">
        <f>W51*$N51</f>
        <v>0</v>
      </c>
      <c r="AS51" s="89">
        <f>X51*$M51</f>
        <v>0</v>
      </c>
      <c r="AT51" s="90">
        <f>X51*$N51</f>
        <v>0</v>
      </c>
      <c r="AU51" s="89">
        <f>Y51*$M51</f>
        <v>0</v>
      </c>
      <c r="AV51" s="90">
        <f>Y51*$N51</f>
        <v>0</v>
      </c>
      <c r="AW51" s="89">
        <f>Z51*$M51</f>
        <v>0</v>
      </c>
      <c r="AX51" s="90">
        <f>Z51*$N51</f>
        <v>0</v>
      </c>
    </row>
    <row r="52" spans="1:50" outlineLevel="1">
      <c r="A52" s="58" t="s">
        <v>547</v>
      </c>
      <c r="B52" s="59" t="s">
        <v>548</v>
      </c>
      <c r="C52" s="60" t="s">
        <v>549</v>
      </c>
      <c r="D52" s="61" t="s">
        <v>550</v>
      </c>
      <c r="E52" s="62" t="s">
        <v>202</v>
      </c>
      <c r="F52" s="59" t="s">
        <v>62</v>
      </c>
      <c r="G52" s="63">
        <f>IFERROR(INDEX('Benchmark Data'!$AC$7:$AC$130,MATCH($A52,'Benchmark Data'!$A$7:$A$130,0)),0)</f>
        <v>4.8677248677248671E-3</v>
      </c>
      <c r="H52" s="64">
        <f>IFERROR(INDEX('Benchmark Data'!$AD$7:$AD$130,MATCH($A52,'Benchmark Data'!$A$7:$A$130,0)),0)</f>
        <v>4108.6956521739139</v>
      </c>
      <c r="I52" s="65">
        <f t="shared" si="5"/>
        <v>20.000000000000004</v>
      </c>
      <c r="J52" s="66">
        <f>$E$11</f>
        <v>0</v>
      </c>
      <c r="K52" s="29">
        <f>IFERROR(INDEX('Benchmark Data'!$AE$7:$AE$130,MATCH($A52,'Benchmark Data'!$A$7:$A$130,0)),0)</f>
        <v>1</v>
      </c>
      <c r="L52" s="67">
        <f t="shared" si="6"/>
        <v>0</v>
      </c>
      <c r="M52" s="68">
        <f t="shared" si="7"/>
        <v>0</v>
      </c>
      <c r="N52" s="69">
        <f t="shared" si="8"/>
        <v>0</v>
      </c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</row>
    <row r="53" spans="1:50" outlineLevel="1">
      <c r="A53" s="71" t="s">
        <v>547</v>
      </c>
      <c r="B53" s="72" t="s">
        <v>548</v>
      </c>
      <c r="C53" s="73" t="s">
        <v>549</v>
      </c>
      <c r="D53" s="71" t="s">
        <v>550</v>
      </c>
      <c r="E53" s="74" t="s">
        <v>202</v>
      </c>
      <c r="F53" s="17" t="s">
        <v>63</v>
      </c>
      <c r="G53" s="75">
        <f>G52</f>
        <v>4.8677248677248671E-3</v>
      </c>
      <c r="H53" s="76">
        <f>H52*(1+Settings!$C$8)</f>
        <v>5135.8695652173919</v>
      </c>
      <c r="I53" s="76">
        <f t="shared" si="5"/>
        <v>25</v>
      </c>
      <c r="J53" s="77">
        <f>J52</f>
        <v>0</v>
      </c>
      <c r="K53" s="51">
        <f>K52</f>
        <v>1</v>
      </c>
      <c r="L53" s="52">
        <f t="shared" si="6"/>
        <v>0</v>
      </c>
      <c r="M53" s="51">
        <f t="shared" si="7"/>
        <v>0</v>
      </c>
      <c r="N53" s="78">
        <f t="shared" si="8"/>
        <v>0</v>
      </c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</row>
    <row r="54" spans="1:50" outlineLevel="1">
      <c r="A54" s="71" t="s">
        <v>547</v>
      </c>
      <c r="B54" s="72" t="s">
        <v>548</v>
      </c>
      <c r="C54" s="73" t="s">
        <v>549</v>
      </c>
      <c r="D54" s="71" t="s">
        <v>550</v>
      </c>
      <c r="E54" s="74" t="s">
        <v>202</v>
      </c>
      <c r="F54" s="17" t="s">
        <v>64</v>
      </c>
      <c r="G54" s="75">
        <f>G52</f>
        <v>4.8677248677248671E-3</v>
      </c>
      <c r="H54" s="76">
        <f>H52*(1+Settings!$C$9)</f>
        <v>6163.0434782608709</v>
      </c>
      <c r="I54" s="76">
        <f t="shared" si="5"/>
        <v>30.000000000000004</v>
      </c>
      <c r="J54" s="77">
        <f>J52</f>
        <v>0</v>
      </c>
      <c r="K54" s="51">
        <f>K52</f>
        <v>1</v>
      </c>
      <c r="L54" s="52">
        <f t="shared" si="6"/>
        <v>0</v>
      </c>
      <c r="M54" s="51">
        <f t="shared" si="7"/>
        <v>0</v>
      </c>
      <c r="N54" s="78">
        <f t="shared" si="8"/>
        <v>0</v>
      </c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</row>
    <row r="55" spans="1:50" outlineLevel="1">
      <c r="A55" s="71" t="s">
        <v>547</v>
      </c>
      <c r="B55" s="72" t="s">
        <v>548</v>
      </c>
      <c r="C55" s="73" t="s">
        <v>549</v>
      </c>
      <c r="D55" s="71" t="s">
        <v>550</v>
      </c>
      <c r="E55" s="74" t="s">
        <v>202</v>
      </c>
      <c r="F55" s="17" t="s">
        <v>65</v>
      </c>
      <c r="G55" s="80">
        <f>G52</f>
        <v>4.8677248677248671E-3</v>
      </c>
      <c r="H55" s="81">
        <f>H52</f>
        <v>4108.6956521739139</v>
      </c>
      <c r="I55" s="76">
        <f t="shared" si="5"/>
        <v>20.000000000000004</v>
      </c>
      <c r="J55" s="77">
        <f>J52</f>
        <v>0</v>
      </c>
      <c r="K55" s="82">
        <f>K52</f>
        <v>1</v>
      </c>
      <c r="L55" s="52">
        <f t="shared" si="6"/>
        <v>0</v>
      </c>
      <c r="M55" s="51">
        <f t="shared" si="7"/>
        <v>0</v>
      </c>
      <c r="N55" s="78">
        <f t="shared" si="8"/>
        <v>0</v>
      </c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  <c r="AG55" s="79"/>
      <c r="AH55" s="79"/>
      <c r="AI55" s="79"/>
      <c r="AJ55" s="79"/>
      <c r="AK55" s="79"/>
      <c r="AL55" s="79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</row>
    <row r="56" spans="1:50">
      <c r="A56" s="83" t="s">
        <v>547</v>
      </c>
      <c r="B56" s="16" t="s">
        <v>548</v>
      </c>
      <c r="C56" s="84" t="s">
        <v>549</v>
      </c>
      <c r="D56" s="85" t="s">
        <v>550</v>
      </c>
      <c r="E56" s="86" t="s">
        <v>202</v>
      </c>
      <c r="F56" s="16" t="s">
        <v>179</v>
      </c>
      <c r="G56" s="87">
        <f>CHOOSE(IF(OR($C$3="Expert input",$I$52=0),4,IF($C$3="+25%",2,IF($C$3="+50%",3,1))),G52,G53,G54,G55)</f>
        <v>4.8677248677248671E-3</v>
      </c>
      <c r="H56" s="88">
        <f>CHOOSE(IF(OR($C$3="Expert input",$I$52=0),4,IF($C$3="+25%",2,IF($C$3="+50%",3,1))),H52,H53,H54,H55)</f>
        <v>4108.6956521739139</v>
      </c>
      <c r="I56" s="88">
        <f t="shared" si="5"/>
        <v>20.000000000000004</v>
      </c>
      <c r="J56" s="54">
        <f>J52</f>
        <v>0</v>
      </c>
      <c r="K56" s="53">
        <f>CHOOSE(IF(OR($C$3="Expert input",$I$52=0),4,IF($C$3="+25%",2,IF($C$3="+50%",3,1))),K52,K53,K54,K55)</f>
        <v>1</v>
      </c>
      <c r="L56" s="54">
        <f t="shared" si="6"/>
        <v>0</v>
      </c>
      <c r="M56" s="53">
        <f t="shared" si="7"/>
        <v>0</v>
      </c>
      <c r="N56" s="54">
        <f t="shared" si="8"/>
        <v>0</v>
      </c>
      <c r="O56" s="43">
        <v>0.39</v>
      </c>
      <c r="P56" s="43">
        <v>0.31</v>
      </c>
      <c r="Q56" s="43">
        <v>0.22</v>
      </c>
      <c r="R56" s="43"/>
      <c r="S56" s="43"/>
      <c r="T56" s="43"/>
      <c r="U56" s="43"/>
      <c r="V56" s="43"/>
      <c r="W56" s="43"/>
      <c r="X56" s="43"/>
      <c r="Y56" s="43"/>
      <c r="Z56" s="43">
        <v>0.08</v>
      </c>
      <c r="AA56" s="89">
        <f>O56*$M56</f>
        <v>0</v>
      </c>
      <c r="AB56" s="90">
        <f>O56*$N56</f>
        <v>0</v>
      </c>
      <c r="AC56" s="89">
        <f>P56*$M56</f>
        <v>0</v>
      </c>
      <c r="AD56" s="90">
        <f>P56*$N56</f>
        <v>0</v>
      </c>
      <c r="AE56" s="89">
        <f>Q56*$M56</f>
        <v>0</v>
      </c>
      <c r="AF56" s="90">
        <f>Q56*$N56</f>
        <v>0</v>
      </c>
      <c r="AG56" s="89">
        <f>R56*$M56</f>
        <v>0</v>
      </c>
      <c r="AH56" s="90">
        <f>R56*$N56</f>
        <v>0</v>
      </c>
      <c r="AI56" s="89">
        <f>S56*$M56</f>
        <v>0</v>
      </c>
      <c r="AJ56" s="90">
        <f>S56*$N56</f>
        <v>0</v>
      </c>
      <c r="AK56" s="89">
        <f>T56*$M56</f>
        <v>0</v>
      </c>
      <c r="AL56" s="90">
        <f>T56*$N56</f>
        <v>0</v>
      </c>
      <c r="AM56" s="89">
        <f>U56*$M56</f>
        <v>0</v>
      </c>
      <c r="AN56" s="90">
        <f>U56*$N56</f>
        <v>0</v>
      </c>
      <c r="AO56" s="89">
        <f>V56*$M56</f>
        <v>0</v>
      </c>
      <c r="AP56" s="90">
        <f>V56*$N56</f>
        <v>0</v>
      </c>
      <c r="AQ56" s="89">
        <f>W56*$M56</f>
        <v>0</v>
      </c>
      <c r="AR56" s="90">
        <f>W56*$N56</f>
        <v>0</v>
      </c>
      <c r="AS56" s="89">
        <f>X56*$M56</f>
        <v>0</v>
      </c>
      <c r="AT56" s="90">
        <f>X56*$N56</f>
        <v>0</v>
      </c>
      <c r="AU56" s="89">
        <f>Y56*$M56</f>
        <v>0</v>
      </c>
      <c r="AV56" s="90">
        <f>Y56*$N56</f>
        <v>0</v>
      </c>
      <c r="AW56" s="89">
        <f>Z56*$M56</f>
        <v>0</v>
      </c>
      <c r="AX56" s="90">
        <f>Z56*$N56</f>
        <v>0</v>
      </c>
    </row>
    <row r="57" spans="1:50" outlineLevel="1">
      <c r="A57" s="58" t="s">
        <v>551</v>
      </c>
      <c r="B57" s="59" t="s">
        <v>552</v>
      </c>
      <c r="C57" s="60" t="s">
        <v>553</v>
      </c>
      <c r="D57" s="61" t="s">
        <v>550</v>
      </c>
      <c r="E57" s="62" t="s">
        <v>202</v>
      </c>
      <c r="F57" s="59" t="s">
        <v>62</v>
      </c>
      <c r="G57" s="63">
        <f>IFERROR(INDEX('Benchmark Data'!$AC$7:$AC$130,MATCH($A57,'Benchmark Data'!$A$7:$A$130,0)),0)</f>
        <v>1.2500000000000001E-2</v>
      </c>
      <c r="H57" s="64">
        <f>IFERROR(INDEX('Benchmark Data'!$AD$7:$AD$130,MATCH($A57,'Benchmark Data'!$A$7:$A$130,0)),0)</f>
        <v>2000</v>
      </c>
      <c r="I57" s="65">
        <f t="shared" si="5"/>
        <v>25</v>
      </c>
      <c r="J57" s="91"/>
      <c r="K57" s="29">
        <f>IFERROR(INDEX('Benchmark Data'!$AE$7:$AE$130,MATCH($A57,'Benchmark Data'!$A$7:$A$130,0)),0)</f>
        <v>1</v>
      </c>
      <c r="L57" s="67">
        <f t="shared" si="6"/>
        <v>0</v>
      </c>
      <c r="M57" s="68">
        <f t="shared" si="7"/>
        <v>0</v>
      </c>
      <c r="N57" s="69">
        <f t="shared" si="8"/>
        <v>0</v>
      </c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</row>
    <row r="58" spans="1:50" outlineLevel="1">
      <c r="A58" s="71" t="s">
        <v>551</v>
      </c>
      <c r="B58" s="72" t="s">
        <v>552</v>
      </c>
      <c r="C58" s="73" t="s">
        <v>553</v>
      </c>
      <c r="D58" s="71" t="s">
        <v>550</v>
      </c>
      <c r="E58" s="74" t="s">
        <v>202</v>
      </c>
      <c r="F58" s="17" t="s">
        <v>63</v>
      </c>
      <c r="G58" s="75">
        <f>G57</f>
        <v>1.2500000000000001E-2</v>
      </c>
      <c r="H58" s="76">
        <f>H57*(1+Settings!$C$8)</f>
        <v>2500</v>
      </c>
      <c r="I58" s="76">
        <f t="shared" si="5"/>
        <v>31.25</v>
      </c>
      <c r="J58" s="77">
        <f>J57</f>
        <v>0</v>
      </c>
      <c r="K58" s="51">
        <f>K57</f>
        <v>1</v>
      </c>
      <c r="L58" s="52">
        <f t="shared" si="6"/>
        <v>0</v>
      </c>
      <c r="M58" s="51">
        <f t="shared" si="7"/>
        <v>0</v>
      </c>
      <c r="N58" s="78">
        <f t="shared" si="8"/>
        <v>0</v>
      </c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Q58" s="79"/>
      <c r="AR58" s="79"/>
      <c r="AS58" s="79"/>
      <c r="AT58" s="79"/>
      <c r="AU58" s="79"/>
      <c r="AV58" s="79"/>
      <c r="AW58" s="79"/>
      <c r="AX58" s="79"/>
    </row>
    <row r="59" spans="1:50" outlineLevel="1">
      <c r="A59" s="71" t="s">
        <v>551</v>
      </c>
      <c r="B59" s="72" t="s">
        <v>552</v>
      </c>
      <c r="C59" s="73" t="s">
        <v>553</v>
      </c>
      <c r="D59" s="71" t="s">
        <v>550</v>
      </c>
      <c r="E59" s="74" t="s">
        <v>202</v>
      </c>
      <c r="F59" s="17" t="s">
        <v>64</v>
      </c>
      <c r="G59" s="75">
        <f>G57</f>
        <v>1.2500000000000001E-2</v>
      </c>
      <c r="H59" s="76">
        <f>H57*(1+Settings!$C$9)</f>
        <v>3000</v>
      </c>
      <c r="I59" s="76">
        <f t="shared" si="5"/>
        <v>37.5</v>
      </c>
      <c r="J59" s="77">
        <f>J57</f>
        <v>0</v>
      </c>
      <c r="K59" s="51">
        <f>K57</f>
        <v>1</v>
      </c>
      <c r="L59" s="52">
        <f t="shared" si="6"/>
        <v>0</v>
      </c>
      <c r="M59" s="51">
        <f t="shared" si="7"/>
        <v>0</v>
      </c>
      <c r="N59" s="78">
        <f t="shared" si="8"/>
        <v>0</v>
      </c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79"/>
      <c r="AV59" s="79"/>
      <c r="AW59" s="79"/>
      <c r="AX59" s="79"/>
    </row>
    <row r="60" spans="1:50" outlineLevel="1">
      <c r="A60" s="71" t="s">
        <v>551</v>
      </c>
      <c r="B60" s="72" t="s">
        <v>552</v>
      </c>
      <c r="C60" s="73" t="s">
        <v>553</v>
      </c>
      <c r="D60" s="71" t="s">
        <v>550</v>
      </c>
      <c r="E60" s="74" t="s">
        <v>202</v>
      </c>
      <c r="F60" s="17" t="s">
        <v>65</v>
      </c>
      <c r="G60" s="80">
        <f>G57</f>
        <v>1.2500000000000001E-2</v>
      </c>
      <c r="H60" s="81">
        <f>H57</f>
        <v>2000</v>
      </c>
      <c r="I60" s="76">
        <f t="shared" si="5"/>
        <v>25</v>
      </c>
      <c r="J60" s="77">
        <f>J57</f>
        <v>0</v>
      </c>
      <c r="K60" s="82">
        <f>K57</f>
        <v>1</v>
      </c>
      <c r="L60" s="52">
        <f t="shared" si="6"/>
        <v>0</v>
      </c>
      <c r="M60" s="51">
        <f t="shared" si="7"/>
        <v>0</v>
      </c>
      <c r="N60" s="78">
        <f t="shared" si="8"/>
        <v>0</v>
      </c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</row>
    <row r="61" spans="1:50">
      <c r="A61" s="83" t="s">
        <v>551</v>
      </c>
      <c r="B61" s="16" t="s">
        <v>552</v>
      </c>
      <c r="C61" s="84" t="s">
        <v>553</v>
      </c>
      <c r="D61" s="85" t="s">
        <v>550</v>
      </c>
      <c r="E61" s="86" t="s">
        <v>202</v>
      </c>
      <c r="F61" s="16" t="s">
        <v>179</v>
      </c>
      <c r="G61" s="87">
        <f>CHOOSE(IF(OR($C$3="Expert input",$I$57=0),4,IF($C$3="+25%",2,IF($C$3="+50%",3,1))),G57,G58,G59,G60)</f>
        <v>1.2500000000000001E-2</v>
      </c>
      <c r="H61" s="88">
        <f>CHOOSE(IF(OR($C$3="Expert input",$I$57=0),4,IF($C$3="+25%",2,IF($C$3="+50%",3,1))),H57,H58,H59,H60)</f>
        <v>2000</v>
      </c>
      <c r="I61" s="88">
        <f t="shared" si="5"/>
        <v>25</v>
      </c>
      <c r="J61" s="54">
        <f>J57</f>
        <v>0</v>
      </c>
      <c r="K61" s="53">
        <f>CHOOSE(IF(OR($C$3="Expert input",$I$57=0),4,IF($C$3="+25%",2,IF($C$3="+50%",3,1))),K57,K58,K59,K60)</f>
        <v>1</v>
      </c>
      <c r="L61" s="54">
        <f t="shared" si="6"/>
        <v>0</v>
      </c>
      <c r="M61" s="53">
        <f t="shared" si="7"/>
        <v>0</v>
      </c>
      <c r="N61" s="54">
        <f t="shared" si="8"/>
        <v>0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89">
        <f>O61*$M61</f>
        <v>0</v>
      </c>
      <c r="AB61" s="90">
        <f>O61*$N61</f>
        <v>0</v>
      </c>
      <c r="AC61" s="89">
        <f>P61*$M61</f>
        <v>0</v>
      </c>
      <c r="AD61" s="90">
        <f>P61*$N61</f>
        <v>0</v>
      </c>
      <c r="AE61" s="89">
        <f>Q61*$M61</f>
        <v>0</v>
      </c>
      <c r="AF61" s="90">
        <f>Q61*$N61</f>
        <v>0</v>
      </c>
      <c r="AG61" s="89">
        <f>R61*$M61</f>
        <v>0</v>
      </c>
      <c r="AH61" s="90">
        <f>R61*$N61</f>
        <v>0</v>
      </c>
      <c r="AI61" s="89">
        <f>S61*$M61</f>
        <v>0</v>
      </c>
      <c r="AJ61" s="90">
        <f>S61*$N61</f>
        <v>0</v>
      </c>
      <c r="AK61" s="89">
        <f>T61*$M61</f>
        <v>0</v>
      </c>
      <c r="AL61" s="90">
        <f>T61*$N61</f>
        <v>0</v>
      </c>
      <c r="AM61" s="89">
        <f>U61*$M61</f>
        <v>0</v>
      </c>
      <c r="AN61" s="90">
        <f>U61*$N61</f>
        <v>0</v>
      </c>
      <c r="AO61" s="89">
        <f>V61*$M61</f>
        <v>0</v>
      </c>
      <c r="AP61" s="90">
        <f>V61*$N61</f>
        <v>0</v>
      </c>
      <c r="AQ61" s="89">
        <f>W61*$M61</f>
        <v>0</v>
      </c>
      <c r="AR61" s="90">
        <f>W61*$N61</f>
        <v>0</v>
      </c>
      <c r="AS61" s="89">
        <f>X61*$M61</f>
        <v>0</v>
      </c>
      <c r="AT61" s="90">
        <f>X61*$N61</f>
        <v>0</v>
      </c>
      <c r="AU61" s="89">
        <f>Y61*$M61</f>
        <v>0</v>
      </c>
      <c r="AV61" s="90">
        <f>Y61*$N61</f>
        <v>0</v>
      </c>
      <c r="AW61" s="89">
        <f>Z61*$M61</f>
        <v>0</v>
      </c>
      <c r="AX61" s="90">
        <f>Z61*$N61</f>
        <v>0</v>
      </c>
    </row>
    <row r="62" spans="1:50" outlineLevel="1">
      <c r="A62" s="58" t="s">
        <v>554</v>
      </c>
      <c r="B62" s="59" t="s">
        <v>555</v>
      </c>
      <c r="C62" s="60" t="s">
        <v>556</v>
      </c>
      <c r="D62" s="61" t="s">
        <v>550</v>
      </c>
      <c r="E62" s="62" t="s">
        <v>277</v>
      </c>
      <c r="F62" s="59" t="s">
        <v>62</v>
      </c>
      <c r="G62" s="63">
        <f>IFERROR(INDEX('Benchmark Data'!$AC$7:$AC$130,MATCH($A62,'Benchmark Data'!$A$7:$A$130,0)),0)</f>
        <v>0</v>
      </c>
      <c r="H62" s="64">
        <f>IFERROR(INDEX('Benchmark Data'!$AD$7:$AD$130,MATCH($A62,'Benchmark Data'!$A$7:$A$130,0)),0)</f>
        <v>0</v>
      </c>
      <c r="I62" s="65">
        <f t="shared" si="5"/>
        <v>0</v>
      </c>
      <c r="J62" s="91"/>
      <c r="K62" s="29">
        <f>IFERROR(INDEX('Benchmark Data'!$AE$7:$AE$130,MATCH($A62,'Benchmark Data'!$A$7:$A$130,0)),0)</f>
        <v>1</v>
      </c>
      <c r="L62" s="67">
        <f t="shared" si="6"/>
        <v>0</v>
      </c>
      <c r="M62" s="68">
        <f t="shared" si="7"/>
        <v>0</v>
      </c>
      <c r="N62" s="69">
        <f t="shared" si="8"/>
        <v>0</v>
      </c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</row>
    <row r="63" spans="1:50" outlineLevel="1">
      <c r="A63" s="71" t="s">
        <v>554</v>
      </c>
      <c r="B63" s="72" t="s">
        <v>555</v>
      </c>
      <c r="C63" s="73" t="s">
        <v>556</v>
      </c>
      <c r="D63" s="71" t="s">
        <v>550</v>
      </c>
      <c r="E63" s="74" t="s">
        <v>277</v>
      </c>
      <c r="F63" s="17" t="s">
        <v>63</v>
      </c>
      <c r="G63" s="75">
        <f>G62</f>
        <v>0</v>
      </c>
      <c r="H63" s="76">
        <f>H62*(1+Settings!$C$8)</f>
        <v>0</v>
      </c>
      <c r="I63" s="76">
        <f t="shared" si="5"/>
        <v>0</v>
      </c>
      <c r="J63" s="77">
        <f>J62</f>
        <v>0</v>
      </c>
      <c r="K63" s="51">
        <f>K62</f>
        <v>1</v>
      </c>
      <c r="L63" s="52">
        <f t="shared" si="6"/>
        <v>0</v>
      </c>
      <c r="M63" s="51">
        <f t="shared" si="7"/>
        <v>0</v>
      </c>
      <c r="N63" s="78">
        <f t="shared" si="8"/>
        <v>0</v>
      </c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Q63" s="79"/>
      <c r="AR63" s="79"/>
      <c r="AS63" s="79"/>
      <c r="AT63" s="79"/>
      <c r="AU63" s="79"/>
      <c r="AV63" s="79"/>
      <c r="AW63" s="79"/>
      <c r="AX63" s="79"/>
    </row>
    <row r="64" spans="1:50" outlineLevel="1">
      <c r="A64" s="71" t="s">
        <v>554</v>
      </c>
      <c r="B64" s="72" t="s">
        <v>555</v>
      </c>
      <c r="C64" s="73" t="s">
        <v>556</v>
      </c>
      <c r="D64" s="71" t="s">
        <v>550</v>
      </c>
      <c r="E64" s="74" t="s">
        <v>277</v>
      </c>
      <c r="F64" s="17" t="s">
        <v>64</v>
      </c>
      <c r="G64" s="75">
        <f>G62</f>
        <v>0</v>
      </c>
      <c r="H64" s="76">
        <f>H62*(1+Settings!$C$9)</f>
        <v>0</v>
      </c>
      <c r="I64" s="76">
        <f t="shared" si="5"/>
        <v>0</v>
      </c>
      <c r="J64" s="77">
        <f>J62</f>
        <v>0</v>
      </c>
      <c r="K64" s="51">
        <f>K62</f>
        <v>1</v>
      </c>
      <c r="L64" s="52">
        <f t="shared" si="6"/>
        <v>0</v>
      </c>
      <c r="M64" s="51">
        <f t="shared" si="7"/>
        <v>0</v>
      </c>
      <c r="N64" s="78">
        <f t="shared" si="8"/>
        <v>0</v>
      </c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</row>
    <row r="65" spans="1:50" outlineLevel="1">
      <c r="A65" s="71" t="s">
        <v>554</v>
      </c>
      <c r="B65" s="72" t="s">
        <v>555</v>
      </c>
      <c r="C65" s="73" t="s">
        <v>556</v>
      </c>
      <c r="D65" s="71" t="s">
        <v>550</v>
      </c>
      <c r="E65" s="74" t="s">
        <v>277</v>
      </c>
      <c r="F65" s="17" t="s">
        <v>65</v>
      </c>
      <c r="G65" s="80">
        <f>IFERROR(INDEX('Benchmark Data'!$AH$7:$AH$130,MATCH($A65,'Benchmark Data'!$A$7:$A$130,0)),0)</f>
        <v>1</v>
      </c>
      <c r="H65" s="81">
        <f>IFERROR(INDEX('Benchmark Data'!$AI$7:$AI$130,MATCH($A65,'Benchmark Data'!$A$7:$A$130,0)),0)</f>
        <v>250</v>
      </c>
      <c r="I65" s="76">
        <f t="shared" si="5"/>
        <v>250</v>
      </c>
      <c r="J65" s="77">
        <f>J62</f>
        <v>0</v>
      </c>
      <c r="K65" s="82">
        <f>IFERROR(INDEX('Benchmark Data'!$AJ$7:$AJ$130,MATCH($A65,'Benchmark Data'!$A$7:$A$130,0)),0)</f>
        <v>3</v>
      </c>
      <c r="L65" s="52">
        <f t="shared" si="6"/>
        <v>0</v>
      </c>
      <c r="M65" s="51">
        <f t="shared" si="7"/>
        <v>0</v>
      </c>
      <c r="N65" s="78">
        <f t="shared" si="8"/>
        <v>0</v>
      </c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</row>
    <row r="66" spans="1:50">
      <c r="A66" s="83" t="s">
        <v>554</v>
      </c>
      <c r="B66" s="16" t="s">
        <v>555</v>
      </c>
      <c r="C66" s="84" t="s">
        <v>556</v>
      </c>
      <c r="D66" s="85" t="s">
        <v>550</v>
      </c>
      <c r="E66" s="86" t="s">
        <v>277</v>
      </c>
      <c r="F66" s="16" t="s">
        <v>179</v>
      </c>
      <c r="G66" s="87">
        <f>CHOOSE(IF(OR($C$3="Expert input",$I$62=0),4,IF($C$3="+25%",2,IF($C$3="+50%",3,1))),G62,G63,G64,G65)</f>
        <v>1</v>
      </c>
      <c r="H66" s="88">
        <f>CHOOSE(IF(OR($C$3="Expert input",$I$62=0),4,IF($C$3="+25%",2,IF($C$3="+50%",3,1))),H62,H63,H64,H65)</f>
        <v>250</v>
      </c>
      <c r="I66" s="88">
        <f t="shared" si="5"/>
        <v>250</v>
      </c>
      <c r="J66" s="54">
        <f>J62</f>
        <v>0</v>
      </c>
      <c r="K66" s="53">
        <f>CHOOSE(IF(OR($C$3="Expert input",$I$62=0),4,IF($C$3="+25%",2,IF($C$3="+50%",3,1))),K62,K63,K64,K65)</f>
        <v>3</v>
      </c>
      <c r="L66" s="54">
        <f t="shared" si="6"/>
        <v>0</v>
      </c>
      <c r="M66" s="53">
        <f t="shared" si="7"/>
        <v>0</v>
      </c>
      <c r="N66" s="54">
        <f t="shared" si="8"/>
        <v>0</v>
      </c>
      <c r="O66" s="43">
        <v>0.34</v>
      </c>
      <c r="P66" s="43">
        <v>0.33</v>
      </c>
      <c r="Q66" s="43">
        <v>0.33</v>
      </c>
      <c r="R66" s="43"/>
      <c r="S66" s="43"/>
      <c r="T66" s="43"/>
      <c r="U66" s="43"/>
      <c r="V66" s="43"/>
      <c r="W66" s="43"/>
      <c r="X66" s="43"/>
      <c r="Y66" s="43"/>
      <c r="Z66" s="43"/>
      <c r="AA66" s="89">
        <f>O66*$M66</f>
        <v>0</v>
      </c>
      <c r="AB66" s="90">
        <f>O66*$N66</f>
        <v>0</v>
      </c>
      <c r="AC66" s="89">
        <f>P66*$M66</f>
        <v>0</v>
      </c>
      <c r="AD66" s="90">
        <f>P66*$N66</f>
        <v>0</v>
      </c>
      <c r="AE66" s="89">
        <f>Q66*$M66</f>
        <v>0</v>
      </c>
      <c r="AF66" s="90">
        <f>Q66*$N66</f>
        <v>0</v>
      </c>
      <c r="AG66" s="89">
        <f>R66*$M66</f>
        <v>0</v>
      </c>
      <c r="AH66" s="90">
        <f>R66*$N66</f>
        <v>0</v>
      </c>
      <c r="AI66" s="89">
        <f>S66*$M66</f>
        <v>0</v>
      </c>
      <c r="AJ66" s="90">
        <f>S66*$N66</f>
        <v>0</v>
      </c>
      <c r="AK66" s="89">
        <f>T66*$M66</f>
        <v>0</v>
      </c>
      <c r="AL66" s="90">
        <f>T66*$N66</f>
        <v>0</v>
      </c>
      <c r="AM66" s="89">
        <f>U66*$M66</f>
        <v>0</v>
      </c>
      <c r="AN66" s="90">
        <f>U66*$N66</f>
        <v>0</v>
      </c>
      <c r="AO66" s="89">
        <f>V66*$M66</f>
        <v>0</v>
      </c>
      <c r="AP66" s="90">
        <f>V66*$N66</f>
        <v>0</v>
      </c>
      <c r="AQ66" s="89">
        <f>W66*$M66</f>
        <v>0</v>
      </c>
      <c r="AR66" s="90">
        <f>W66*$N66</f>
        <v>0</v>
      </c>
      <c r="AS66" s="89">
        <f>X66*$M66</f>
        <v>0</v>
      </c>
      <c r="AT66" s="90">
        <f>X66*$N66</f>
        <v>0</v>
      </c>
      <c r="AU66" s="89">
        <f>Y66*$M66</f>
        <v>0</v>
      </c>
      <c r="AV66" s="90">
        <f>Y66*$N66</f>
        <v>0</v>
      </c>
      <c r="AW66" s="89">
        <f>Z66*$M66</f>
        <v>0</v>
      </c>
      <c r="AX66" s="90">
        <f>Z66*$N66</f>
        <v>0</v>
      </c>
    </row>
    <row r="67" spans="1:50" outlineLevel="1">
      <c r="A67" s="58" t="s">
        <v>557</v>
      </c>
      <c r="B67" s="59" t="s">
        <v>558</v>
      </c>
      <c r="C67" s="60" t="s">
        <v>559</v>
      </c>
      <c r="D67" s="61" t="s">
        <v>550</v>
      </c>
      <c r="E67" s="62" t="s">
        <v>277</v>
      </c>
      <c r="F67" s="59" t="s">
        <v>62</v>
      </c>
      <c r="G67" s="63">
        <f>IFERROR(INDEX('Benchmark Data'!$AC$7:$AC$130,MATCH($A67,'Benchmark Data'!$A$7:$A$130,0)),0)</f>
        <v>0</v>
      </c>
      <c r="H67" s="64">
        <f>IFERROR(INDEX('Benchmark Data'!$AD$7:$AD$130,MATCH($A67,'Benchmark Data'!$A$7:$A$130,0)),0)</f>
        <v>0</v>
      </c>
      <c r="I67" s="65">
        <f t="shared" si="5"/>
        <v>0</v>
      </c>
      <c r="J67" s="91"/>
      <c r="K67" s="29">
        <f>IFERROR(INDEX('Benchmark Data'!$AE$7:$AE$130,MATCH($A67,'Benchmark Data'!$A$7:$A$130,0)),0)</f>
        <v>1</v>
      </c>
      <c r="L67" s="67">
        <f t="shared" si="6"/>
        <v>0</v>
      </c>
      <c r="M67" s="68">
        <f t="shared" si="7"/>
        <v>0</v>
      </c>
      <c r="N67" s="69">
        <f t="shared" si="8"/>
        <v>0</v>
      </c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</row>
    <row r="68" spans="1:50" outlineLevel="1">
      <c r="A68" s="71" t="s">
        <v>557</v>
      </c>
      <c r="B68" s="72" t="s">
        <v>558</v>
      </c>
      <c r="C68" s="73" t="s">
        <v>559</v>
      </c>
      <c r="D68" s="71" t="s">
        <v>550</v>
      </c>
      <c r="E68" s="74" t="s">
        <v>277</v>
      </c>
      <c r="F68" s="17" t="s">
        <v>63</v>
      </c>
      <c r="G68" s="75">
        <f>G67</f>
        <v>0</v>
      </c>
      <c r="H68" s="76">
        <f>H67*(1+Settings!$C$8)</f>
        <v>0</v>
      </c>
      <c r="I68" s="76">
        <f t="shared" si="5"/>
        <v>0</v>
      </c>
      <c r="J68" s="77">
        <f>J67</f>
        <v>0</v>
      </c>
      <c r="K68" s="51">
        <f>K67</f>
        <v>1</v>
      </c>
      <c r="L68" s="52">
        <f t="shared" si="6"/>
        <v>0</v>
      </c>
      <c r="M68" s="51">
        <f t="shared" si="7"/>
        <v>0</v>
      </c>
      <c r="N68" s="78">
        <f t="shared" si="8"/>
        <v>0</v>
      </c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Q68" s="79"/>
      <c r="AR68" s="79"/>
      <c r="AS68" s="79"/>
      <c r="AT68" s="79"/>
      <c r="AU68" s="79"/>
      <c r="AV68" s="79"/>
      <c r="AW68" s="79"/>
      <c r="AX68" s="79"/>
    </row>
    <row r="69" spans="1:50" outlineLevel="1">
      <c r="A69" s="71" t="s">
        <v>557</v>
      </c>
      <c r="B69" s="72" t="s">
        <v>558</v>
      </c>
      <c r="C69" s="73" t="s">
        <v>559</v>
      </c>
      <c r="D69" s="71" t="s">
        <v>550</v>
      </c>
      <c r="E69" s="74" t="s">
        <v>277</v>
      </c>
      <c r="F69" s="17" t="s">
        <v>64</v>
      </c>
      <c r="G69" s="75">
        <f>G67</f>
        <v>0</v>
      </c>
      <c r="H69" s="76">
        <f>H67*(1+Settings!$C$9)</f>
        <v>0</v>
      </c>
      <c r="I69" s="76">
        <f t="shared" si="5"/>
        <v>0</v>
      </c>
      <c r="J69" s="77">
        <f>J67</f>
        <v>0</v>
      </c>
      <c r="K69" s="51">
        <f>K67</f>
        <v>1</v>
      </c>
      <c r="L69" s="52">
        <f t="shared" si="6"/>
        <v>0</v>
      </c>
      <c r="M69" s="51">
        <f t="shared" si="7"/>
        <v>0</v>
      </c>
      <c r="N69" s="78">
        <f t="shared" si="8"/>
        <v>0</v>
      </c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Q69" s="79"/>
      <c r="AR69" s="79"/>
      <c r="AS69" s="79"/>
      <c r="AT69" s="79"/>
      <c r="AU69" s="79"/>
      <c r="AV69" s="79"/>
      <c r="AW69" s="79"/>
      <c r="AX69" s="79"/>
    </row>
    <row r="70" spans="1:50" outlineLevel="1">
      <c r="A70" s="71" t="s">
        <v>557</v>
      </c>
      <c r="B70" s="72" t="s">
        <v>558</v>
      </c>
      <c r="C70" s="73" t="s">
        <v>559</v>
      </c>
      <c r="D70" s="71" t="s">
        <v>550</v>
      </c>
      <c r="E70" s="74" t="s">
        <v>277</v>
      </c>
      <c r="F70" s="17" t="s">
        <v>65</v>
      </c>
      <c r="G70" s="80">
        <f>IFERROR(INDEX('Benchmark Data'!$AH$7:$AH$130,MATCH($A70,'Benchmark Data'!$A$7:$A$130,0)),0)</f>
        <v>1</v>
      </c>
      <c r="H70" s="81">
        <f>IFERROR(INDEX('Benchmark Data'!$AI$7:$AI$130,MATCH($A70,'Benchmark Data'!$A$7:$A$130,0)),0)</f>
        <v>200</v>
      </c>
      <c r="I70" s="76">
        <f t="shared" si="5"/>
        <v>200</v>
      </c>
      <c r="J70" s="77">
        <f>J67</f>
        <v>0</v>
      </c>
      <c r="K70" s="82">
        <f>IFERROR(INDEX('Benchmark Data'!$AJ$7:$AJ$130,MATCH($A70,'Benchmark Data'!$A$7:$A$130,0)),0)</f>
        <v>2</v>
      </c>
      <c r="L70" s="52">
        <f t="shared" si="6"/>
        <v>0</v>
      </c>
      <c r="M70" s="51">
        <f t="shared" si="7"/>
        <v>0</v>
      </c>
      <c r="N70" s="78">
        <f t="shared" si="8"/>
        <v>0</v>
      </c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Q70" s="79"/>
      <c r="AR70" s="79"/>
      <c r="AS70" s="79"/>
      <c r="AT70" s="79"/>
      <c r="AU70" s="79"/>
      <c r="AV70" s="79"/>
      <c r="AW70" s="79"/>
      <c r="AX70" s="79"/>
    </row>
    <row r="71" spans="1:50">
      <c r="A71" s="83" t="s">
        <v>557</v>
      </c>
      <c r="B71" s="16" t="s">
        <v>558</v>
      </c>
      <c r="C71" s="84" t="s">
        <v>559</v>
      </c>
      <c r="D71" s="85" t="s">
        <v>550</v>
      </c>
      <c r="E71" s="86" t="s">
        <v>277</v>
      </c>
      <c r="F71" s="16" t="s">
        <v>179</v>
      </c>
      <c r="G71" s="87">
        <f>CHOOSE(IF(OR($C$3="Expert input",$I$67=0),4,IF($C$3="+25%",2,IF($C$3="+50%",3,1))),G67,G68,G69,G70)</f>
        <v>1</v>
      </c>
      <c r="H71" s="88">
        <f>CHOOSE(IF(OR($C$3="Expert input",$I$67=0),4,IF($C$3="+25%",2,IF($C$3="+50%",3,1))),H67,H68,H69,H70)</f>
        <v>200</v>
      </c>
      <c r="I71" s="88">
        <f t="shared" si="5"/>
        <v>200</v>
      </c>
      <c r="J71" s="54">
        <f>J67</f>
        <v>0</v>
      </c>
      <c r="K71" s="53">
        <f>CHOOSE(IF(OR($C$3="Expert input",$I$67=0),4,IF($C$3="+25%",2,IF($C$3="+50%",3,1))),K67,K68,K69,K70)</f>
        <v>2</v>
      </c>
      <c r="L71" s="54">
        <f t="shared" si="6"/>
        <v>0</v>
      </c>
      <c r="M71" s="53">
        <f t="shared" si="7"/>
        <v>0</v>
      </c>
      <c r="N71" s="54">
        <f t="shared" si="8"/>
        <v>0</v>
      </c>
      <c r="O71" s="43"/>
      <c r="P71" s="43">
        <v>0.5</v>
      </c>
      <c r="Q71" s="43">
        <v>0.5</v>
      </c>
      <c r="R71" s="43"/>
      <c r="S71" s="43"/>
      <c r="T71" s="43"/>
      <c r="U71" s="43"/>
      <c r="V71" s="43"/>
      <c r="W71" s="43"/>
      <c r="X71" s="43"/>
      <c r="Y71" s="43"/>
      <c r="Z71" s="43"/>
      <c r="AA71" s="89">
        <f>O71*$M71</f>
        <v>0</v>
      </c>
      <c r="AB71" s="90">
        <f>O71*$N71</f>
        <v>0</v>
      </c>
      <c r="AC71" s="89">
        <f>P71*$M71</f>
        <v>0</v>
      </c>
      <c r="AD71" s="90">
        <f>P71*$N71</f>
        <v>0</v>
      </c>
      <c r="AE71" s="89">
        <f>Q71*$M71</f>
        <v>0</v>
      </c>
      <c r="AF71" s="90">
        <f>Q71*$N71</f>
        <v>0</v>
      </c>
      <c r="AG71" s="89">
        <f>R71*$M71</f>
        <v>0</v>
      </c>
      <c r="AH71" s="90">
        <f>R71*$N71</f>
        <v>0</v>
      </c>
      <c r="AI71" s="89">
        <f>S71*$M71</f>
        <v>0</v>
      </c>
      <c r="AJ71" s="90">
        <f>S71*$N71</f>
        <v>0</v>
      </c>
      <c r="AK71" s="89">
        <f>T71*$M71</f>
        <v>0</v>
      </c>
      <c r="AL71" s="90">
        <f>T71*$N71</f>
        <v>0</v>
      </c>
      <c r="AM71" s="89">
        <f>U71*$M71</f>
        <v>0</v>
      </c>
      <c r="AN71" s="90">
        <f>U71*$N71</f>
        <v>0</v>
      </c>
      <c r="AO71" s="89">
        <f>V71*$M71</f>
        <v>0</v>
      </c>
      <c r="AP71" s="90">
        <f>V71*$N71</f>
        <v>0</v>
      </c>
      <c r="AQ71" s="89">
        <f>W71*$M71</f>
        <v>0</v>
      </c>
      <c r="AR71" s="90">
        <f>W71*$N71</f>
        <v>0</v>
      </c>
      <c r="AS71" s="89">
        <f>X71*$M71</f>
        <v>0</v>
      </c>
      <c r="AT71" s="90">
        <f>X71*$N71</f>
        <v>0</v>
      </c>
      <c r="AU71" s="89">
        <f>Y71*$M71</f>
        <v>0</v>
      </c>
      <c r="AV71" s="90">
        <f>Y71*$N71</f>
        <v>0</v>
      </c>
      <c r="AW71" s="89">
        <f>Z71*$M71</f>
        <v>0</v>
      </c>
      <c r="AX71" s="90">
        <f>Z71*$N71</f>
        <v>0</v>
      </c>
    </row>
    <row r="72" spans="1:50" outlineLevel="1">
      <c r="A72" s="58" t="s">
        <v>560</v>
      </c>
      <c r="B72" s="59" t="s">
        <v>561</v>
      </c>
      <c r="C72" s="60" t="s">
        <v>562</v>
      </c>
      <c r="D72" s="61" t="s">
        <v>563</v>
      </c>
      <c r="E72" s="62" t="s">
        <v>117</v>
      </c>
      <c r="F72" s="59" t="s">
        <v>62</v>
      </c>
      <c r="G72" s="63">
        <f>IFERROR(INDEX('Benchmark Data'!$AC$7:$AC$130,MATCH($A72,'Benchmark Data'!$A$7:$A$130,0)),0)</f>
        <v>1.0555555555555556E-2</v>
      </c>
      <c r="H72" s="64">
        <f>IFERROR(INDEX('Benchmark Data'!$AD$7:$AD$130,MATCH($A72,'Benchmark Data'!$A$7:$A$130,0)),0)</f>
        <v>6315.7894736842109</v>
      </c>
      <c r="I72" s="65">
        <f t="shared" si="5"/>
        <v>66.666666666666671</v>
      </c>
      <c r="J72" s="66">
        <f>$E$12</f>
        <v>0</v>
      </c>
      <c r="K72" s="29">
        <f>IFERROR(INDEX('Benchmark Data'!$AE$7:$AE$130,MATCH($A72,'Benchmark Data'!$A$7:$A$130,0)),0)</f>
        <v>65</v>
      </c>
      <c r="L72" s="67">
        <f t="shared" si="6"/>
        <v>0</v>
      </c>
      <c r="M72" s="68">
        <f t="shared" si="7"/>
        <v>0</v>
      </c>
      <c r="N72" s="69">
        <f t="shared" si="8"/>
        <v>0</v>
      </c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</row>
    <row r="73" spans="1:50" outlineLevel="1">
      <c r="A73" s="71" t="s">
        <v>560</v>
      </c>
      <c r="B73" s="72" t="s">
        <v>561</v>
      </c>
      <c r="C73" s="73" t="s">
        <v>562</v>
      </c>
      <c r="D73" s="71" t="s">
        <v>563</v>
      </c>
      <c r="E73" s="74" t="s">
        <v>117</v>
      </c>
      <c r="F73" s="17" t="s">
        <v>63</v>
      </c>
      <c r="G73" s="75">
        <f>G72</f>
        <v>1.0555555555555556E-2</v>
      </c>
      <c r="H73" s="76">
        <f>H72*(1+Settings!$C$8)</f>
        <v>7894.7368421052633</v>
      </c>
      <c r="I73" s="76">
        <f t="shared" si="5"/>
        <v>83.333333333333343</v>
      </c>
      <c r="J73" s="77">
        <f>J72</f>
        <v>0</v>
      </c>
      <c r="K73" s="51">
        <f>K72</f>
        <v>65</v>
      </c>
      <c r="L73" s="52">
        <f t="shared" si="6"/>
        <v>0</v>
      </c>
      <c r="M73" s="51">
        <f t="shared" si="7"/>
        <v>0</v>
      </c>
      <c r="N73" s="78">
        <f t="shared" si="8"/>
        <v>0</v>
      </c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</row>
    <row r="74" spans="1:50" outlineLevel="1">
      <c r="A74" s="71" t="s">
        <v>560</v>
      </c>
      <c r="B74" s="72" t="s">
        <v>561</v>
      </c>
      <c r="C74" s="73" t="s">
        <v>562</v>
      </c>
      <c r="D74" s="71" t="s">
        <v>563</v>
      </c>
      <c r="E74" s="74" t="s">
        <v>117</v>
      </c>
      <c r="F74" s="17" t="s">
        <v>64</v>
      </c>
      <c r="G74" s="75">
        <f>G72</f>
        <v>1.0555555555555556E-2</v>
      </c>
      <c r="H74" s="76">
        <f>H72*(1+Settings!$C$9)</f>
        <v>9473.6842105263167</v>
      </c>
      <c r="I74" s="76">
        <f t="shared" si="5"/>
        <v>100.00000000000001</v>
      </c>
      <c r="J74" s="77">
        <f>J72</f>
        <v>0</v>
      </c>
      <c r="K74" s="51">
        <f>K72</f>
        <v>65</v>
      </c>
      <c r="L74" s="52">
        <f t="shared" si="6"/>
        <v>0</v>
      </c>
      <c r="M74" s="51">
        <f t="shared" si="7"/>
        <v>0</v>
      </c>
      <c r="N74" s="78">
        <f t="shared" si="8"/>
        <v>0</v>
      </c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</row>
    <row r="75" spans="1:50" outlineLevel="1">
      <c r="A75" s="71" t="s">
        <v>560</v>
      </c>
      <c r="B75" s="72" t="s">
        <v>561</v>
      </c>
      <c r="C75" s="73" t="s">
        <v>562</v>
      </c>
      <c r="D75" s="71" t="s">
        <v>563</v>
      </c>
      <c r="E75" s="74" t="s">
        <v>117</v>
      </c>
      <c r="F75" s="17" t="s">
        <v>65</v>
      </c>
      <c r="G75" s="80">
        <f>G72</f>
        <v>1.0555555555555556E-2</v>
      </c>
      <c r="H75" s="81">
        <f>H72</f>
        <v>6315.7894736842109</v>
      </c>
      <c r="I75" s="76">
        <f t="shared" si="5"/>
        <v>66.666666666666671</v>
      </c>
      <c r="J75" s="77">
        <f>J72</f>
        <v>0</v>
      </c>
      <c r="K75" s="82">
        <f>K72</f>
        <v>65</v>
      </c>
      <c r="L75" s="52">
        <f t="shared" si="6"/>
        <v>0</v>
      </c>
      <c r="M75" s="51">
        <f t="shared" si="7"/>
        <v>0</v>
      </c>
      <c r="N75" s="78">
        <f t="shared" si="8"/>
        <v>0</v>
      </c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</row>
    <row r="76" spans="1:50">
      <c r="A76" s="83" t="s">
        <v>560</v>
      </c>
      <c r="B76" s="16" t="s">
        <v>561</v>
      </c>
      <c r="C76" s="84" t="s">
        <v>562</v>
      </c>
      <c r="D76" s="85" t="s">
        <v>563</v>
      </c>
      <c r="E76" s="86" t="s">
        <v>117</v>
      </c>
      <c r="F76" s="16" t="s">
        <v>179</v>
      </c>
      <c r="G76" s="87">
        <f>CHOOSE(IF(OR($C$3="Expert input",$I$72=0),4,IF($C$3="+25%",2,IF($C$3="+50%",3,1))),G72,G73,G74,G75)</f>
        <v>1.0555555555555556E-2</v>
      </c>
      <c r="H76" s="88">
        <f>CHOOSE(IF(OR($C$3="Expert input",$I$72=0),4,IF($C$3="+25%",2,IF($C$3="+50%",3,1))),H72,H73,H74,H75)</f>
        <v>6315.7894736842109</v>
      </c>
      <c r="I76" s="88">
        <f t="shared" si="5"/>
        <v>66.666666666666671</v>
      </c>
      <c r="J76" s="54">
        <f>J72</f>
        <v>0</v>
      </c>
      <c r="K76" s="53">
        <f>CHOOSE(IF(OR($C$3="Expert input",$I$72=0),4,IF($C$3="+25%",2,IF($C$3="+50%",3,1))),K72,K73,K74,K75)</f>
        <v>65</v>
      </c>
      <c r="L76" s="54">
        <f t="shared" si="6"/>
        <v>0</v>
      </c>
      <c r="M76" s="53">
        <f t="shared" si="7"/>
        <v>0</v>
      </c>
      <c r="N76" s="54">
        <f t="shared" si="8"/>
        <v>0</v>
      </c>
      <c r="O76" s="43">
        <v>0.39</v>
      </c>
      <c r="P76" s="43">
        <v>0.31</v>
      </c>
      <c r="Q76" s="43">
        <v>0.22</v>
      </c>
      <c r="R76" s="43"/>
      <c r="S76" s="43"/>
      <c r="T76" s="43"/>
      <c r="U76" s="43"/>
      <c r="V76" s="43"/>
      <c r="W76" s="43"/>
      <c r="X76" s="43"/>
      <c r="Y76" s="43"/>
      <c r="Z76" s="43">
        <v>0.08</v>
      </c>
      <c r="AA76" s="89">
        <f>O76*$M76</f>
        <v>0</v>
      </c>
      <c r="AB76" s="90">
        <f>O76*$N76</f>
        <v>0</v>
      </c>
      <c r="AC76" s="89">
        <f>P76*$M76</f>
        <v>0</v>
      </c>
      <c r="AD76" s="90">
        <f>P76*$N76</f>
        <v>0</v>
      </c>
      <c r="AE76" s="89">
        <f>Q76*$M76</f>
        <v>0</v>
      </c>
      <c r="AF76" s="90">
        <f>Q76*$N76</f>
        <v>0</v>
      </c>
      <c r="AG76" s="89">
        <f>R76*$M76</f>
        <v>0</v>
      </c>
      <c r="AH76" s="90">
        <f>R76*$N76</f>
        <v>0</v>
      </c>
      <c r="AI76" s="89">
        <f>S76*$M76</f>
        <v>0</v>
      </c>
      <c r="AJ76" s="90">
        <f>S76*$N76</f>
        <v>0</v>
      </c>
      <c r="AK76" s="89">
        <f>T76*$M76</f>
        <v>0</v>
      </c>
      <c r="AL76" s="90">
        <f>T76*$N76</f>
        <v>0</v>
      </c>
      <c r="AM76" s="89">
        <f>U76*$M76</f>
        <v>0</v>
      </c>
      <c r="AN76" s="90">
        <f>U76*$N76</f>
        <v>0</v>
      </c>
      <c r="AO76" s="89">
        <f>V76*$M76</f>
        <v>0</v>
      </c>
      <c r="AP76" s="90">
        <f>V76*$N76</f>
        <v>0</v>
      </c>
      <c r="AQ76" s="89">
        <f>W76*$M76</f>
        <v>0</v>
      </c>
      <c r="AR76" s="90">
        <f>W76*$N76</f>
        <v>0</v>
      </c>
      <c r="AS76" s="89">
        <f>X76*$M76</f>
        <v>0</v>
      </c>
      <c r="AT76" s="90">
        <f>X76*$N76</f>
        <v>0</v>
      </c>
      <c r="AU76" s="89">
        <f>Y76*$M76</f>
        <v>0</v>
      </c>
      <c r="AV76" s="90">
        <f>Y76*$N76</f>
        <v>0</v>
      </c>
      <c r="AW76" s="89">
        <f>Z76*$M76</f>
        <v>0</v>
      </c>
      <c r="AX76" s="90">
        <f>Z76*$N76</f>
        <v>0</v>
      </c>
    </row>
    <row r="77" spans="1:50" outlineLevel="1">
      <c r="A77" s="58" t="s">
        <v>564</v>
      </c>
      <c r="B77" s="59" t="s">
        <v>565</v>
      </c>
      <c r="C77" s="60" t="s">
        <v>566</v>
      </c>
      <c r="D77" s="61" t="s">
        <v>563</v>
      </c>
      <c r="E77" s="62" t="s">
        <v>117</v>
      </c>
      <c r="F77" s="59" t="s">
        <v>62</v>
      </c>
      <c r="G77" s="63">
        <f>IFERROR(INDEX('Benchmark Data'!$AC$7:$AC$130,MATCH($A77,'Benchmark Data'!$A$7:$A$130,0)),0)</f>
        <v>0.5</v>
      </c>
      <c r="H77" s="64">
        <f>IFERROR(INDEX('Benchmark Data'!$AD$7:$AD$130,MATCH($A77,'Benchmark Data'!$A$7:$A$130,0)),0)</f>
        <v>100</v>
      </c>
      <c r="I77" s="65">
        <f t="shared" si="5"/>
        <v>50</v>
      </c>
      <c r="J77" s="66">
        <f>$E$12</f>
        <v>0</v>
      </c>
      <c r="K77" s="29">
        <f>IFERROR(INDEX('Benchmark Data'!$AE$7:$AE$130,MATCH($A77,'Benchmark Data'!$A$7:$A$130,0)),0)</f>
        <v>1</v>
      </c>
      <c r="L77" s="67">
        <f t="shared" si="6"/>
        <v>0</v>
      </c>
      <c r="M77" s="68">
        <f t="shared" si="7"/>
        <v>0</v>
      </c>
      <c r="N77" s="69">
        <f t="shared" si="8"/>
        <v>0</v>
      </c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</row>
    <row r="78" spans="1:50" outlineLevel="1">
      <c r="A78" s="71" t="s">
        <v>564</v>
      </c>
      <c r="B78" s="72" t="s">
        <v>565</v>
      </c>
      <c r="C78" s="73" t="s">
        <v>566</v>
      </c>
      <c r="D78" s="71" t="s">
        <v>563</v>
      </c>
      <c r="E78" s="74" t="s">
        <v>117</v>
      </c>
      <c r="F78" s="17" t="s">
        <v>63</v>
      </c>
      <c r="G78" s="75">
        <f>G77</f>
        <v>0.5</v>
      </c>
      <c r="H78" s="76">
        <f>H77*(1+Settings!$C$8)</f>
        <v>125</v>
      </c>
      <c r="I78" s="76">
        <f t="shared" si="5"/>
        <v>62.5</v>
      </c>
      <c r="J78" s="77">
        <f>J77</f>
        <v>0</v>
      </c>
      <c r="K78" s="51">
        <f>K77</f>
        <v>1</v>
      </c>
      <c r="L78" s="52">
        <f t="shared" si="6"/>
        <v>0</v>
      </c>
      <c r="M78" s="51">
        <f t="shared" si="7"/>
        <v>0</v>
      </c>
      <c r="N78" s="78">
        <f t="shared" si="8"/>
        <v>0</v>
      </c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</row>
    <row r="79" spans="1:50" outlineLevel="1">
      <c r="A79" s="71" t="s">
        <v>564</v>
      </c>
      <c r="B79" s="72" t="s">
        <v>565</v>
      </c>
      <c r="C79" s="73" t="s">
        <v>566</v>
      </c>
      <c r="D79" s="71" t="s">
        <v>563</v>
      </c>
      <c r="E79" s="74" t="s">
        <v>117</v>
      </c>
      <c r="F79" s="17" t="s">
        <v>64</v>
      </c>
      <c r="G79" s="75">
        <f>G77</f>
        <v>0.5</v>
      </c>
      <c r="H79" s="76">
        <f>H77*(1+Settings!$C$9)</f>
        <v>150</v>
      </c>
      <c r="I79" s="76">
        <f t="shared" si="5"/>
        <v>75</v>
      </c>
      <c r="J79" s="77">
        <f>J77</f>
        <v>0</v>
      </c>
      <c r="K79" s="51">
        <f>K77</f>
        <v>1</v>
      </c>
      <c r="L79" s="52">
        <f t="shared" si="6"/>
        <v>0</v>
      </c>
      <c r="M79" s="51">
        <f t="shared" si="7"/>
        <v>0</v>
      </c>
      <c r="N79" s="78">
        <f t="shared" si="8"/>
        <v>0</v>
      </c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  <c r="AG79" s="79"/>
      <c r="AH79" s="79"/>
      <c r="AI79" s="79"/>
      <c r="AJ79" s="79"/>
      <c r="AK79" s="79"/>
      <c r="AL79" s="79"/>
      <c r="AM79" s="79"/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</row>
    <row r="80" spans="1:50" outlineLevel="1">
      <c r="A80" s="71" t="s">
        <v>564</v>
      </c>
      <c r="B80" s="72" t="s">
        <v>565</v>
      </c>
      <c r="C80" s="73" t="s">
        <v>566</v>
      </c>
      <c r="D80" s="71" t="s">
        <v>563</v>
      </c>
      <c r="E80" s="74" t="s">
        <v>117</v>
      </c>
      <c r="F80" s="17" t="s">
        <v>65</v>
      </c>
      <c r="G80" s="80">
        <f>G77</f>
        <v>0.5</v>
      </c>
      <c r="H80" s="81">
        <f>H77</f>
        <v>100</v>
      </c>
      <c r="I80" s="76">
        <f t="shared" si="5"/>
        <v>50</v>
      </c>
      <c r="J80" s="77">
        <f>J77</f>
        <v>0</v>
      </c>
      <c r="K80" s="82">
        <f>K77</f>
        <v>1</v>
      </c>
      <c r="L80" s="52">
        <f t="shared" si="6"/>
        <v>0</v>
      </c>
      <c r="M80" s="51">
        <f t="shared" si="7"/>
        <v>0</v>
      </c>
      <c r="N80" s="78">
        <f t="shared" si="8"/>
        <v>0</v>
      </c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79"/>
      <c r="AV80" s="79"/>
      <c r="AW80" s="79"/>
      <c r="AX80" s="79"/>
    </row>
    <row r="81" spans="1:50">
      <c r="A81" s="83" t="s">
        <v>564</v>
      </c>
      <c r="B81" s="16" t="s">
        <v>565</v>
      </c>
      <c r="C81" s="84" t="s">
        <v>566</v>
      </c>
      <c r="D81" s="85" t="s">
        <v>563</v>
      </c>
      <c r="E81" s="86" t="s">
        <v>117</v>
      </c>
      <c r="F81" s="16" t="s">
        <v>179</v>
      </c>
      <c r="G81" s="87">
        <f>CHOOSE(IF(OR($C$3="Expert input",$I$77=0),4,IF($C$3="+25%",2,IF($C$3="+50%",3,1))),G77,G78,G79,G80)</f>
        <v>0.5</v>
      </c>
      <c r="H81" s="88">
        <f>CHOOSE(IF(OR($C$3="Expert input",$I$77=0),4,IF($C$3="+25%",2,IF($C$3="+50%",3,1))),H77,H78,H79,H80)</f>
        <v>100</v>
      </c>
      <c r="I81" s="88">
        <f t="shared" ref="I81:I112" si="9">G81*H81</f>
        <v>50</v>
      </c>
      <c r="J81" s="54">
        <f>J77</f>
        <v>0</v>
      </c>
      <c r="K81" s="53">
        <f>CHOOSE(IF(OR($C$3="Expert input",$I$77=0),4,IF($C$3="+25%",2,IF($C$3="+50%",3,1))),K77,K78,K79,K80)</f>
        <v>1</v>
      </c>
      <c r="L81" s="54">
        <f t="shared" ref="L81:L112" si="10">J81*K81</f>
        <v>0</v>
      </c>
      <c r="M81" s="53">
        <f t="shared" ref="M81:M112" si="11">L81*G81</f>
        <v>0</v>
      </c>
      <c r="N81" s="54">
        <f t="shared" ref="N81:N112" si="12">L81*I81</f>
        <v>0</v>
      </c>
      <c r="O81" s="43">
        <v>0.5</v>
      </c>
      <c r="P81" s="43">
        <v>0.5</v>
      </c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89">
        <f>O81*$M81</f>
        <v>0</v>
      </c>
      <c r="AB81" s="90">
        <f>O81*$N81</f>
        <v>0</v>
      </c>
      <c r="AC81" s="89">
        <f>P81*$M81</f>
        <v>0</v>
      </c>
      <c r="AD81" s="90">
        <f>P81*$N81</f>
        <v>0</v>
      </c>
      <c r="AE81" s="89">
        <f>Q81*$M81</f>
        <v>0</v>
      </c>
      <c r="AF81" s="90">
        <f>Q81*$N81</f>
        <v>0</v>
      </c>
      <c r="AG81" s="89">
        <f>R81*$M81</f>
        <v>0</v>
      </c>
      <c r="AH81" s="90">
        <f>R81*$N81</f>
        <v>0</v>
      </c>
      <c r="AI81" s="89">
        <f>S81*$M81</f>
        <v>0</v>
      </c>
      <c r="AJ81" s="90">
        <f>S81*$N81</f>
        <v>0</v>
      </c>
      <c r="AK81" s="89">
        <f>T81*$M81</f>
        <v>0</v>
      </c>
      <c r="AL81" s="90">
        <f>T81*$N81</f>
        <v>0</v>
      </c>
      <c r="AM81" s="89">
        <f>U81*$M81</f>
        <v>0</v>
      </c>
      <c r="AN81" s="90">
        <f>U81*$N81</f>
        <v>0</v>
      </c>
      <c r="AO81" s="89">
        <f>V81*$M81</f>
        <v>0</v>
      </c>
      <c r="AP81" s="90">
        <f>V81*$N81</f>
        <v>0</v>
      </c>
      <c r="AQ81" s="89">
        <f>W81*$M81</f>
        <v>0</v>
      </c>
      <c r="AR81" s="90">
        <f>W81*$N81</f>
        <v>0</v>
      </c>
      <c r="AS81" s="89">
        <f>X81*$M81</f>
        <v>0</v>
      </c>
      <c r="AT81" s="90">
        <f>X81*$N81</f>
        <v>0</v>
      </c>
      <c r="AU81" s="89">
        <f>Y81*$M81</f>
        <v>0</v>
      </c>
      <c r="AV81" s="90">
        <f>Y81*$N81</f>
        <v>0</v>
      </c>
      <c r="AW81" s="89">
        <f>Z81*$M81</f>
        <v>0</v>
      </c>
      <c r="AX81" s="90">
        <f>Z81*$N81</f>
        <v>0</v>
      </c>
    </row>
    <row r="82" spans="1:50" outlineLevel="1">
      <c r="A82" s="58" t="s">
        <v>567</v>
      </c>
      <c r="B82" s="59" t="s">
        <v>568</v>
      </c>
      <c r="C82" s="60" t="s">
        <v>569</v>
      </c>
      <c r="D82" s="61" t="s">
        <v>563</v>
      </c>
      <c r="E82" s="62" t="s">
        <v>117</v>
      </c>
      <c r="F82" s="59" t="s">
        <v>62</v>
      </c>
      <c r="G82" s="63">
        <f>IFERROR(INDEX('Benchmark Data'!$AC$7:$AC$130,MATCH($A82,'Benchmark Data'!$A$7:$A$130,0)),0)</f>
        <v>0.15833333333333319</v>
      </c>
      <c r="H82" s="64">
        <f>IFERROR(INDEX('Benchmark Data'!$AD$7:$AD$130,MATCH($A82,'Benchmark Data'!$A$7:$A$130,0)),0)</f>
        <v>505.26315789473733</v>
      </c>
      <c r="I82" s="65">
        <f t="shared" si="9"/>
        <v>80</v>
      </c>
      <c r="J82" s="66">
        <f>$E$12</f>
        <v>0</v>
      </c>
      <c r="K82" s="29">
        <f>IFERROR(INDEX('Benchmark Data'!$AE$7:$AE$130,MATCH($A82,'Benchmark Data'!$A$7:$A$130,0)),0)</f>
        <v>3</v>
      </c>
      <c r="L82" s="67">
        <f t="shared" si="10"/>
        <v>0</v>
      </c>
      <c r="M82" s="68">
        <f t="shared" si="11"/>
        <v>0</v>
      </c>
      <c r="N82" s="69">
        <f t="shared" si="12"/>
        <v>0</v>
      </c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70"/>
      <c r="AX82" s="70"/>
    </row>
    <row r="83" spans="1:50" outlineLevel="1">
      <c r="A83" s="71" t="s">
        <v>567</v>
      </c>
      <c r="B83" s="72" t="s">
        <v>568</v>
      </c>
      <c r="C83" s="73" t="s">
        <v>569</v>
      </c>
      <c r="D83" s="71" t="s">
        <v>563</v>
      </c>
      <c r="E83" s="74" t="s">
        <v>117</v>
      </c>
      <c r="F83" s="17" t="s">
        <v>63</v>
      </c>
      <c r="G83" s="75">
        <f>G82</f>
        <v>0.15833333333333319</v>
      </c>
      <c r="H83" s="76">
        <f>H82*(1+Settings!$C$8)</f>
        <v>631.57894736842172</v>
      </c>
      <c r="I83" s="76">
        <f t="shared" si="9"/>
        <v>100.00000000000001</v>
      </c>
      <c r="J83" s="77">
        <f>J82</f>
        <v>0</v>
      </c>
      <c r="K83" s="51">
        <f>K82</f>
        <v>3</v>
      </c>
      <c r="L83" s="52">
        <f t="shared" si="10"/>
        <v>0</v>
      </c>
      <c r="M83" s="51">
        <f t="shared" si="11"/>
        <v>0</v>
      </c>
      <c r="N83" s="78">
        <f t="shared" si="12"/>
        <v>0</v>
      </c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  <c r="AG83" s="79"/>
      <c r="AH83" s="79"/>
      <c r="AI83" s="79"/>
      <c r="AJ83" s="79"/>
      <c r="AK83" s="79"/>
      <c r="AL83" s="79"/>
      <c r="AM83" s="79"/>
      <c r="AN83" s="79"/>
      <c r="AO83" s="79"/>
      <c r="AP83" s="79"/>
      <c r="AQ83" s="79"/>
      <c r="AR83" s="79"/>
      <c r="AS83" s="79"/>
      <c r="AT83" s="79"/>
      <c r="AU83" s="79"/>
      <c r="AV83" s="79"/>
      <c r="AW83" s="79"/>
      <c r="AX83" s="79"/>
    </row>
    <row r="84" spans="1:50" outlineLevel="1">
      <c r="A84" s="71" t="s">
        <v>567</v>
      </c>
      <c r="B84" s="72" t="s">
        <v>568</v>
      </c>
      <c r="C84" s="73" t="s">
        <v>569</v>
      </c>
      <c r="D84" s="71" t="s">
        <v>563</v>
      </c>
      <c r="E84" s="74" t="s">
        <v>117</v>
      </c>
      <c r="F84" s="17" t="s">
        <v>64</v>
      </c>
      <c r="G84" s="75">
        <f>G82</f>
        <v>0.15833333333333319</v>
      </c>
      <c r="H84" s="76">
        <f>H82*(1+Settings!$C$9)</f>
        <v>757.894736842106</v>
      </c>
      <c r="I84" s="76">
        <f t="shared" si="9"/>
        <v>120</v>
      </c>
      <c r="J84" s="77">
        <f>J82</f>
        <v>0</v>
      </c>
      <c r="K84" s="51">
        <f>K82</f>
        <v>3</v>
      </c>
      <c r="L84" s="52">
        <f t="shared" si="10"/>
        <v>0</v>
      </c>
      <c r="M84" s="51">
        <f t="shared" si="11"/>
        <v>0</v>
      </c>
      <c r="N84" s="78">
        <f t="shared" si="12"/>
        <v>0</v>
      </c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/>
      <c r="AR84" s="79"/>
      <c r="AS84" s="79"/>
      <c r="AT84" s="79"/>
      <c r="AU84" s="79"/>
      <c r="AV84" s="79"/>
      <c r="AW84" s="79"/>
      <c r="AX84" s="79"/>
    </row>
    <row r="85" spans="1:50" outlineLevel="1">
      <c r="A85" s="71" t="s">
        <v>567</v>
      </c>
      <c r="B85" s="72" t="s">
        <v>568</v>
      </c>
      <c r="C85" s="73" t="s">
        <v>569</v>
      </c>
      <c r="D85" s="71" t="s">
        <v>563</v>
      </c>
      <c r="E85" s="74" t="s">
        <v>117</v>
      </c>
      <c r="F85" s="17" t="s">
        <v>65</v>
      </c>
      <c r="G85" s="80">
        <f>G82</f>
        <v>0.15833333333333319</v>
      </c>
      <c r="H85" s="81">
        <f>H82</f>
        <v>505.26315789473733</v>
      </c>
      <c r="I85" s="76">
        <f t="shared" si="9"/>
        <v>80</v>
      </c>
      <c r="J85" s="77">
        <f>J82</f>
        <v>0</v>
      </c>
      <c r="K85" s="82">
        <f>K82</f>
        <v>3</v>
      </c>
      <c r="L85" s="52">
        <f t="shared" si="10"/>
        <v>0</v>
      </c>
      <c r="M85" s="51">
        <f t="shared" si="11"/>
        <v>0</v>
      </c>
      <c r="N85" s="78">
        <f t="shared" si="12"/>
        <v>0</v>
      </c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79"/>
      <c r="AV85" s="79"/>
      <c r="AW85" s="79"/>
      <c r="AX85" s="79"/>
    </row>
    <row r="86" spans="1:50">
      <c r="A86" s="83" t="s">
        <v>567</v>
      </c>
      <c r="B86" s="16" t="s">
        <v>568</v>
      </c>
      <c r="C86" s="84" t="s">
        <v>569</v>
      </c>
      <c r="D86" s="85" t="s">
        <v>563</v>
      </c>
      <c r="E86" s="86" t="s">
        <v>117</v>
      </c>
      <c r="F86" s="16" t="s">
        <v>179</v>
      </c>
      <c r="G86" s="87">
        <f>CHOOSE(IF(OR($C$3="Expert input",$I$82=0),4,IF($C$3="+25%",2,IF($C$3="+50%",3,1))),G82,G83,G84,G85)</f>
        <v>0.15833333333333319</v>
      </c>
      <c r="H86" s="88">
        <f>CHOOSE(IF(OR($C$3="Expert input",$I$82=0),4,IF($C$3="+25%",2,IF($C$3="+50%",3,1))),H82,H83,H84,H85)</f>
        <v>505.26315789473733</v>
      </c>
      <c r="I86" s="88">
        <f t="shared" si="9"/>
        <v>80</v>
      </c>
      <c r="J86" s="54">
        <f>J82</f>
        <v>0</v>
      </c>
      <c r="K86" s="53">
        <f>CHOOSE(IF(OR($C$3="Expert input",$I$82=0),4,IF($C$3="+25%",2,IF($C$3="+50%",3,1))),K82,K83,K84,K85)</f>
        <v>3</v>
      </c>
      <c r="L86" s="54">
        <f t="shared" si="10"/>
        <v>0</v>
      </c>
      <c r="M86" s="53">
        <f t="shared" si="11"/>
        <v>0</v>
      </c>
      <c r="N86" s="54">
        <f t="shared" si="12"/>
        <v>0</v>
      </c>
      <c r="O86" s="43">
        <v>0.34</v>
      </c>
      <c r="P86" s="43">
        <v>0.33</v>
      </c>
      <c r="Q86" s="43">
        <v>0.33</v>
      </c>
      <c r="R86" s="43"/>
      <c r="S86" s="43"/>
      <c r="T86" s="43"/>
      <c r="U86" s="43"/>
      <c r="V86" s="43"/>
      <c r="W86" s="43"/>
      <c r="X86" s="43"/>
      <c r="Y86" s="43"/>
      <c r="Z86" s="43"/>
      <c r="AA86" s="89">
        <f>O86*$M86</f>
        <v>0</v>
      </c>
      <c r="AB86" s="90">
        <f>O86*$N86</f>
        <v>0</v>
      </c>
      <c r="AC86" s="89">
        <f>P86*$M86</f>
        <v>0</v>
      </c>
      <c r="AD86" s="90">
        <f>P86*$N86</f>
        <v>0</v>
      </c>
      <c r="AE86" s="89">
        <f>Q86*$M86</f>
        <v>0</v>
      </c>
      <c r="AF86" s="90">
        <f>Q86*$N86</f>
        <v>0</v>
      </c>
      <c r="AG86" s="89">
        <f>R86*$M86</f>
        <v>0</v>
      </c>
      <c r="AH86" s="90">
        <f>R86*$N86</f>
        <v>0</v>
      </c>
      <c r="AI86" s="89">
        <f>S86*$M86</f>
        <v>0</v>
      </c>
      <c r="AJ86" s="90">
        <f>S86*$N86</f>
        <v>0</v>
      </c>
      <c r="AK86" s="89">
        <f>T86*$M86</f>
        <v>0</v>
      </c>
      <c r="AL86" s="90">
        <f>T86*$N86</f>
        <v>0</v>
      </c>
      <c r="AM86" s="89">
        <f>U86*$M86</f>
        <v>0</v>
      </c>
      <c r="AN86" s="90">
        <f>U86*$N86</f>
        <v>0</v>
      </c>
      <c r="AO86" s="89">
        <f>V86*$M86</f>
        <v>0</v>
      </c>
      <c r="AP86" s="90">
        <f>V86*$N86</f>
        <v>0</v>
      </c>
      <c r="AQ86" s="89">
        <f>W86*$M86</f>
        <v>0</v>
      </c>
      <c r="AR86" s="90">
        <f>W86*$N86</f>
        <v>0</v>
      </c>
      <c r="AS86" s="89">
        <f>X86*$M86</f>
        <v>0</v>
      </c>
      <c r="AT86" s="90">
        <f>X86*$N86</f>
        <v>0</v>
      </c>
      <c r="AU86" s="89">
        <f>Y86*$M86</f>
        <v>0</v>
      </c>
      <c r="AV86" s="90">
        <f>Y86*$N86</f>
        <v>0</v>
      </c>
      <c r="AW86" s="89">
        <f>Z86*$M86</f>
        <v>0</v>
      </c>
      <c r="AX86" s="90">
        <f>Z86*$N86</f>
        <v>0</v>
      </c>
    </row>
    <row r="87" spans="1:50" outlineLevel="1">
      <c r="A87" s="58" t="s">
        <v>570</v>
      </c>
      <c r="B87" s="59" t="s">
        <v>571</v>
      </c>
      <c r="C87" s="60" t="s">
        <v>572</v>
      </c>
      <c r="D87" s="61" t="s">
        <v>563</v>
      </c>
      <c r="E87" s="62" t="s">
        <v>117</v>
      </c>
      <c r="F87" s="59" t="s">
        <v>62</v>
      </c>
      <c r="G87" s="63">
        <f>IFERROR(INDEX('Benchmark Data'!$AC$7:$AC$130,MATCH($A87,'Benchmark Data'!$A$7:$A$130,0)),0)</f>
        <v>7.2222222222222229E-2</v>
      </c>
      <c r="H87" s="64">
        <f>IFERROR(INDEX('Benchmark Data'!$AD$7:$AD$130,MATCH($A87,'Benchmark Data'!$A$7:$A$130,0)),0)</f>
        <v>438.46153846153845</v>
      </c>
      <c r="I87" s="65">
        <f t="shared" si="9"/>
        <v>31.666666666666668</v>
      </c>
      <c r="J87" s="66">
        <f>$E$12</f>
        <v>0</v>
      </c>
      <c r="K87" s="29">
        <f>IFERROR(INDEX('Benchmark Data'!$AE$7:$AE$130,MATCH($A87,'Benchmark Data'!$A$7:$A$130,0)),0)</f>
        <v>3</v>
      </c>
      <c r="L87" s="67">
        <f t="shared" si="10"/>
        <v>0</v>
      </c>
      <c r="M87" s="68">
        <f t="shared" si="11"/>
        <v>0</v>
      </c>
      <c r="N87" s="69">
        <f t="shared" si="12"/>
        <v>0</v>
      </c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70"/>
      <c r="AX87" s="70"/>
    </row>
    <row r="88" spans="1:50" outlineLevel="1">
      <c r="A88" s="71" t="s">
        <v>570</v>
      </c>
      <c r="B88" s="72" t="s">
        <v>571</v>
      </c>
      <c r="C88" s="73" t="s">
        <v>572</v>
      </c>
      <c r="D88" s="71" t="s">
        <v>563</v>
      </c>
      <c r="E88" s="74" t="s">
        <v>117</v>
      </c>
      <c r="F88" s="17" t="s">
        <v>63</v>
      </c>
      <c r="G88" s="75">
        <f>G87</f>
        <v>7.2222222222222229E-2</v>
      </c>
      <c r="H88" s="76">
        <f>H87*(1+Settings!$C$8)</f>
        <v>548.07692307692309</v>
      </c>
      <c r="I88" s="76">
        <f t="shared" si="9"/>
        <v>39.583333333333336</v>
      </c>
      <c r="J88" s="77">
        <f>J87</f>
        <v>0</v>
      </c>
      <c r="K88" s="51">
        <f>K87</f>
        <v>3</v>
      </c>
      <c r="L88" s="52">
        <f t="shared" si="10"/>
        <v>0</v>
      </c>
      <c r="M88" s="51">
        <f t="shared" si="11"/>
        <v>0</v>
      </c>
      <c r="N88" s="78">
        <f t="shared" si="12"/>
        <v>0</v>
      </c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  <c r="AG88" s="79"/>
      <c r="AH88" s="79"/>
      <c r="AI88" s="79"/>
      <c r="AJ88" s="79"/>
      <c r="AK88" s="79"/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</row>
    <row r="89" spans="1:50" outlineLevel="1">
      <c r="A89" s="71" t="s">
        <v>570</v>
      </c>
      <c r="B89" s="72" t="s">
        <v>571</v>
      </c>
      <c r="C89" s="73" t="s">
        <v>572</v>
      </c>
      <c r="D89" s="71" t="s">
        <v>563</v>
      </c>
      <c r="E89" s="74" t="s">
        <v>117</v>
      </c>
      <c r="F89" s="17" t="s">
        <v>64</v>
      </c>
      <c r="G89" s="75">
        <f>G87</f>
        <v>7.2222222222222229E-2</v>
      </c>
      <c r="H89" s="76">
        <f>H87*(1+Settings!$C$9)</f>
        <v>657.69230769230762</v>
      </c>
      <c r="I89" s="76">
        <f t="shared" si="9"/>
        <v>47.5</v>
      </c>
      <c r="J89" s="77">
        <f>J87</f>
        <v>0</v>
      </c>
      <c r="K89" s="51">
        <f>K87</f>
        <v>3</v>
      </c>
      <c r="L89" s="52">
        <f t="shared" si="10"/>
        <v>0</v>
      </c>
      <c r="M89" s="51">
        <f t="shared" si="11"/>
        <v>0</v>
      </c>
      <c r="N89" s="78">
        <f t="shared" si="12"/>
        <v>0</v>
      </c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</row>
    <row r="90" spans="1:50" outlineLevel="1">
      <c r="A90" s="71" t="s">
        <v>570</v>
      </c>
      <c r="B90" s="72" t="s">
        <v>571</v>
      </c>
      <c r="C90" s="73" t="s">
        <v>572</v>
      </c>
      <c r="D90" s="71" t="s">
        <v>563</v>
      </c>
      <c r="E90" s="74" t="s">
        <v>117</v>
      </c>
      <c r="F90" s="17" t="s">
        <v>65</v>
      </c>
      <c r="G90" s="80">
        <f>G87</f>
        <v>7.2222222222222229E-2</v>
      </c>
      <c r="H90" s="81">
        <f>H87</f>
        <v>438.46153846153845</v>
      </c>
      <c r="I90" s="76">
        <f t="shared" si="9"/>
        <v>31.666666666666668</v>
      </c>
      <c r="J90" s="77">
        <f>J87</f>
        <v>0</v>
      </c>
      <c r="K90" s="82">
        <f>K87</f>
        <v>3</v>
      </c>
      <c r="L90" s="52">
        <f t="shared" si="10"/>
        <v>0</v>
      </c>
      <c r="M90" s="51">
        <f t="shared" si="11"/>
        <v>0</v>
      </c>
      <c r="N90" s="78">
        <f t="shared" si="12"/>
        <v>0</v>
      </c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  <c r="AG90" s="79"/>
      <c r="AH90" s="79"/>
      <c r="AI90" s="79"/>
      <c r="AJ90" s="7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</row>
    <row r="91" spans="1:50">
      <c r="A91" s="83" t="s">
        <v>570</v>
      </c>
      <c r="B91" s="16" t="s">
        <v>571</v>
      </c>
      <c r="C91" s="84" t="s">
        <v>572</v>
      </c>
      <c r="D91" s="85" t="s">
        <v>563</v>
      </c>
      <c r="E91" s="86" t="s">
        <v>117</v>
      </c>
      <c r="F91" s="16" t="s">
        <v>179</v>
      </c>
      <c r="G91" s="87">
        <f>CHOOSE(IF(OR($C$3="Expert input",$I$87=0),4,IF($C$3="+25%",2,IF($C$3="+50%",3,1))),G87,G88,G89,G90)</f>
        <v>7.2222222222222229E-2</v>
      </c>
      <c r="H91" s="88">
        <f>CHOOSE(IF(OR($C$3="Expert input",$I$87=0),4,IF($C$3="+25%",2,IF($C$3="+50%",3,1))),H87,H88,H89,H90)</f>
        <v>438.46153846153845</v>
      </c>
      <c r="I91" s="88">
        <f t="shared" si="9"/>
        <v>31.666666666666668</v>
      </c>
      <c r="J91" s="54">
        <f>J87</f>
        <v>0</v>
      </c>
      <c r="K91" s="53">
        <f>CHOOSE(IF(OR($C$3="Expert input",$I$87=0),4,IF($C$3="+25%",2,IF($C$3="+50%",3,1))),K87,K88,K89,K90)</f>
        <v>3</v>
      </c>
      <c r="L91" s="54">
        <f t="shared" si="10"/>
        <v>0</v>
      </c>
      <c r="M91" s="53">
        <f t="shared" si="11"/>
        <v>0</v>
      </c>
      <c r="N91" s="54">
        <f t="shared" si="12"/>
        <v>0</v>
      </c>
      <c r="O91" s="43">
        <v>0.39</v>
      </c>
      <c r="P91" s="43">
        <v>0.32</v>
      </c>
      <c r="Q91" s="43">
        <v>0.28999999999999998</v>
      </c>
      <c r="R91" s="43"/>
      <c r="S91" s="43"/>
      <c r="T91" s="43"/>
      <c r="U91" s="43"/>
      <c r="V91" s="43"/>
      <c r="W91" s="43"/>
      <c r="X91" s="43"/>
      <c r="Y91" s="43"/>
      <c r="Z91" s="43"/>
      <c r="AA91" s="89">
        <f>O91*$M91</f>
        <v>0</v>
      </c>
      <c r="AB91" s="90">
        <f>O91*$N91</f>
        <v>0</v>
      </c>
      <c r="AC91" s="89">
        <f>P91*$M91</f>
        <v>0</v>
      </c>
      <c r="AD91" s="90">
        <f>P91*$N91</f>
        <v>0</v>
      </c>
      <c r="AE91" s="89">
        <f>Q91*$M91</f>
        <v>0</v>
      </c>
      <c r="AF91" s="90">
        <f>Q91*$N91</f>
        <v>0</v>
      </c>
      <c r="AG91" s="89">
        <f>R91*$M91</f>
        <v>0</v>
      </c>
      <c r="AH91" s="90">
        <f>R91*$N91</f>
        <v>0</v>
      </c>
      <c r="AI91" s="89">
        <f>S91*$M91</f>
        <v>0</v>
      </c>
      <c r="AJ91" s="90">
        <f>S91*$N91</f>
        <v>0</v>
      </c>
      <c r="AK91" s="89">
        <f>T91*$M91</f>
        <v>0</v>
      </c>
      <c r="AL91" s="90">
        <f>T91*$N91</f>
        <v>0</v>
      </c>
      <c r="AM91" s="89">
        <f>U91*$M91</f>
        <v>0</v>
      </c>
      <c r="AN91" s="90">
        <f>U91*$N91</f>
        <v>0</v>
      </c>
      <c r="AO91" s="89">
        <f>V91*$M91</f>
        <v>0</v>
      </c>
      <c r="AP91" s="90">
        <f>V91*$N91</f>
        <v>0</v>
      </c>
      <c r="AQ91" s="89">
        <f>W91*$M91</f>
        <v>0</v>
      </c>
      <c r="AR91" s="90">
        <f>W91*$N91</f>
        <v>0</v>
      </c>
      <c r="AS91" s="89">
        <f>X91*$M91</f>
        <v>0</v>
      </c>
      <c r="AT91" s="90">
        <f>X91*$N91</f>
        <v>0</v>
      </c>
      <c r="AU91" s="89">
        <f>Y91*$M91</f>
        <v>0</v>
      </c>
      <c r="AV91" s="90">
        <f>Y91*$N91</f>
        <v>0</v>
      </c>
      <c r="AW91" s="89">
        <f>Z91*$M91</f>
        <v>0</v>
      </c>
      <c r="AX91" s="90">
        <f>Z91*$N91</f>
        <v>0</v>
      </c>
    </row>
    <row r="92" spans="1:50" outlineLevel="1">
      <c r="A92" s="58" t="s">
        <v>573</v>
      </c>
      <c r="B92" s="59" t="s">
        <v>574</v>
      </c>
      <c r="C92" s="60" t="s">
        <v>575</v>
      </c>
      <c r="D92" s="61" t="s">
        <v>563</v>
      </c>
      <c r="E92" s="62" t="s">
        <v>117</v>
      </c>
      <c r="F92" s="59" t="s">
        <v>62</v>
      </c>
      <c r="G92" s="63">
        <f>IFERROR(INDEX('Benchmark Data'!$AC$7:$AC$130,MATCH($A92,'Benchmark Data'!$A$7:$A$130,0)),0)</f>
        <v>6.6666666666666666E-2</v>
      </c>
      <c r="H92" s="64">
        <f>IFERROR(INDEX('Benchmark Data'!$AD$7:$AD$130,MATCH($A92,'Benchmark Data'!$A$7:$A$130,0)),0)</f>
        <v>3000</v>
      </c>
      <c r="I92" s="65">
        <f t="shared" si="9"/>
        <v>200</v>
      </c>
      <c r="J92" s="66">
        <f>$E$12</f>
        <v>0</v>
      </c>
      <c r="K92" s="29">
        <f>IFERROR(INDEX('Benchmark Data'!$AE$7:$AE$130,MATCH($A92,'Benchmark Data'!$A$7:$A$130,0)),0)</f>
        <v>1</v>
      </c>
      <c r="L92" s="67">
        <f t="shared" si="10"/>
        <v>0</v>
      </c>
      <c r="M92" s="68">
        <f t="shared" si="11"/>
        <v>0</v>
      </c>
      <c r="N92" s="69">
        <f t="shared" si="12"/>
        <v>0</v>
      </c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0"/>
      <c r="AX92" s="70"/>
    </row>
    <row r="93" spans="1:50" outlineLevel="1">
      <c r="A93" s="71" t="s">
        <v>573</v>
      </c>
      <c r="B93" s="72" t="s">
        <v>574</v>
      </c>
      <c r="C93" s="73" t="s">
        <v>575</v>
      </c>
      <c r="D93" s="71" t="s">
        <v>563</v>
      </c>
      <c r="E93" s="74" t="s">
        <v>117</v>
      </c>
      <c r="F93" s="17" t="s">
        <v>63</v>
      </c>
      <c r="G93" s="75">
        <f>G92</f>
        <v>6.6666666666666666E-2</v>
      </c>
      <c r="H93" s="76">
        <f>H92*(1+Settings!$C$8)</f>
        <v>3750</v>
      </c>
      <c r="I93" s="76">
        <f t="shared" si="9"/>
        <v>250</v>
      </c>
      <c r="J93" s="77">
        <f>J92</f>
        <v>0</v>
      </c>
      <c r="K93" s="51">
        <f>K92</f>
        <v>1</v>
      </c>
      <c r="L93" s="52">
        <f t="shared" si="10"/>
        <v>0</v>
      </c>
      <c r="M93" s="51">
        <f t="shared" si="11"/>
        <v>0</v>
      </c>
      <c r="N93" s="78">
        <f t="shared" si="12"/>
        <v>0</v>
      </c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</row>
    <row r="94" spans="1:50" outlineLevel="1">
      <c r="A94" s="71" t="s">
        <v>573</v>
      </c>
      <c r="B94" s="72" t="s">
        <v>574</v>
      </c>
      <c r="C94" s="73" t="s">
        <v>575</v>
      </c>
      <c r="D94" s="71" t="s">
        <v>563</v>
      </c>
      <c r="E94" s="74" t="s">
        <v>117</v>
      </c>
      <c r="F94" s="17" t="s">
        <v>64</v>
      </c>
      <c r="G94" s="75">
        <f>G92</f>
        <v>6.6666666666666666E-2</v>
      </c>
      <c r="H94" s="76">
        <f>H92*(1+Settings!$C$9)</f>
        <v>4500</v>
      </c>
      <c r="I94" s="76">
        <f t="shared" si="9"/>
        <v>300</v>
      </c>
      <c r="J94" s="77">
        <f>J92</f>
        <v>0</v>
      </c>
      <c r="K94" s="51">
        <f>K92</f>
        <v>1</v>
      </c>
      <c r="L94" s="52">
        <f t="shared" si="10"/>
        <v>0</v>
      </c>
      <c r="M94" s="51">
        <f t="shared" si="11"/>
        <v>0</v>
      </c>
      <c r="N94" s="78">
        <f t="shared" si="12"/>
        <v>0</v>
      </c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  <c r="AG94" s="79"/>
      <c r="AH94" s="79"/>
      <c r="AI94" s="79"/>
      <c r="AJ94" s="7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</row>
    <row r="95" spans="1:50" outlineLevel="1">
      <c r="A95" s="71" t="s">
        <v>573</v>
      </c>
      <c r="B95" s="72" t="s">
        <v>574</v>
      </c>
      <c r="C95" s="73" t="s">
        <v>575</v>
      </c>
      <c r="D95" s="71" t="s">
        <v>563</v>
      </c>
      <c r="E95" s="74" t="s">
        <v>117</v>
      </c>
      <c r="F95" s="17" t="s">
        <v>65</v>
      </c>
      <c r="G95" s="80">
        <f>G92</f>
        <v>6.6666666666666666E-2</v>
      </c>
      <c r="H95" s="81">
        <f>H92</f>
        <v>3000</v>
      </c>
      <c r="I95" s="76">
        <f t="shared" si="9"/>
        <v>200</v>
      </c>
      <c r="J95" s="77">
        <f>J92</f>
        <v>0</v>
      </c>
      <c r="K95" s="82">
        <f>K92</f>
        <v>1</v>
      </c>
      <c r="L95" s="52">
        <f t="shared" si="10"/>
        <v>0</v>
      </c>
      <c r="M95" s="51">
        <f t="shared" si="11"/>
        <v>0</v>
      </c>
      <c r="N95" s="78">
        <f t="shared" si="12"/>
        <v>0</v>
      </c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  <c r="AG95" s="79"/>
      <c r="AH95" s="79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</row>
    <row r="96" spans="1:50">
      <c r="A96" s="83" t="s">
        <v>573</v>
      </c>
      <c r="B96" s="16" t="s">
        <v>574</v>
      </c>
      <c r="C96" s="84" t="s">
        <v>575</v>
      </c>
      <c r="D96" s="85" t="s">
        <v>563</v>
      </c>
      <c r="E96" s="86" t="s">
        <v>117</v>
      </c>
      <c r="F96" s="16" t="s">
        <v>179</v>
      </c>
      <c r="G96" s="87">
        <f>CHOOSE(IF(OR($C$3="Expert input",$I$92=0),4,IF($C$3="+25%",2,IF($C$3="+50%",3,1))),G92,G93,G94,G95)</f>
        <v>6.6666666666666666E-2</v>
      </c>
      <c r="H96" s="88">
        <f>CHOOSE(IF(OR($C$3="Expert input",$I$92=0),4,IF($C$3="+25%",2,IF($C$3="+50%",3,1))),H92,H93,H94,H95)</f>
        <v>3000</v>
      </c>
      <c r="I96" s="88">
        <f t="shared" si="9"/>
        <v>200</v>
      </c>
      <c r="J96" s="54">
        <f>J92</f>
        <v>0</v>
      </c>
      <c r="K96" s="53">
        <f>CHOOSE(IF(OR($C$3="Expert input",$I$92=0),4,IF($C$3="+25%",2,IF($C$3="+50%",3,1))),K92,K93,K94,K95)</f>
        <v>1</v>
      </c>
      <c r="L96" s="54">
        <f t="shared" si="10"/>
        <v>0</v>
      </c>
      <c r="M96" s="53">
        <f t="shared" si="11"/>
        <v>0</v>
      </c>
      <c r="N96" s="54">
        <f t="shared" si="12"/>
        <v>0</v>
      </c>
      <c r="O96" s="43"/>
      <c r="P96" s="43"/>
      <c r="Q96" s="43"/>
      <c r="R96" s="43">
        <v>0.56000000000000005</v>
      </c>
      <c r="S96" s="43">
        <v>0.44</v>
      </c>
      <c r="T96" s="43"/>
      <c r="U96" s="43"/>
      <c r="V96" s="43"/>
      <c r="W96" s="43"/>
      <c r="X96" s="43"/>
      <c r="Y96" s="43"/>
      <c r="Z96" s="43"/>
      <c r="AA96" s="89">
        <f>O96*$M96</f>
        <v>0</v>
      </c>
      <c r="AB96" s="90">
        <f>O96*$N96</f>
        <v>0</v>
      </c>
      <c r="AC96" s="89">
        <f>P96*$M96</f>
        <v>0</v>
      </c>
      <c r="AD96" s="90">
        <f>P96*$N96</f>
        <v>0</v>
      </c>
      <c r="AE96" s="89">
        <f>Q96*$M96</f>
        <v>0</v>
      </c>
      <c r="AF96" s="90">
        <f>Q96*$N96</f>
        <v>0</v>
      </c>
      <c r="AG96" s="89">
        <f>R96*$M96</f>
        <v>0</v>
      </c>
      <c r="AH96" s="90">
        <f>R96*$N96</f>
        <v>0</v>
      </c>
      <c r="AI96" s="89">
        <f>S96*$M96</f>
        <v>0</v>
      </c>
      <c r="AJ96" s="90">
        <f>S96*$N96</f>
        <v>0</v>
      </c>
      <c r="AK96" s="89">
        <f>T96*$M96</f>
        <v>0</v>
      </c>
      <c r="AL96" s="90">
        <f>T96*$N96</f>
        <v>0</v>
      </c>
      <c r="AM96" s="89">
        <f>U96*$M96</f>
        <v>0</v>
      </c>
      <c r="AN96" s="90">
        <f>U96*$N96</f>
        <v>0</v>
      </c>
      <c r="AO96" s="89">
        <f>V96*$M96</f>
        <v>0</v>
      </c>
      <c r="AP96" s="90">
        <f>V96*$N96</f>
        <v>0</v>
      </c>
      <c r="AQ96" s="89">
        <f>W96*$M96</f>
        <v>0</v>
      </c>
      <c r="AR96" s="90">
        <f>W96*$N96</f>
        <v>0</v>
      </c>
      <c r="AS96" s="89">
        <f>X96*$M96</f>
        <v>0</v>
      </c>
      <c r="AT96" s="90">
        <f>X96*$N96</f>
        <v>0</v>
      </c>
      <c r="AU96" s="89">
        <f>Y96*$M96</f>
        <v>0</v>
      </c>
      <c r="AV96" s="90">
        <f>Y96*$N96</f>
        <v>0</v>
      </c>
      <c r="AW96" s="89">
        <f>Z96*$M96</f>
        <v>0</v>
      </c>
      <c r="AX96" s="90">
        <f>Z96*$N96</f>
        <v>0</v>
      </c>
    </row>
    <row r="97" spans="1:50" outlineLevel="1">
      <c r="A97" s="58" t="s">
        <v>576</v>
      </c>
      <c r="B97" s="59" t="s">
        <v>577</v>
      </c>
      <c r="C97" s="60" t="s">
        <v>578</v>
      </c>
      <c r="D97" s="61" t="s">
        <v>579</v>
      </c>
      <c r="E97" s="62" t="s">
        <v>522</v>
      </c>
      <c r="F97" s="59" t="s">
        <v>62</v>
      </c>
      <c r="G97" s="63">
        <f>IFERROR(INDEX('Benchmark Data'!$AC$7:$AC$130,MATCH($A97,'Benchmark Data'!$A$7:$A$130,0)),0)</f>
        <v>5.3333333333333337E-2</v>
      </c>
      <c r="H97" s="64">
        <f>IFERROR(INDEX('Benchmark Data'!$AD$7:$AD$130,MATCH($A97,'Benchmark Data'!$A$7:$A$130,0)),0)</f>
        <v>562.5</v>
      </c>
      <c r="I97" s="65">
        <f t="shared" si="9"/>
        <v>30.000000000000004</v>
      </c>
      <c r="J97" s="66">
        <f>$E$13</f>
        <v>0</v>
      </c>
      <c r="K97" s="29">
        <f>IFERROR(INDEX('Benchmark Data'!$AE$7:$AE$130,MATCH($A97,'Benchmark Data'!$A$7:$A$130,0)),0)</f>
        <v>1</v>
      </c>
      <c r="L97" s="67">
        <f t="shared" si="10"/>
        <v>0</v>
      </c>
      <c r="M97" s="68">
        <f t="shared" si="11"/>
        <v>0</v>
      </c>
      <c r="N97" s="69">
        <f t="shared" si="12"/>
        <v>0</v>
      </c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70"/>
      <c r="AX97" s="70"/>
    </row>
    <row r="98" spans="1:50" outlineLevel="1">
      <c r="A98" s="71" t="s">
        <v>576</v>
      </c>
      <c r="B98" s="72" t="s">
        <v>577</v>
      </c>
      <c r="C98" s="73" t="s">
        <v>578</v>
      </c>
      <c r="D98" s="71" t="s">
        <v>579</v>
      </c>
      <c r="E98" s="74" t="s">
        <v>522</v>
      </c>
      <c r="F98" s="17" t="s">
        <v>63</v>
      </c>
      <c r="G98" s="75">
        <f>G97</f>
        <v>5.3333333333333337E-2</v>
      </c>
      <c r="H98" s="76">
        <f>H97*(1+Settings!$C$8)</f>
        <v>703.125</v>
      </c>
      <c r="I98" s="76">
        <f t="shared" si="9"/>
        <v>37.5</v>
      </c>
      <c r="J98" s="77">
        <f>J97</f>
        <v>0</v>
      </c>
      <c r="K98" s="51">
        <f>K97</f>
        <v>1</v>
      </c>
      <c r="L98" s="52">
        <f t="shared" si="10"/>
        <v>0</v>
      </c>
      <c r="M98" s="51">
        <f t="shared" si="11"/>
        <v>0</v>
      </c>
      <c r="N98" s="78">
        <f t="shared" si="12"/>
        <v>0</v>
      </c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  <c r="AG98" s="79"/>
      <c r="AH98" s="79"/>
      <c r="AI98" s="79"/>
      <c r="AJ98" s="79"/>
      <c r="AK98" s="79"/>
      <c r="AL98" s="79"/>
      <c r="AM98" s="79"/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</row>
    <row r="99" spans="1:50" outlineLevel="1">
      <c r="A99" s="71" t="s">
        <v>576</v>
      </c>
      <c r="B99" s="72" t="s">
        <v>577</v>
      </c>
      <c r="C99" s="73" t="s">
        <v>578</v>
      </c>
      <c r="D99" s="71" t="s">
        <v>579</v>
      </c>
      <c r="E99" s="74" t="s">
        <v>522</v>
      </c>
      <c r="F99" s="17" t="s">
        <v>64</v>
      </c>
      <c r="G99" s="75">
        <f>G97</f>
        <v>5.3333333333333337E-2</v>
      </c>
      <c r="H99" s="76">
        <f>H97*(1+Settings!$C$9)</f>
        <v>843.75</v>
      </c>
      <c r="I99" s="76">
        <f t="shared" si="9"/>
        <v>45</v>
      </c>
      <c r="J99" s="77">
        <f>J97</f>
        <v>0</v>
      </c>
      <c r="K99" s="51">
        <f>K97</f>
        <v>1</v>
      </c>
      <c r="L99" s="52">
        <f t="shared" si="10"/>
        <v>0</v>
      </c>
      <c r="M99" s="51">
        <f t="shared" si="11"/>
        <v>0</v>
      </c>
      <c r="N99" s="78">
        <f t="shared" si="12"/>
        <v>0</v>
      </c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  <c r="AG99" s="79"/>
      <c r="AH99" s="79"/>
      <c r="AI99" s="79"/>
      <c r="AJ99" s="79"/>
      <c r="AK99" s="79"/>
      <c r="AL99" s="79"/>
      <c r="AM99" s="79"/>
      <c r="AN99" s="79"/>
      <c r="AO99" s="79"/>
      <c r="AP99" s="79"/>
      <c r="AQ99" s="79"/>
      <c r="AR99" s="79"/>
      <c r="AS99" s="79"/>
      <c r="AT99" s="79"/>
      <c r="AU99" s="79"/>
      <c r="AV99" s="79"/>
      <c r="AW99" s="79"/>
      <c r="AX99" s="79"/>
    </row>
    <row r="100" spans="1:50" outlineLevel="1">
      <c r="A100" s="71" t="s">
        <v>576</v>
      </c>
      <c r="B100" s="72" t="s">
        <v>577</v>
      </c>
      <c r="C100" s="73" t="s">
        <v>578</v>
      </c>
      <c r="D100" s="71" t="s">
        <v>579</v>
      </c>
      <c r="E100" s="74" t="s">
        <v>522</v>
      </c>
      <c r="F100" s="17" t="s">
        <v>65</v>
      </c>
      <c r="G100" s="80">
        <f>G97</f>
        <v>5.3333333333333337E-2</v>
      </c>
      <c r="H100" s="81">
        <f>H97</f>
        <v>562.5</v>
      </c>
      <c r="I100" s="76">
        <f t="shared" si="9"/>
        <v>30.000000000000004</v>
      </c>
      <c r="J100" s="77">
        <f>J97</f>
        <v>0</v>
      </c>
      <c r="K100" s="82">
        <f>K97</f>
        <v>1</v>
      </c>
      <c r="L100" s="52">
        <f t="shared" si="10"/>
        <v>0</v>
      </c>
      <c r="M100" s="51">
        <f t="shared" si="11"/>
        <v>0</v>
      </c>
      <c r="N100" s="78">
        <f t="shared" si="12"/>
        <v>0</v>
      </c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  <c r="AG100" s="79"/>
      <c r="AH100" s="79"/>
      <c r="AI100" s="79"/>
      <c r="AJ100" s="79"/>
      <c r="AK100" s="79"/>
      <c r="AL100" s="79"/>
      <c r="AM100" s="79"/>
      <c r="AN100" s="79"/>
      <c r="AO100" s="79"/>
      <c r="AP100" s="79"/>
      <c r="AQ100" s="79"/>
      <c r="AR100" s="79"/>
      <c r="AS100" s="79"/>
      <c r="AT100" s="79"/>
      <c r="AU100" s="79"/>
      <c r="AV100" s="79"/>
      <c r="AW100" s="79"/>
      <c r="AX100" s="79"/>
    </row>
    <row r="101" spans="1:50">
      <c r="A101" s="83" t="s">
        <v>576</v>
      </c>
      <c r="B101" s="16" t="s">
        <v>577</v>
      </c>
      <c r="C101" s="84" t="s">
        <v>578</v>
      </c>
      <c r="D101" s="85" t="s">
        <v>579</v>
      </c>
      <c r="E101" s="86" t="s">
        <v>522</v>
      </c>
      <c r="F101" s="16" t="s">
        <v>179</v>
      </c>
      <c r="G101" s="87">
        <f>CHOOSE(IF(OR($C$3="Expert input",$I$97=0),4,IF($C$3="+25%",2,IF($C$3="+50%",3,1))),G97,G98,G99,G100)</f>
        <v>5.3333333333333337E-2</v>
      </c>
      <c r="H101" s="88">
        <f>CHOOSE(IF(OR($C$3="Expert input",$I$97=0),4,IF($C$3="+25%",2,IF($C$3="+50%",3,1))),H97,H98,H99,H100)</f>
        <v>562.5</v>
      </c>
      <c r="I101" s="88">
        <f t="shared" si="9"/>
        <v>30.000000000000004</v>
      </c>
      <c r="J101" s="54">
        <f>J97</f>
        <v>0</v>
      </c>
      <c r="K101" s="53">
        <f>CHOOSE(IF(OR($C$3="Expert input",$I$97=0),4,IF($C$3="+25%",2,IF($C$3="+50%",3,1))),K97,K98,K99,K100)</f>
        <v>1</v>
      </c>
      <c r="L101" s="54">
        <f t="shared" si="10"/>
        <v>0</v>
      </c>
      <c r="M101" s="53">
        <f t="shared" si="11"/>
        <v>0</v>
      </c>
      <c r="N101" s="54">
        <f t="shared" si="12"/>
        <v>0</v>
      </c>
      <c r="O101" s="43">
        <v>0.31</v>
      </c>
      <c r="P101" s="43">
        <v>0.33</v>
      </c>
      <c r="Q101" s="43">
        <v>0.25</v>
      </c>
      <c r="R101" s="43">
        <v>0.11</v>
      </c>
      <c r="S101" s="43"/>
      <c r="T101" s="43"/>
      <c r="U101" s="43"/>
      <c r="V101" s="43"/>
      <c r="W101" s="43"/>
      <c r="X101" s="43"/>
      <c r="Y101" s="43"/>
      <c r="Z101" s="43"/>
      <c r="AA101" s="89">
        <f>O101*$M101</f>
        <v>0</v>
      </c>
      <c r="AB101" s="90">
        <f>O101*$N101</f>
        <v>0</v>
      </c>
      <c r="AC101" s="89">
        <f>P101*$M101</f>
        <v>0</v>
      </c>
      <c r="AD101" s="90">
        <f>P101*$N101</f>
        <v>0</v>
      </c>
      <c r="AE101" s="89">
        <f>Q101*$M101</f>
        <v>0</v>
      </c>
      <c r="AF101" s="90">
        <f>Q101*$N101</f>
        <v>0</v>
      </c>
      <c r="AG101" s="89">
        <f>R101*$M101</f>
        <v>0</v>
      </c>
      <c r="AH101" s="90">
        <f>R101*$N101</f>
        <v>0</v>
      </c>
      <c r="AI101" s="89">
        <f>S101*$M101</f>
        <v>0</v>
      </c>
      <c r="AJ101" s="90">
        <f>S101*$N101</f>
        <v>0</v>
      </c>
      <c r="AK101" s="89">
        <f>T101*$M101</f>
        <v>0</v>
      </c>
      <c r="AL101" s="90">
        <f>T101*$N101</f>
        <v>0</v>
      </c>
      <c r="AM101" s="89">
        <f>U101*$M101</f>
        <v>0</v>
      </c>
      <c r="AN101" s="90">
        <f>U101*$N101</f>
        <v>0</v>
      </c>
      <c r="AO101" s="89">
        <f>V101*$M101</f>
        <v>0</v>
      </c>
      <c r="AP101" s="90">
        <f>V101*$N101</f>
        <v>0</v>
      </c>
      <c r="AQ101" s="89">
        <f>W101*$M101</f>
        <v>0</v>
      </c>
      <c r="AR101" s="90">
        <f>W101*$N101</f>
        <v>0</v>
      </c>
      <c r="AS101" s="89">
        <f>X101*$M101</f>
        <v>0</v>
      </c>
      <c r="AT101" s="90">
        <f>X101*$N101</f>
        <v>0</v>
      </c>
      <c r="AU101" s="89">
        <f>Y101*$M101</f>
        <v>0</v>
      </c>
      <c r="AV101" s="90">
        <f>Y101*$N101</f>
        <v>0</v>
      </c>
      <c r="AW101" s="89">
        <f>Z101*$M101</f>
        <v>0</v>
      </c>
      <c r="AX101" s="90">
        <f>Z101*$N101</f>
        <v>0</v>
      </c>
    </row>
    <row r="102" spans="1:50" outlineLevel="1">
      <c r="A102" s="58" t="s">
        <v>580</v>
      </c>
      <c r="B102" s="59" t="s">
        <v>581</v>
      </c>
      <c r="C102" s="60" t="s">
        <v>582</v>
      </c>
      <c r="D102" s="61" t="s">
        <v>579</v>
      </c>
      <c r="E102" s="62" t="s">
        <v>522</v>
      </c>
      <c r="F102" s="59" t="s">
        <v>62</v>
      </c>
      <c r="G102" s="63">
        <f>IFERROR(INDEX('Benchmark Data'!$AC$7:$AC$130,MATCH($A102,'Benchmark Data'!$A$7:$A$130,0)),0)</f>
        <v>0.25</v>
      </c>
      <c r="H102" s="64">
        <f>IFERROR(INDEX('Benchmark Data'!$AD$7:$AD$130,MATCH($A102,'Benchmark Data'!$A$7:$A$130,0)),0)</f>
        <v>1600</v>
      </c>
      <c r="I102" s="65">
        <f t="shared" si="9"/>
        <v>400</v>
      </c>
      <c r="J102" s="91"/>
      <c r="K102" s="29">
        <f>IFERROR(INDEX('Benchmark Data'!$AE$7:$AE$130,MATCH($A102,'Benchmark Data'!$A$7:$A$130,0)),0)</f>
        <v>1</v>
      </c>
      <c r="L102" s="67">
        <f t="shared" si="10"/>
        <v>0</v>
      </c>
      <c r="M102" s="68">
        <f t="shared" si="11"/>
        <v>0</v>
      </c>
      <c r="N102" s="69">
        <f t="shared" si="12"/>
        <v>0</v>
      </c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70"/>
      <c r="AX102" s="70"/>
    </row>
    <row r="103" spans="1:50" outlineLevel="1">
      <c r="A103" s="71" t="s">
        <v>580</v>
      </c>
      <c r="B103" s="72" t="s">
        <v>581</v>
      </c>
      <c r="C103" s="73" t="s">
        <v>583</v>
      </c>
      <c r="D103" s="71" t="s">
        <v>579</v>
      </c>
      <c r="E103" s="74" t="s">
        <v>522</v>
      </c>
      <c r="F103" s="17" t="s">
        <v>63</v>
      </c>
      <c r="G103" s="75">
        <f>G102</f>
        <v>0.25</v>
      </c>
      <c r="H103" s="76">
        <f>H102*(1+Settings!$C$8)</f>
        <v>2000</v>
      </c>
      <c r="I103" s="76">
        <f t="shared" si="9"/>
        <v>500</v>
      </c>
      <c r="J103" s="77">
        <f>J102</f>
        <v>0</v>
      </c>
      <c r="K103" s="51">
        <f>K102</f>
        <v>1</v>
      </c>
      <c r="L103" s="52">
        <f t="shared" si="10"/>
        <v>0</v>
      </c>
      <c r="M103" s="51">
        <f t="shared" si="11"/>
        <v>0</v>
      </c>
      <c r="N103" s="78">
        <f t="shared" si="12"/>
        <v>0</v>
      </c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  <c r="AG103" s="79"/>
      <c r="AH103" s="79"/>
      <c r="AI103" s="79"/>
      <c r="AJ103" s="79"/>
      <c r="AK103" s="79"/>
      <c r="AL103" s="79"/>
      <c r="AM103" s="79"/>
      <c r="AN103" s="79"/>
      <c r="AO103" s="79"/>
      <c r="AP103" s="79"/>
      <c r="AQ103" s="79"/>
      <c r="AR103" s="79"/>
      <c r="AS103" s="79"/>
      <c r="AT103" s="79"/>
      <c r="AU103" s="79"/>
      <c r="AV103" s="79"/>
      <c r="AW103" s="79"/>
      <c r="AX103" s="79"/>
    </row>
    <row r="104" spans="1:50" outlineLevel="1">
      <c r="A104" s="71" t="s">
        <v>580</v>
      </c>
      <c r="B104" s="72" t="s">
        <v>581</v>
      </c>
      <c r="C104" s="73" t="s">
        <v>583</v>
      </c>
      <c r="D104" s="71" t="s">
        <v>579</v>
      </c>
      <c r="E104" s="74" t="s">
        <v>522</v>
      </c>
      <c r="F104" s="17" t="s">
        <v>64</v>
      </c>
      <c r="G104" s="75">
        <f>G102</f>
        <v>0.25</v>
      </c>
      <c r="H104" s="76">
        <f>H102*(1+Settings!$C$9)</f>
        <v>2400</v>
      </c>
      <c r="I104" s="76">
        <f t="shared" si="9"/>
        <v>600</v>
      </c>
      <c r="J104" s="77">
        <f>J102</f>
        <v>0</v>
      </c>
      <c r="K104" s="51">
        <f>K102</f>
        <v>1</v>
      </c>
      <c r="L104" s="52">
        <f t="shared" si="10"/>
        <v>0</v>
      </c>
      <c r="M104" s="51">
        <f t="shared" si="11"/>
        <v>0</v>
      </c>
      <c r="N104" s="78">
        <f t="shared" si="12"/>
        <v>0</v>
      </c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  <c r="AG104" s="79"/>
      <c r="AH104" s="79"/>
      <c r="AI104" s="79"/>
      <c r="AJ104" s="79"/>
      <c r="AK104" s="79"/>
      <c r="AL104" s="79"/>
      <c r="AM104" s="79"/>
      <c r="AN104" s="79"/>
      <c r="AO104" s="79"/>
      <c r="AP104" s="79"/>
      <c r="AQ104" s="79"/>
      <c r="AR104" s="79"/>
      <c r="AS104" s="79"/>
      <c r="AT104" s="79"/>
      <c r="AU104" s="79"/>
      <c r="AV104" s="79"/>
      <c r="AW104" s="79"/>
      <c r="AX104" s="79"/>
    </row>
    <row r="105" spans="1:50" outlineLevel="1">
      <c r="A105" s="71" t="s">
        <v>580</v>
      </c>
      <c r="B105" s="72" t="s">
        <v>581</v>
      </c>
      <c r="C105" s="73" t="s">
        <v>583</v>
      </c>
      <c r="D105" s="71" t="s">
        <v>579</v>
      </c>
      <c r="E105" s="74" t="s">
        <v>522</v>
      </c>
      <c r="F105" s="17" t="s">
        <v>65</v>
      </c>
      <c r="G105" s="80">
        <f>G102</f>
        <v>0.25</v>
      </c>
      <c r="H105" s="81">
        <f>H102</f>
        <v>1600</v>
      </c>
      <c r="I105" s="76">
        <f t="shared" si="9"/>
        <v>400</v>
      </c>
      <c r="J105" s="77">
        <f>J102</f>
        <v>0</v>
      </c>
      <c r="K105" s="82">
        <f>K102</f>
        <v>1</v>
      </c>
      <c r="L105" s="52">
        <f t="shared" si="10"/>
        <v>0</v>
      </c>
      <c r="M105" s="51">
        <f t="shared" si="11"/>
        <v>0</v>
      </c>
      <c r="N105" s="78">
        <f t="shared" si="12"/>
        <v>0</v>
      </c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  <c r="AG105" s="79"/>
      <c r="AH105" s="79"/>
      <c r="AI105" s="79"/>
      <c r="AJ105" s="79"/>
      <c r="AK105" s="79"/>
      <c r="AL105" s="79"/>
      <c r="AM105" s="79"/>
      <c r="AN105" s="79"/>
      <c r="AO105" s="79"/>
      <c r="AP105" s="79"/>
      <c r="AQ105" s="79"/>
      <c r="AR105" s="79"/>
      <c r="AS105" s="79"/>
      <c r="AT105" s="79"/>
      <c r="AU105" s="79"/>
      <c r="AV105" s="79"/>
      <c r="AW105" s="79"/>
      <c r="AX105" s="79"/>
    </row>
    <row r="106" spans="1:50">
      <c r="A106" s="83" t="s">
        <v>580</v>
      </c>
      <c r="B106" s="16" t="s">
        <v>581</v>
      </c>
      <c r="C106" s="84" t="s">
        <v>584</v>
      </c>
      <c r="D106" s="85" t="s">
        <v>579</v>
      </c>
      <c r="E106" s="86" t="s">
        <v>522</v>
      </c>
      <c r="F106" s="16" t="s">
        <v>179</v>
      </c>
      <c r="G106" s="87">
        <f>CHOOSE(IF(OR($C$3="Expert input",$I$102=0),4,IF($C$3="+25%",2,IF($C$3="+50%",3,1))),G102,G103,G104,G105)</f>
        <v>0.25</v>
      </c>
      <c r="H106" s="88">
        <f>CHOOSE(IF(OR($C$3="Expert input",$I$102=0),4,IF($C$3="+25%",2,IF($C$3="+50%",3,1))),H102,H103,H104,H105)</f>
        <v>1600</v>
      </c>
      <c r="I106" s="88">
        <f t="shared" si="9"/>
        <v>400</v>
      </c>
      <c r="J106" s="54">
        <f>J102</f>
        <v>0</v>
      </c>
      <c r="K106" s="53">
        <f>CHOOSE(IF(OR($C$3="Expert input",$I$102=0),4,IF($C$3="+25%",2,IF($C$3="+50%",3,1))),K102,K103,K104,K105)</f>
        <v>1</v>
      </c>
      <c r="L106" s="54">
        <f t="shared" si="10"/>
        <v>0</v>
      </c>
      <c r="M106" s="53">
        <f t="shared" si="11"/>
        <v>0</v>
      </c>
      <c r="N106" s="54">
        <f t="shared" si="12"/>
        <v>0</v>
      </c>
      <c r="O106" s="43"/>
      <c r="P106" s="43"/>
      <c r="Q106" s="43"/>
      <c r="R106" s="43">
        <v>0.5</v>
      </c>
      <c r="S106" s="43">
        <v>0.5</v>
      </c>
      <c r="T106" s="43"/>
      <c r="U106" s="43"/>
      <c r="V106" s="43"/>
      <c r="W106" s="43"/>
      <c r="X106" s="43"/>
      <c r="Y106" s="43"/>
      <c r="Z106" s="43"/>
      <c r="AA106" s="89">
        <f>O106*$M106</f>
        <v>0</v>
      </c>
      <c r="AB106" s="90">
        <f>O106*$N106</f>
        <v>0</v>
      </c>
      <c r="AC106" s="89">
        <f>P106*$M106</f>
        <v>0</v>
      </c>
      <c r="AD106" s="90">
        <f>P106*$N106</f>
        <v>0</v>
      </c>
      <c r="AE106" s="89">
        <f>Q106*$M106</f>
        <v>0</v>
      </c>
      <c r="AF106" s="90">
        <f>Q106*$N106</f>
        <v>0</v>
      </c>
      <c r="AG106" s="89">
        <f>R106*$M106</f>
        <v>0</v>
      </c>
      <c r="AH106" s="90">
        <f>R106*$N106</f>
        <v>0</v>
      </c>
      <c r="AI106" s="89">
        <f>S106*$M106</f>
        <v>0</v>
      </c>
      <c r="AJ106" s="90">
        <f>S106*$N106</f>
        <v>0</v>
      </c>
      <c r="AK106" s="89">
        <f>T106*$M106</f>
        <v>0</v>
      </c>
      <c r="AL106" s="90">
        <f>T106*$N106</f>
        <v>0</v>
      </c>
      <c r="AM106" s="89">
        <f>U106*$M106</f>
        <v>0</v>
      </c>
      <c r="AN106" s="90">
        <f>U106*$N106</f>
        <v>0</v>
      </c>
      <c r="AO106" s="89">
        <f>V106*$M106</f>
        <v>0</v>
      </c>
      <c r="AP106" s="90">
        <f>V106*$N106</f>
        <v>0</v>
      </c>
      <c r="AQ106" s="89">
        <f>W106*$M106</f>
        <v>0</v>
      </c>
      <c r="AR106" s="90">
        <f>W106*$N106</f>
        <v>0</v>
      </c>
      <c r="AS106" s="89">
        <f>X106*$M106</f>
        <v>0</v>
      </c>
      <c r="AT106" s="90">
        <f>X106*$N106</f>
        <v>0</v>
      </c>
      <c r="AU106" s="89">
        <f>Y106*$M106</f>
        <v>0</v>
      </c>
      <c r="AV106" s="90">
        <f>Y106*$N106</f>
        <v>0</v>
      </c>
      <c r="AW106" s="89">
        <f>Z106*$M106</f>
        <v>0</v>
      </c>
      <c r="AX106" s="90">
        <f>Z106*$N106</f>
        <v>0</v>
      </c>
    </row>
    <row r="107" spans="1:50" outlineLevel="1">
      <c r="A107" s="58" t="s">
        <v>585</v>
      </c>
      <c r="B107" s="59" t="s">
        <v>586</v>
      </c>
      <c r="C107" s="60" t="s">
        <v>587</v>
      </c>
      <c r="D107" s="61" t="s">
        <v>579</v>
      </c>
      <c r="E107" s="62" t="s">
        <v>522</v>
      </c>
      <c r="F107" s="59" t="s">
        <v>62</v>
      </c>
      <c r="G107" s="63">
        <f>IFERROR(INDEX('Benchmark Data'!$AC$7:$AC$130,MATCH($A107,'Benchmark Data'!$A$7:$A$130,0)),0)</f>
        <v>4.6666666666666669E-2</v>
      </c>
      <c r="H107" s="64">
        <f>IFERROR(INDEX('Benchmark Data'!$AD$7:$AD$130,MATCH($A107,'Benchmark Data'!$A$7:$A$130,0)),0)</f>
        <v>1285.7142857142856</v>
      </c>
      <c r="I107" s="65">
        <f t="shared" si="9"/>
        <v>59.999999999999993</v>
      </c>
      <c r="J107" s="66">
        <f>$E$13</f>
        <v>0</v>
      </c>
      <c r="K107" s="29">
        <f>IFERROR(INDEX('Benchmark Data'!$AE$7:$AE$130,MATCH($A107,'Benchmark Data'!$A$7:$A$130,0)),0)</f>
        <v>1</v>
      </c>
      <c r="L107" s="67">
        <f t="shared" si="10"/>
        <v>0</v>
      </c>
      <c r="M107" s="68">
        <f t="shared" si="11"/>
        <v>0</v>
      </c>
      <c r="N107" s="69">
        <f t="shared" si="12"/>
        <v>0</v>
      </c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70"/>
      <c r="AX107" s="70"/>
    </row>
    <row r="108" spans="1:50" outlineLevel="1">
      <c r="A108" s="71" t="s">
        <v>585</v>
      </c>
      <c r="B108" s="72" t="s">
        <v>586</v>
      </c>
      <c r="C108" s="73" t="s">
        <v>588</v>
      </c>
      <c r="D108" s="71" t="s">
        <v>579</v>
      </c>
      <c r="E108" s="74" t="s">
        <v>522</v>
      </c>
      <c r="F108" s="17" t="s">
        <v>63</v>
      </c>
      <c r="G108" s="75">
        <f>G107</f>
        <v>4.6666666666666669E-2</v>
      </c>
      <c r="H108" s="76">
        <f>H107*(1+Settings!$C$8)</f>
        <v>1607.1428571428569</v>
      </c>
      <c r="I108" s="76">
        <f t="shared" si="9"/>
        <v>74.999999999999986</v>
      </c>
      <c r="J108" s="77">
        <f>J107</f>
        <v>0</v>
      </c>
      <c r="K108" s="51">
        <f>K107</f>
        <v>1</v>
      </c>
      <c r="L108" s="52">
        <f t="shared" si="10"/>
        <v>0</v>
      </c>
      <c r="M108" s="51">
        <f t="shared" si="11"/>
        <v>0</v>
      </c>
      <c r="N108" s="78">
        <f t="shared" si="12"/>
        <v>0</v>
      </c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  <c r="AG108" s="79"/>
      <c r="AH108" s="79"/>
      <c r="AI108" s="79"/>
      <c r="AJ108" s="79"/>
      <c r="AK108" s="79"/>
      <c r="AL108" s="79"/>
      <c r="AM108" s="79"/>
      <c r="AN108" s="79"/>
      <c r="AO108" s="79"/>
      <c r="AP108" s="79"/>
      <c r="AQ108" s="79"/>
      <c r="AR108" s="79"/>
      <c r="AS108" s="79"/>
      <c r="AT108" s="79"/>
      <c r="AU108" s="79"/>
      <c r="AV108" s="79"/>
      <c r="AW108" s="79"/>
      <c r="AX108" s="79"/>
    </row>
    <row r="109" spans="1:50" outlineLevel="1">
      <c r="A109" s="71" t="s">
        <v>585</v>
      </c>
      <c r="B109" s="72" t="s">
        <v>586</v>
      </c>
      <c r="C109" s="73" t="s">
        <v>588</v>
      </c>
      <c r="D109" s="71" t="s">
        <v>579</v>
      </c>
      <c r="E109" s="74" t="s">
        <v>522</v>
      </c>
      <c r="F109" s="17" t="s">
        <v>64</v>
      </c>
      <c r="G109" s="75">
        <f>G107</f>
        <v>4.6666666666666669E-2</v>
      </c>
      <c r="H109" s="76">
        <f>H107*(1+Settings!$C$9)</f>
        <v>1928.5714285714284</v>
      </c>
      <c r="I109" s="76">
        <f t="shared" si="9"/>
        <v>90</v>
      </c>
      <c r="J109" s="77">
        <f>J107</f>
        <v>0</v>
      </c>
      <c r="K109" s="51">
        <f>K107</f>
        <v>1</v>
      </c>
      <c r="L109" s="52">
        <f t="shared" si="10"/>
        <v>0</v>
      </c>
      <c r="M109" s="51">
        <f t="shared" si="11"/>
        <v>0</v>
      </c>
      <c r="N109" s="78">
        <f t="shared" si="12"/>
        <v>0</v>
      </c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  <c r="AG109" s="79"/>
      <c r="AH109" s="79"/>
      <c r="AI109" s="79"/>
      <c r="AJ109" s="79"/>
      <c r="AK109" s="79"/>
      <c r="AL109" s="79"/>
      <c r="AM109" s="79"/>
      <c r="AN109" s="79"/>
      <c r="AO109" s="79"/>
      <c r="AP109" s="79"/>
      <c r="AQ109" s="79"/>
      <c r="AR109" s="79"/>
      <c r="AS109" s="79"/>
      <c r="AT109" s="79"/>
      <c r="AU109" s="79"/>
      <c r="AV109" s="79"/>
      <c r="AW109" s="79"/>
      <c r="AX109" s="79"/>
    </row>
    <row r="110" spans="1:50" outlineLevel="1">
      <c r="A110" s="71" t="s">
        <v>585</v>
      </c>
      <c r="B110" s="72" t="s">
        <v>586</v>
      </c>
      <c r="C110" s="73" t="s">
        <v>588</v>
      </c>
      <c r="D110" s="71" t="s">
        <v>579</v>
      </c>
      <c r="E110" s="74" t="s">
        <v>522</v>
      </c>
      <c r="F110" s="17" t="s">
        <v>65</v>
      </c>
      <c r="G110" s="80">
        <f>G107</f>
        <v>4.6666666666666669E-2</v>
      </c>
      <c r="H110" s="81">
        <f>H107</f>
        <v>1285.7142857142856</v>
      </c>
      <c r="I110" s="76">
        <f t="shared" si="9"/>
        <v>59.999999999999993</v>
      </c>
      <c r="J110" s="77">
        <f>J107</f>
        <v>0</v>
      </c>
      <c r="K110" s="82">
        <f>K107</f>
        <v>1</v>
      </c>
      <c r="L110" s="52">
        <f t="shared" si="10"/>
        <v>0</v>
      </c>
      <c r="M110" s="51">
        <f t="shared" si="11"/>
        <v>0</v>
      </c>
      <c r="N110" s="78">
        <f t="shared" si="12"/>
        <v>0</v>
      </c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  <c r="AG110" s="79"/>
      <c r="AH110" s="79"/>
      <c r="AI110" s="79"/>
      <c r="AJ110" s="79"/>
      <c r="AK110" s="79"/>
      <c r="AL110" s="79"/>
      <c r="AM110" s="79"/>
      <c r="AN110" s="79"/>
      <c r="AO110" s="79"/>
      <c r="AP110" s="79"/>
      <c r="AQ110" s="79"/>
      <c r="AR110" s="79"/>
      <c r="AS110" s="79"/>
      <c r="AT110" s="79"/>
      <c r="AU110" s="79"/>
      <c r="AV110" s="79"/>
      <c r="AW110" s="79"/>
      <c r="AX110" s="79"/>
    </row>
    <row r="111" spans="1:50">
      <c r="A111" s="83" t="s">
        <v>585</v>
      </c>
      <c r="B111" s="16" t="s">
        <v>586</v>
      </c>
      <c r="C111" s="84" t="s">
        <v>589</v>
      </c>
      <c r="D111" s="85" t="s">
        <v>579</v>
      </c>
      <c r="E111" s="86" t="s">
        <v>522</v>
      </c>
      <c r="F111" s="16" t="s">
        <v>179</v>
      </c>
      <c r="G111" s="87">
        <f>CHOOSE(IF(OR($C$3="Expert input",$I$107=0),4,IF($C$3="+25%",2,IF($C$3="+50%",3,1))),G107,G108,G109,G110)</f>
        <v>4.6666666666666669E-2</v>
      </c>
      <c r="H111" s="88">
        <f>CHOOSE(IF(OR($C$3="Expert input",$I$107=0),4,IF($C$3="+25%",2,IF($C$3="+50%",3,1))),H107,H108,H109,H110)</f>
        <v>1285.7142857142856</v>
      </c>
      <c r="I111" s="88">
        <f t="shared" si="9"/>
        <v>59.999999999999993</v>
      </c>
      <c r="J111" s="54">
        <f>J107</f>
        <v>0</v>
      </c>
      <c r="K111" s="53">
        <f>CHOOSE(IF(OR($C$3="Expert input",$I$107=0),4,IF($C$3="+25%",2,IF($C$3="+50%",3,1))),K107,K108,K109,K110)</f>
        <v>1</v>
      </c>
      <c r="L111" s="54">
        <f t="shared" si="10"/>
        <v>0</v>
      </c>
      <c r="M111" s="53">
        <f t="shared" si="11"/>
        <v>0</v>
      </c>
      <c r="N111" s="54">
        <f t="shared" si="12"/>
        <v>0</v>
      </c>
      <c r="O111" s="43"/>
      <c r="P111" s="43"/>
      <c r="Q111" s="43"/>
      <c r="R111" s="43">
        <v>1</v>
      </c>
      <c r="S111" s="43"/>
      <c r="T111" s="43"/>
      <c r="U111" s="43"/>
      <c r="V111" s="43"/>
      <c r="W111" s="43"/>
      <c r="X111" s="43"/>
      <c r="Y111" s="43"/>
      <c r="Z111" s="43"/>
      <c r="AA111" s="89">
        <f>O111*$M111</f>
        <v>0</v>
      </c>
      <c r="AB111" s="90">
        <f>O111*$N111</f>
        <v>0</v>
      </c>
      <c r="AC111" s="89">
        <f>P111*$M111</f>
        <v>0</v>
      </c>
      <c r="AD111" s="90">
        <f>P111*$N111</f>
        <v>0</v>
      </c>
      <c r="AE111" s="89">
        <f>Q111*$M111</f>
        <v>0</v>
      </c>
      <c r="AF111" s="90">
        <f>Q111*$N111</f>
        <v>0</v>
      </c>
      <c r="AG111" s="89">
        <f>R111*$M111</f>
        <v>0</v>
      </c>
      <c r="AH111" s="90">
        <f>R111*$N111</f>
        <v>0</v>
      </c>
      <c r="AI111" s="89">
        <f>S111*$M111</f>
        <v>0</v>
      </c>
      <c r="AJ111" s="90">
        <f>S111*$N111</f>
        <v>0</v>
      </c>
      <c r="AK111" s="89">
        <f>T111*$M111</f>
        <v>0</v>
      </c>
      <c r="AL111" s="90">
        <f>T111*$N111</f>
        <v>0</v>
      </c>
      <c r="AM111" s="89">
        <f>U111*$M111</f>
        <v>0</v>
      </c>
      <c r="AN111" s="90">
        <f>U111*$N111</f>
        <v>0</v>
      </c>
      <c r="AO111" s="89">
        <f>V111*$M111</f>
        <v>0</v>
      </c>
      <c r="AP111" s="90">
        <f>V111*$N111</f>
        <v>0</v>
      </c>
      <c r="AQ111" s="89">
        <f>W111*$M111</f>
        <v>0</v>
      </c>
      <c r="AR111" s="90">
        <f>W111*$N111</f>
        <v>0</v>
      </c>
      <c r="AS111" s="89">
        <f>X111*$M111</f>
        <v>0</v>
      </c>
      <c r="AT111" s="90">
        <f>X111*$N111</f>
        <v>0</v>
      </c>
      <c r="AU111" s="89">
        <f>Y111*$M111</f>
        <v>0</v>
      </c>
      <c r="AV111" s="90">
        <f>Y111*$N111</f>
        <v>0</v>
      </c>
      <c r="AW111" s="89">
        <f>Z111*$M111</f>
        <v>0</v>
      </c>
      <c r="AX111" s="90">
        <f>Z111*$N111</f>
        <v>0</v>
      </c>
    </row>
    <row r="112" spans="1:50" outlineLevel="1">
      <c r="A112" s="58" t="s">
        <v>590</v>
      </c>
      <c r="B112" s="59" t="s">
        <v>591</v>
      </c>
      <c r="C112" s="60" t="s">
        <v>592</v>
      </c>
      <c r="D112" s="61" t="s">
        <v>579</v>
      </c>
      <c r="E112" s="62" t="s">
        <v>522</v>
      </c>
      <c r="F112" s="59" t="s">
        <v>62</v>
      </c>
      <c r="G112" s="63">
        <f>IFERROR(INDEX('Benchmark Data'!$AC$7:$AC$130,MATCH($A112,'Benchmark Data'!$A$7:$A$130,0)),0)</f>
        <v>1.1004273504273535E-2</v>
      </c>
      <c r="H112" s="64">
        <f>IFERROR(INDEX('Benchmark Data'!$AD$7:$AD$130,MATCH($A112,'Benchmark Data'!$A$7:$A$130,0)),0)</f>
        <v>33320.388349514476</v>
      </c>
      <c r="I112" s="65">
        <f t="shared" si="9"/>
        <v>366.66666666666674</v>
      </c>
      <c r="J112" s="66">
        <f>$E$13</f>
        <v>0</v>
      </c>
      <c r="K112" s="29">
        <f>IFERROR(INDEX('Benchmark Data'!$AE$7:$AE$130,MATCH($A112,'Benchmark Data'!$A$7:$A$130,0)),0)</f>
        <v>1</v>
      </c>
      <c r="L112" s="67">
        <f t="shared" si="10"/>
        <v>0</v>
      </c>
      <c r="M112" s="68">
        <f t="shared" si="11"/>
        <v>0</v>
      </c>
      <c r="N112" s="69">
        <f t="shared" si="12"/>
        <v>0</v>
      </c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  <c r="AX112" s="70"/>
    </row>
    <row r="113" spans="1:50" outlineLevel="1">
      <c r="A113" s="71" t="s">
        <v>590</v>
      </c>
      <c r="B113" s="72" t="s">
        <v>591</v>
      </c>
      <c r="C113" s="73" t="s">
        <v>592</v>
      </c>
      <c r="D113" s="71" t="s">
        <v>579</v>
      </c>
      <c r="E113" s="74" t="s">
        <v>522</v>
      </c>
      <c r="F113" s="17" t="s">
        <v>63</v>
      </c>
      <c r="G113" s="75">
        <f>G112</f>
        <v>1.1004273504273535E-2</v>
      </c>
      <c r="H113" s="76">
        <f>H112*(1+Settings!$C$8)</f>
        <v>41650.485436893097</v>
      </c>
      <c r="I113" s="76">
        <f t="shared" ref="I113:I144" si="13">G113*H113</f>
        <v>458.33333333333343</v>
      </c>
      <c r="J113" s="77">
        <f>J112</f>
        <v>0</v>
      </c>
      <c r="K113" s="51">
        <f>K112</f>
        <v>1</v>
      </c>
      <c r="L113" s="52">
        <f t="shared" ref="L113:L144" si="14">J113*K113</f>
        <v>0</v>
      </c>
      <c r="M113" s="51">
        <f t="shared" ref="M113:M144" si="15">L113*G113</f>
        <v>0</v>
      </c>
      <c r="N113" s="78">
        <f t="shared" ref="N113:N144" si="16">L113*I113</f>
        <v>0</v>
      </c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79"/>
      <c r="AV113" s="79"/>
      <c r="AW113" s="79"/>
      <c r="AX113" s="79"/>
    </row>
    <row r="114" spans="1:50" outlineLevel="1">
      <c r="A114" s="71" t="s">
        <v>590</v>
      </c>
      <c r="B114" s="72" t="s">
        <v>591</v>
      </c>
      <c r="C114" s="73" t="s">
        <v>592</v>
      </c>
      <c r="D114" s="71" t="s">
        <v>579</v>
      </c>
      <c r="E114" s="74" t="s">
        <v>522</v>
      </c>
      <c r="F114" s="17" t="s">
        <v>64</v>
      </c>
      <c r="G114" s="75">
        <f>G112</f>
        <v>1.1004273504273535E-2</v>
      </c>
      <c r="H114" s="76">
        <f>H112*(1+Settings!$C$9)</f>
        <v>49980.582524271711</v>
      </c>
      <c r="I114" s="76">
        <f t="shared" si="13"/>
        <v>550</v>
      </c>
      <c r="J114" s="77">
        <f>J112</f>
        <v>0</v>
      </c>
      <c r="K114" s="51">
        <f>K112</f>
        <v>1</v>
      </c>
      <c r="L114" s="52">
        <f t="shared" si="14"/>
        <v>0</v>
      </c>
      <c r="M114" s="51">
        <f t="shared" si="15"/>
        <v>0</v>
      </c>
      <c r="N114" s="78">
        <f t="shared" si="16"/>
        <v>0</v>
      </c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  <c r="AG114" s="79"/>
      <c r="AH114" s="79"/>
      <c r="AI114" s="79"/>
      <c r="AJ114" s="79"/>
      <c r="AK114" s="79"/>
      <c r="AL114" s="79"/>
      <c r="AM114" s="79"/>
      <c r="AN114" s="79"/>
      <c r="AO114" s="79"/>
      <c r="AP114" s="79"/>
      <c r="AQ114" s="79"/>
      <c r="AR114" s="79"/>
      <c r="AS114" s="79"/>
      <c r="AT114" s="79"/>
      <c r="AU114" s="79"/>
      <c r="AV114" s="79"/>
      <c r="AW114" s="79"/>
      <c r="AX114" s="79"/>
    </row>
    <row r="115" spans="1:50" outlineLevel="1">
      <c r="A115" s="71" t="s">
        <v>590</v>
      </c>
      <c r="B115" s="72" t="s">
        <v>591</v>
      </c>
      <c r="C115" s="73" t="s">
        <v>592</v>
      </c>
      <c r="D115" s="71" t="s">
        <v>579</v>
      </c>
      <c r="E115" s="74" t="s">
        <v>522</v>
      </c>
      <c r="F115" s="17" t="s">
        <v>65</v>
      </c>
      <c r="G115" s="80">
        <f>G112</f>
        <v>1.1004273504273535E-2</v>
      </c>
      <c r="H115" s="81">
        <f>H112</f>
        <v>33320.388349514476</v>
      </c>
      <c r="I115" s="76">
        <f t="shared" si="13"/>
        <v>366.66666666666674</v>
      </c>
      <c r="J115" s="77">
        <f>J112</f>
        <v>0</v>
      </c>
      <c r="K115" s="82">
        <f>K112</f>
        <v>1</v>
      </c>
      <c r="L115" s="52">
        <f t="shared" si="14"/>
        <v>0</v>
      </c>
      <c r="M115" s="51">
        <f t="shared" si="15"/>
        <v>0</v>
      </c>
      <c r="N115" s="78">
        <f t="shared" si="16"/>
        <v>0</v>
      </c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  <c r="AG115" s="79"/>
      <c r="AH115" s="79"/>
      <c r="AI115" s="79"/>
      <c r="AJ115" s="79"/>
      <c r="AK115" s="79"/>
      <c r="AL115" s="79"/>
      <c r="AM115" s="79"/>
      <c r="AN115" s="79"/>
      <c r="AO115" s="79"/>
      <c r="AP115" s="79"/>
      <c r="AQ115" s="79"/>
      <c r="AR115" s="79"/>
      <c r="AS115" s="79"/>
      <c r="AT115" s="79"/>
      <c r="AU115" s="79"/>
      <c r="AV115" s="79"/>
      <c r="AW115" s="79"/>
      <c r="AX115" s="79"/>
    </row>
    <row r="116" spans="1:50">
      <c r="A116" s="83" t="s">
        <v>590</v>
      </c>
      <c r="B116" s="16" t="s">
        <v>591</v>
      </c>
      <c r="C116" s="84" t="s">
        <v>592</v>
      </c>
      <c r="D116" s="85" t="s">
        <v>579</v>
      </c>
      <c r="E116" s="86" t="s">
        <v>522</v>
      </c>
      <c r="F116" s="16" t="s">
        <v>179</v>
      </c>
      <c r="G116" s="87">
        <f>CHOOSE(IF(OR($C$3="Expert input",$I$112=0),4,IF($C$3="+25%",2,IF($C$3="+50%",3,1))),G112,G113,G114,G115)</f>
        <v>1.1004273504273535E-2</v>
      </c>
      <c r="H116" s="88">
        <f>CHOOSE(IF(OR($C$3="Expert input",$I$112=0),4,IF($C$3="+25%",2,IF($C$3="+50%",3,1))),H112,H113,H114,H115)</f>
        <v>33320.388349514476</v>
      </c>
      <c r="I116" s="88">
        <f t="shared" si="13"/>
        <v>366.66666666666674</v>
      </c>
      <c r="J116" s="54">
        <f>J112</f>
        <v>0</v>
      </c>
      <c r="K116" s="53">
        <f>CHOOSE(IF(OR($C$3="Expert input",$I$112=0),4,IF($C$3="+25%",2,IF($C$3="+50%",3,1))),K112,K113,K114,K115)</f>
        <v>1</v>
      </c>
      <c r="L116" s="54">
        <f t="shared" si="14"/>
        <v>0</v>
      </c>
      <c r="M116" s="53">
        <f t="shared" si="15"/>
        <v>0</v>
      </c>
      <c r="N116" s="54">
        <f t="shared" si="16"/>
        <v>0</v>
      </c>
      <c r="O116" s="43"/>
      <c r="P116" s="43"/>
      <c r="Q116" s="43"/>
      <c r="R116" s="43">
        <v>1</v>
      </c>
      <c r="S116" s="43"/>
      <c r="T116" s="43"/>
      <c r="U116" s="43"/>
      <c r="V116" s="43"/>
      <c r="W116" s="43"/>
      <c r="X116" s="43"/>
      <c r="Y116" s="43"/>
      <c r="Z116" s="43"/>
      <c r="AA116" s="89">
        <f>O116*$M116</f>
        <v>0</v>
      </c>
      <c r="AB116" s="90">
        <f>O116*$N116</f>
        <v>0</v>
      </c>
      <c r="AC116" s="89">
        <f>P116*$M116</f>
        <v>0</v>
      </c>
      <c r="AD116" s="90">
        <f>P116*$N116</f>
        <v>0</v>
      </c>
      <c r="AE116" s="89">
        <f>Q116*$M116</f>
        <v>0</v>
      </c>
      <c r="AF116" s="90">
        <f>Q116*$N116</f>
        <v>0</v>
      </c>
      <c r="AG116" s="89">
        <f>R116*$M116</f>
        <v>0</v>
      </c>
      <c r="AH116" s="90">
        <f>R116*$N116</f>
        <v>0</v>
      </c>
      <c r="AI116" s="89">
        <f>S116*$M116</f>
        <v>0</v>
      </c>
      <c r="AJ116" s="90">
        <f>S116*$N116</f>
        <v>0</v>
      </c>
      <c r="AK116" s="89">
        <f>T116*$M116</f>
        <v>0</v>
      </c>
      <c r="AL116" s="90">
        <f>T116*$N116</f>
        <v>0</v>
      </c>
      <c r="AM116" s="89">
        <f>U116*$M116</f>
        <v>0</v>
      </c>
      <c r="AN116" s="90">
        <f>U116*$N116</f>
        <v>0</v>
      </c>
      <c r="AO116" s="89">
        <f>V116*$M116</f>
        <v>0</v>
      </c>
      <c r="AP116" s="90">
        <f>V116*$N116</f>
        <v>0</v>
      </c>
      <c r="AQ116" s="89">
        <f>W116*$M116</f>
        <v>0</v>
      </c>
      <c r="AR116" s="90">
        <f>W116*$N116</f>
        <v>0</v>
      </c>
      <c r="AS116" s="89">
        <f>X116*$M116</f>
        <v>0</v>
      </c>
      <c r="AT116" s="90">
        <f>X116*$N116</f>
        <v>0</v>
      </c>
      <c r="AU116" s="89">
        <f>Y116*$M116</f>
        <v>0</v>
      </c>
      <c r="AV116" s="90">
        <f>Y116*$N116</f>
        <v>0</v>
      </c>
      <c r="AW116" s="89">
        <f>Z116*$M116</f>
        <v>0</v>
      </c>
      <c r="AX116" s="90">
        <f>Z116*$N116</f>
        <v>0</v>
      </c>
    </row>
    <row r="117" spans="1:50" outlineLevel="1">
      <c r="A117" s="58" t="s">
        <v>593</v>
      </c>
      <c r="B117" s="59" t="s">
        <v>594</v>
      </c>
      <c r="C117" s="60" t="s">
        <v>595</v>
      </c>
      <c r="D117" s="61" t="s">
        <v>579</v>
      </c>
      <c r="E117" s="62" t="s">
        <v>522</v>
      </c>
      <c r="F117" s="59" t="s">
        <v>62</v>
      </c>
      <c r="G117" s="63">
        <f>IFERROR(INDEX('Benchmark Data'!$AC$7:$AC$130,MATCH($A117,'Benchmark Data'!$A$7:$A$130,0)),0)</f>
        <v>3.7777777777777771E-2</v>
      </c>
      <c r="H117" s="64">
        <f>IFERROR(INDEX('Benchmark Data'!$AD$7:$AD$130,MATCH($A117,'Benchmark Data'!$A$7:$A$130,0)),0)</f>
        <v>1500.0000000000002</v>
      </c>
      <c r="I117" s="65">
        <f t="shared" si="13"/>
        <v>56.666666666666664</v>
      </c>
      <c r="J117" s="66">
        <f>$E$13</f>
        <v>0</v>
      </c>
      <c r="K117" s="29">
        <f>IFERROR(INDEX('Benchmark Data'!$AE$7:$AE$130,MATCH($A117,'Benchmark Data'!$A$7:$A$130,0)),0)</f>
        <v>1</v>
      </c>
      <c r="L117" s="67">
        <f t="shared" si="14"/>
        <v>0</v>
      </c>
      <c r="M117" s="68">
        <f t="shared" si="15"/>
        <v>0</v>
      </c>
      <c r="N117" s="69">
        <f t="shared" si="16"/>
        <v>0</v>
      </c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70"/>
      <c r="AX117" s="70"/>
    </row>
    <row r="118" spans="1:50" outlineLevel="1">
      <c r="A118" s="71" t="s">
        <v>593</v>
      </c>
      <c r="B118" s="72" t="s">
        <v>594</v>
      </c>
      <c r="C118" s="73" t="s">
        <v>595</v>
      </c>
      <c r="D118" s="71" t="s">
        <v>579</v>
      </c>
      <c r="E118" s="74" t="s">
        <v>522</v>
      </c>
      <c r="F118" s="17" t="s">
        <v>63</v>
      </c>
      <c r="G118" s="75">
        <f>G117</f>
        <v>3.7777777777777771E-2</v>
      </c>
      <c r="H118" s="76">
        <f>H117*(1+Settings!$C$8)</f>
        <v>1875.0000000000002</v>
      </c>
      <c r="I118" s="76">
        <f t="shared" si="13"/>
        <v>70.833333333333329</v>
      </c>
      <c r="J118" s="77">
        <f>J117</f>
        <v>0</v>
      </c>
      <c r="K118" s="51">
        <f>K117</f>
        <v>1</v>
      </c>
      <c r="L118" s="52">
        <f t="shared" si="14"/>
        <v>0</v>
      </c>
      <c r="M118" s="51">
        <f t="shared" si="15"/>
        <v>0</v>
      </c>
      <c r="N118" s="78">
        <f t="shared" si="16"/>
        <v>0</v>
      </c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  <c r="AG118" s="79"/>
      <c r="AH118" s="79"/>
      <c r="AI118" s="79"/>
      <c r="AJ118" s="79"/>
      <c r="AK118" s="79"/>
      <c r="AL118" s="79"/>
      <c r="AM118" s="79"/>
      <c r="AN118" s="79"/>
      <c r="AO118" s="79"/>
      <c r="AP118" s="79"/>
      <c r="AQ118" s="79"/>
      <c r="AR118" s="79"/>
      <c r="AS118" s="79"/>
      <c r="AT118" s="79"/>
      <c r="AU118" s="79"/>
      <c r="AV118" s="79"/>
      <c r="AW118" s="79"/>
      <c r="AX118" s="79"/>
    </row>
    <row r="119" spans="1:50" outlineLevel="1">
      <c r="A119" s="71" t="s">
        <v>593</v>
      </c>
      <c r="B119" s="72" t="s">
        <v>594</v>
      </c>
      <c r="C119" s="73" t="s">
        <v>595</v>
      </c>
      <c r="D119" s="71" t="s">
        <v>579</v>
      </c>
      <c r="E119" s="74" t="s">
        <v>522</v>
      </c>
      <c r="F119" s="17" t="s">
        <v>64</v>
      </c>
      <c r="G119" s="75">
        <f>G117</f>
        <v>3.7777777777777771E-2</v>
      </c>
      <c r="H119" s="76">
        <f>H117*(1+Settings!$C$9)</f>
        <v>2250.0000000000005</v>
      </c>
      <c r="I119" s="76">
        <f t="shared" si="13"/>
        <v>85</v>
      </c>
      <c r="J119" s="77">
        <f>J117</f>
        <v>0</v>
      </c>
      <c r="K119" s="51">
        <f>K117</f>
        <v>1</v>
      </c>
      <c r="L119" s="52">
        <f t="shared" si="14"/>
        <v>0</v>
      </c>
      <c r="M119" s="51">
        <f t="shared" si="15"/>
        <v>0</v>
      </c>
      <c r="N119" s="78">
        <f t="shared" si="16"/>
        <v>0</v>
      </c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  <c r="AG119" s="79"/>
      <c r="AH119" s="79"/>
      <c r="AI119" s="79"/>
      <c r="AJ119" s="79"/>
      <c r="AK119" s="79"/>
      <c r="AL119" s="79"/>
      <c r="AM119" s="79"/>
      <c r="AN119" s="79"/>
      <c r="AO119" s="79"/>
      <c r="AP119" s="79"/>
      <c r="AQ119" s="79"/>
      <c r="AR119" s="79"/>
      <c r="AS119" s="79"/>
      <c r="AT119" s="79"/>
      <c r="AU119" s="79"/>
      <c r="AV119" s="79"/>
      <c r="AW119" s="79"/>
      <c r="AX119" s="79"/>
    </row>
    <row r="120" spans="1:50" outlineLevel="1">
      <c r="A120" s="71" t="s">
        <v>593</v>
      </c>
      <c r="B120" s="72" t="s">
        <v>594</v>
      </c>
      <c r="C120" s="73" t="s">
        <v>595</v>
      </c>
      <c r="D120" s="71" t="s">
        <v>579</v>
      </c>
      <c r="E120" s="74" t="s">
        <v>522</v>
      </c>
      <c r="F120" s="17" t="s">
        <v>65</v>
      </c>
      <c r="G120" s="80">
        <f>G117</f>
        <v>3.7777777777777771E-2</v>
      </c>
      <c r="H120" s="81">
        <f>H117</f>
        <v>1500.0000000000002</v>
      </c>
      <c r="I120" s="76">
        <f t="shared" si="13"/>
        <v>56.666666666666664</v>
      </c>
      <c r="J120" s="77">
        <f>J117</f>
        <v>0</v>
      </c>
      <c r="K120" s="82">
        <f>K117</f>
        <v>1</v>
      </c>
      <c r="L120" s="52">
        <f t="shared" si="14"/>
        <v>0</v>
      </c>
      <c r="M120" s="51">
        <f t="shared" si="15"/>
        <v>0</v>
      </c>
      <c r="N120" s="78">
        <f t="shared" si="16"/>
        <v>0</v>
      </c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  <c r="AG120" s="79"/>
      <c r="AH120" s="79"/>
      <c r="AI120" s="79"/>
      <c r="AJ120" s="79"/>
      <c r="AK120" s="79"/>
      <c r="AL120" s="79"/>
      <c r="AM120" s="79"/>
      <c r="AN120" s="79"/>
      <c r="AO120" s="79"/>
      <c r="AP120" s="79"/>
      <c r="AQ120" s="79"/>
      <c r="AR120" s="79"/>
      <c r="AS120" s="79"/>
      <c r="AT120" s="79"/>
      <c r="AU120" s="79"/>
      <c r="AV120" s="79"/>
      <c r="AW120" s="79"/>
      <c r="AX120" s="79"/>
    </row>
    <row r="121" spans="1:50">
      <c r="A121" s="83" t="s">
        <v>593</v>
      </c>
      <c r="B121" s="16" t="s">
        <v>594</v>
      </c>
      <c r="C121" s="84" t="s">
        <v>595</v>
      </c>
      <c r="D121" s="85" t="s">
        <v>579</v>
      </c>
      <c r="E121" s="86" t="s">
        <v>522</v>
      </c>
      <c r="F121" s="16" t="s">
        <v>179</v>
      </c>
      <c r="G121" s="87">
        <f>CHOOSE(IF(OR($C$3="Expert input",$I$117=0),4,IF($C$3="+25%",2,IF($C$3="+50%",3,1))),G117,G118,G119,G120)</f>
        <v>3.7777777777777771E-2</v>
      </c>
      <c r="H121" s="88">
        <f>CHOOSE(IF(OR($C$3="Expert input",$I$117=0),4,IF($C$3="+25%",2,IF($C$3="+50%",3,1))),H117,H118,H119,H120)</f>
        <v>1500.0000000000002</v>
      </c>
      <c r="I121" s="88">
        <f t="shared" si="13"/>
        <v>56.666666666666664</v>
      </c>
      <c r="J121" s="54">
        <f>J117</f>
        <v>0</v>
      </c>
      <c r="K121" s="53">
        <f>CHOOSE(IF(OR($C$3="Expert input",$I$117=0),4,IF($C$3="+25%",2,IF($C$3="+50%",3,1))),K117,K118,K119,K120)</f>
        <v>1</v>
      </c>
      <c r="L121" s="54">
        <f t="shared" si="14"/>
        <v>0</v>
      </c>
      <c r="M121" s="53">
        <f t="shared" si="15"/>
        <v>0</v>
      </c>
      <c r="N121" s="54">
        <f t="shared" si="16"/>
        <v>0</v>
      </c>
      <c r="O121" s="43"/>
      <c r="P121" s="43"/>
      <c r="Q121" s="43"/>
      <c r="R121" s="43">
        <v>1</v>
      </c>
      <c r="S121" s="43"/>
      <c r="T121" s="43"/>
      <c r="U121" s="43"/>
      <c r="V121" s="43"/>
      <c r="W121" s="43"/>
      <c r="X121" s="43"/>
      <c r="Y121" s="43"/>
      <c r="Z121" s="43"/>
      <c r="AA121" s="89">
        <f>O121*$M121</f>
        <v>0</v>
      </c>
      <c r="AB121" s="90">
        <f>O121*$N121</f>
        <v>0</v>
      </c>
      <c r="AC121" s="89">
        <f>P121*$M121</f>
        <v>0</v>
      </c>
      <c r="AD121" s="90">
        <f>P121*$N121</f>
        <v>0</v>
      </c>
      <c r="AE121" s="89">
        <f>Q121*$M121</f>
        <v>0</v>
      </c>
      <c r="AF121" s="90">
        <f>Q121*$N121</f>
        <v>0</v>
      </c>
      <c r="AG121" s="89">
        <f>R121*$M121</f>
        <v>0</v>
      </c>
      <c r="AH121" s="90">
        <f>R121*$N121</f>
        <v>0</v>
      </c>
      <c r="AI121" s="89">
        <f>S121*$M121</f>
        <v>0</v>
      </c>
      <c r="AJ121" s="90">
        <f>S121*$N121</f>
        <v>0</v>
      </c>
      <c r="AK121" s="89">
        <f>T121*$M121</f>
        <v>0</v>
      </c>
      <c r="AL121" s="90">
        <f>T121*$N121</f>
        <v>0</v>
      </c>
      <c r="AM121" s="89">
        <f>U121*$M121</f>
        <v>0</v>
      </c>
      <c r="AN121" s="90">
        <f>U121*$N121</f>
        <v>0</v>
      </c>
      <c r="AO121" s="89">
        <f>V121*$M121</f>
        <v>0</v>
      </c>
      <c r="AP121" s="90">
        <f>V121*$N121</f>
        <v>0</v>
      </c>
      <c r="AQ121" s="89">
        <f>W121*$M121</f>
        <v>0</v>
      </c>
      <c r="AR121" s="90">
        <f>W121*$N121</f>
        <v>0</v>
      </c>
      <c r="AS121" s="89">
        <f>X121*$M121</f>
        <v>0</v>
      </c>
      <c r="AT121" s="90">
        <f>X121*$N121</f>
        <v>0</v>
      </c>
      <c r="AU121" s="89">
        <f>Y121*$M121</f>
        <v>0</v>
      </c>
      <c r="AV121" s="90">
        <f>Y121*$N121</f>
        <v>0</v>
      </c>
      <c r="AW121" s="89">
        <f>Z121*$M121</f>
        <v>0</v>
      </c>
      <c r="AX121" s="90">
        <f>Z121*$N121</f>
        <v>0</v>
      </c>
    </row>
    <row r="122" spans="1:50" outlineLevel="1">
      <c r="A122" s="58" t="s">
        <v>596</v>
      </c>
      <c r="B122" s="59" t="s">
        <v>597</v>
      </c>
      <c r="C122" s="60" t="s">
        <v>598</v>
      </c>
      <c r="D122" s="61" t="s">
        <v>579</v>
      </c>
      <c r="E122" s="62" t="s">
        <v>522</v>
      </c>
      <c r="F122" s="59" t="s">
        <v>62</v>
      </c>
      <c r="G122" s="63">
        <f>IFERROR(INDEX('Benchmark Data'!$AC$7:$AC$130,MATCH($A122,'Benchmark Data'!$A$7:$A$130,0)),0)</f>
        <v>3.707865168539326E-2</v>
      </c>
      <c r="H122" s="64">
        <f>IFERROR(INDEX('Benchmark Data'!$AD$7:$AD$130,MATCH($A122,'Benchmark Data'!$A$7:$A$130,0)),0)</f>
        <v>21575.757575757576</v>
      </c>
      <c r="I122" s="65">
        <f t="shared" si="13"/>
        <v>800</v>
      </c>
      <c r="J122" s="91"/>
      <c r="K122" s="29">
        <f>IFERROR(INDEX('Benchmark Data'!$AE$7:$AE$130,MATCH($A122,'Benchmark Data'!$A$7:$A$130,0)),0)</f>
        <v>1</v>
      </c>
      <c r="L122" s="67">
        <f t="shared" si="14"/>
        <v>0</v>
      </c>
      <c r="M122" s="68">
        <f t="shared" si="15"/>
        <v>0</v>
      </c>
      <c r="N122" s="69">
        <f t="shared" si="16"/>
        <v>0</v>
      </c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70"/>
      <c r="AX122" s="70"/>
    </row>
    <row r="123" spans="1:50" outlineLevel="1">
      <c r="A123" s="71" t="s">
        <v>596</v>
      </c>
      <c r="B123" s="72" t="s">
        <v>597</v>
      </c>
      <c r="C123" s="73" t="s">
        <v>598</v>
      </c>
      <c r="D123" s="71" t="s">
        <v>579</v>
      </c>
      <c r="E123" s="74" t="s">
        <v>522</v>
      </c>
      <c r="F123" s="17" t="s">
        <v>63</v>
      </c>
      <c r="G123" s="75">
        <f>G122</f>
        <v>3.707865168539326E-2</v>
      </c>
      <c r="H123" s="76">
        <f>H122*(1+Settings!$C$8)</f>
        <v>26969.696969696968</v>
      </c>
      <c r="I123" s="76">
        <f t="shared" si="13"/>
        <v>1000</v>
      </c>
      <c r="J123" s="77">
        <f>J122</f>
        <v>0</v>
      </c>
      <c r="K123" s="51">
        <f>K122</f>
        <v>1</v>
      </c>
      <c r="L123" s="52">
        <f t="shared" si="14"/>
        <v>0</v>
      </c>
      <c r="M123" s="51">
        <f t="shared" si="15"/>
        <v>0</v>
      </c>
      <c r="N123" s="78">
        <f t="shared" si="16"/>
        <v>0</v>
      </c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  <c r="AG123" s="79"/>
      <c r="AH123" s="79"/>
      <c r="AI123" s="79"/>
      <c r="AJ123" s="79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79"/>
      <c r="AX123" s="79"/>
    </row>
    <row r="124" spans="1:50" outlineLevel="1">
      <c r="A124" s="71" t="s">
        <v>596</v>
      </c>
      <c r="B124" s="72" t="s">
        <v>597</v>
      </c>
      <c r="C124" s="73" t="s">
        <v>598</v>
      </c>
      <c r="D124" s="71" t="s">
        <v>579</v>
      </c>
      <c r="E124" s="74" t="s">
        <v>522</v>
      </c>
      <c r="F124" s="17" t="s">
        <v>64</v>
      </c>
      <c r="G124" s="75">
        <f>G122</f>
        <v>3.707865168539326E-2</v>
      </c>
      <c r="H124" s="76">
        <f>H122*(1+Settings!$C$9)</f>
        <v>32363.636363636364</v>
      </c>
      <c r="I124" s="76">
        <f t="shared" si="13"/>
        <v>1200</v>
      </c>
      <c r="J124" s="77">
        <f>J122</f>
        <v>0</v>
      </c>
      <c r="K124" s="51">
        <f>K122</f>
        <v>1</v>
      </c>
      <c r="L124" s="52">
        <f t="shared" si="14"/>
        <v>0</v>
      </c>
      <c r="M124" s="51">
        <f t="shared" si="15"/>
        <v>0</v>
      </c>
      <c r="N124" s="78">
        <f t="shared" si="16"/>
        <v>0</v>
      </c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/>
      <c r="AX124" s="79"/>
    </row>
    <row r="125" spans="1:50" outlineLevel="1">
      <c r="A125" s="71" t="s">
        <v>596</v>
      </c>
      <c r="B125" s="72" t="s">
        <v>597</v>
      </c>
      <c r="C125" s="73" t="s">
        <v>598</v>
      </c>
      <c r="D125" s="71" t="s">
        <v>579</v>
      </c>
      <c r="E125" s="74" t="s">
        <v>522</v>
      </c>
      <c r="F125" s="17" t="s">
        <v>65</v>
      </c>
      <c r="G125" s="80">
        <f>G122</f>
        <v>3.707865168539326E-2</v>
      </c>
      <c r="H125" s="81">
        <f>H122</f>
        <v>21575.757575757576</v>
      </c>
      <c r="I125" s="76">
        <f t="shared" si="13"/>
        <v>800</v>
      </c>
      <c r="J125" s="77">
        <f>J122</f>
        <v>0</v>
      </c>
      <c r="K125" s="82">
        <f>K122</f>
        <v>1</v>
      </c>
      <c r="L125" s="52">
        <f t="shared" si="14"/>
        <v>0</v>
      </c>
      <c r="M125" s="51">
        <f t="shared" si="15"/>
        <v>0</v>
      </c>
      <c r="N125" s="78">
        <f t="shared" si="16"/>
        <v>0</v>
      </c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  <c r="AG125" s="79"/>
      <c r="AH125" s="79"/>
      <c r="AI125" s="79"/>
      <c r="AJ125" s="79"/>
      <c r="AK125" s="79"/>
      <c r="AL125" s="79"/>
      <c r="AM125" s="79"/>
      <c r="AN125" s="79"/>
      <c r="AO125" s="79"/>
      <c r="AP125" s="79"/>
      <c r="AQ125" s="79"/>
      <c r="AR125" s="79"/>
      <c r="AS125" s="79"/>
      <c r="AT125" s="79"/>
      <c r="AU125" s="79"/>
      <c r="AV125" s="79"/>
      <c r="AW125" s="79"/>
      <c r="AX125" s="79"/>
    </row>
    <row r="126" spans="1:50">
      <c r="A126" s="83" t="s">
        <v>596</v>
      </c>
      <c r="B126" s="16" t="s">
        <v>597</v>
      </c>
      <c r="C126" s="84" t="s">
        <v>598</v>
      </c>
      <c r="D126" s="85" t="s">
        <v>579</v>
      </c>
      <c r="E126" s="86" t="s">
        <v>522</v>
      </c>
      <c r="F126" s="16" t="s">
        <v>179</v>
      </c>
      <c r="G126" s="87">
        <f>CHOOSE(IF(OR($C$3="Expert input",$I$122=0),4,IF($C$3="+25%",2,IF($C$3="+50%",3,1))),G122,G123,G124,G125)</f>
        <v>3.707865168539326E-2</v>
      </c>
      <c r="H126" s="88">
        <f>CHOOSE(IF(OR($C$3="Expert input",$I$122=0),4,IF($C$3="+25%",2,IF($C$3="+50%",3,1))),H122,H123,H124,H125)</f>
        <v>21575.757575757576</v>
      </c>
      <c r="I126" s="88">
        <f t="shared" si="13"/>
        <v>800</v>
      </c>
      <c r="J126" s="54">
        <f>J122</f>
        <v>0</v>
      </c>
      <c r="K126" s="53">
        <f>CHOOSE(IF(OR($C$3="Expert input",$I$122=0),4,IF($C$3="+25%",2,IF($C$3="+50%",3,1))),K122,K123,K124,K125)</f>
        <v>1</v>
      </c>
      <c r="L126" s="54">
        <f t="shared" si="14"/>
        <v>0</v>
      </c>
      <c r="M126" s="53">
        <f t="shared" si="15"/>
        <v>0</v>
      </c>
      <c r="N126" s="54">
        <f t="shared" si="16"/>
        <v>0</v>
      </c>
      <c r="O126" s="43"/>
      <c r="P126" s="43"/>
      <c r="Q126" s="43"/>
      <c r="R126" s="43">
        <v>0.33</v>
      </c>
      <c r="S126" s="43">
        <v>0.67</v>
      </c>
      <c r="T126" s="43"/>
      <c r="U126" s="43"/>
      <c r="V126" s="43"/>
      <c r="W126" s="43"/>
      <c r="X126" s="43"/>
      <c r="Y126" s="43"/>
      <c r="Z126" s="43"/>
      <c r="AA126" s="89">
        <f>O126*$M126</f>
        <v>0</v>
      </c>
      <c r="AB126" s="90">
        <f>O126*$N126</f>
        <v>0</v>
      </c>
      <c r="AC126" s="89">
        <f>P126*$M126</f>
        <v>0</v>
      </c>
      <c r="AD126" s="90">
        <f>P126*$N126</f>
        <v>0</v>
      </c>
      <c r="AE126" s="89">
        <f>Q126*$M126</f>
        <v>0</v>
      </c>
      <c r="AF126" s="90">
        <f>Q126*$N126</f>
        <v>0</v>
      </c>
      <c r="AG126" s="89">
        <f>R126*$M126</f>
        <v>0</v>
      </c>
      <c r="AH126" s="90">
        <f>R126*$N126</f>
        <v>0</v>
      </c>
      <c r="AI126" s="89">
        <f>S126*$M126</f>
        <v>0</v>
      </c>
      <c r="AJ126" s="90">
        <f>S126*$N126</f>
        <v>0</v>
      </c>
      <c r="AK126" s="89">
        <f>T126*$M126</f>
        <v>0</v>
      </c>
      <c r="AL126" s="90">
        <f>T126*$N126</f>
        <v>0</v>
      </c>
      <c r="AM126" s="89">
        <f>U126*$M126</f>
        <v>0</v>
      </c>
      <c r="AN126" s="90">
        <f>U126*$N126</f>
        <v>0</v>
      </c>
      <c r="AO126" s="89">
        <f>V126*$M126</f>
        <v>0</v>
      </c>
      <c r="AP126" s="90">
        <f>V126*$N126</f>
        <v>0</v>
      </c>
      <c r="AQ126" s="89">
        <f>W126*$M126</f>
        <v>0</v>
      </c>
      <c r="AR126" s="90">
        <f>W126*$N126</f>
        <v>0</v>
      </c>
      <c r="AS126" s="89">
        <f>X126*$M126</f>
        <v>0</v>
      </c>
      <c r="AT126" s="90">
        <f>X126*$N126</f>
        <v>0</v>
      </c>
      <c r="AU126" s="89">
        <f>Y126*$M126</f>
        <v>0</v>
      </c>
      <c r="AV126" s="90">
        <f>Y126*$N126</f>
        <v>0</v>
      </c>
      <c r="AW126" s="89">
        <f>Z126*$M126</f>
        <v>0</v>
      </c>
      <c r="AX126" s="90">
        <f>Z126*$N126</f>
        <v>0</v>
      </c>
    </row>
    <row r="127" spans="1:50" outlineLevel="1">
      <c r="A127" s="58" t="s">
        <v>599</v>
      </c>
      <c r="B127" s="59" t="s">
        <v>600</v>
      </c>
      <c r="C127" s="60" t="s">
        <v>601</v>
      </c>
      <c r="D127" s="61" t="s">
        <v>579</v>
      </c>
      <c r="E127" s="62" t="s">
        <v>522</v>
      </c>
      <c r="F127" s="59" t="s">
        <v>62</v>
      </c>
      <c r="G127" s="63">
        <f>IFERROR(INDEX('Benchmark Data'!$AC$7:$AC$130,MATCH($A127,'Benchmark Data'!$A$7:$A$130,0)),0)</f>
        <v>0.10000000000000002</v>
      </c>
      <c r="H127" s="64">
        <f>IFERROR(INDEX('Benchmark Data'!$AD$7:$AD$130,MATCH($A127,'Benchmark Data'!$A$7:$A$130,0)),0)</f>
        <v>999.99999999999977</v>
      </c>
      <c r="I127" s="65">
        <f t="shared" si="13"/>
        <v>100</v>
      </c>
      <c r="J127" s="91"/>
      <c r="K127" s="29">
        <f>IFERROR(INDEX('Benchmark Data'!$AE$7:$AE$130,MATCH($A127,'Benchmark Data'!$A$7:$A$130,0)),0)</f>
        <v>1</v>
      </c>
      <c r="L127" s="67">
        <f t="shared" si="14"/>
        <v>0</v>
      </c>
      <c r="M127" s="68">
        <f t="shared" si="15"/>
        <v>0</v>
      </c>
      <c r="N127" s="69">
        <f t="shared" si="16"/>
        <v>0</v>
      </c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70"/>
      <c r="AX127" s="70"/>
    </row>
    <row r="128" spans="1:50" outlineLevel="1">
      <c r="A128" s="71" t="s">
        <v>599</v>
      </c>
      <c r="B128" s="72" t="s">
        <v>600</v>
      </c>
      <c r="C128" s="73" t="s">
        <v>601</v>
      </c>
      <c r="D128" s="71" t="s">
        <v>579</v>
      </c>
      <c r="E128" s="74" t="s">
        <v>522</v>
      </c>
      <c r="F128" s="17" t="s">
        <v>63</v>
      </c>
      <c r="G128" s="75">
        <f>G127</f>
        <v>0.10000000000000002</v>
      </c>
      <c r="H128" s="76">
        <f>H127*(1+Settings!$C$8)</f>
        <v>1249.9999999999998</v>
      </c>
      <c r="I128" s="76">
        <f t="shared" si="13"/>
        <v>125</v>
      </c>
      <c r="J128" s="77">
        <f>J127</f>
        <v>0</v>
      </c>
      <c r="K128" s="51">
        <f>K127</f>
        <v>1</v>
      </c>
      <c r="L128" s="52">
        <f t="shared" si="14"/>
        <v>0</v>
      </c>
      <c r="M128" s="51">
        <f t="shared" si="15"/>
        <v>0</v>
      </c>
      <c r="N128" s="78">
        <f t="shared" si="16"/>
        <v>0</v>
      </c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  <c r="AG128" s="79"/>
      <c r="AH128" s="79"/>
      <c r="AI128" s="79"/>
      <c r="AJ128" s="79"/>
      <c r="AK128" s="79"/>
      <c r="AL128" s="79"/>
      <c r="AM128" s="79"/>
      <c r="AN128" s="79"/>
      <c r="AO128" s="79"/>
      <c r="AP128" s="79"/>
      <c r="AQ128" s="79"/>
      <c r="AR128" s="79"/>
      <c r="AS128" s="79"/>
      <c r="AT128" s="79"/>
      <c r="AU128" s="79"/>
      <c r="AV128" s="79"/>
      <c r="AW128" s="79"/>
      <c r="AX128" s="79"/>
    </row>
    <row r="129" spans="1:50" outlineLevel="1">
      <c r="A129" s="71" t="s">
        <v>599</v>
      </c>
      <c r="B129" s="72" t="s">
        <v>600</v>
      </c>
      <c r="C129" s="73" t="s">
        <v>601</v>
      </c>
      <c r="D129" s="71" t="s">
        <v>579</v>
      </c>
      <c r="E129" s="74" t="s">
        <v>522</v>
      </c>
      <c r="F129" s="17" t="s">
        <v>64</v>
      </c>
      <c r="G129" s="75">
        <f>G127</f>
        <v>0.10000000000000002</v>
      </c>
      <c r="H129" s="76">
        <f>H127*(1+Settings!$C$9)</f>
        <v>1499.9999999999995</v>
      </c>
      <c r="I129" s="76">
        <f t="shared" si="13"/>
        <v>149.99999999999997</v>
      </c>
      <c r="J129" s="77">
        <f>J127</f>
        <v>0</v>
      </c>
      <c r="K129" s="51">
        <f>K127</f>
        <v>1</v>
      </c>
      <c r="L129" s="52">
        <f t="shared" si="14"/>
        <v>0</v>
      </c>
      <c r="M129" s="51">
        <f t="shared" si="15"/>
        <v>0</v>
      </c>
      <c r="N129" s="78">
        <f t="shared" si="16"/>
        <v>0</v>
      </c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  <c r="AG129" s="79"/>
      <c r="AH129" s="79"/>
      <c r="AI129" s="79"/>
      <c r="AJ129" s="79"/>
      <c r="AK129" s="79"/>
      <c r="AL129" s="79"/>
      <c r="AM129" s="79"/>
      <c r="AN129" s="79"/>
      <c r="AO129" s="79"/>
      <c r="AP129" s="79"/>
      <c r="AQ129" s="79"/>
      <c r="AR129" s="79"/>
      <c r="AS129" s="79"/>
      <c r="AT129" s="79"/>
      <c r="AU129" s="79"/>
      <c r="AV129" s="79"/>
      <c r="AW129" s="79"/>
      <c r="AX129" s="79"/>
    </row>
    <row r="130" spans="1:50" outlineLevel="1">
      <c r="A130" s="71" t="s">
        <v>599</v>
      </c>
      <c r="B130" s="72" t="s">
        <v>600</v>
      </c>
      <c r="C130" s="73" t="s">
        <v>601</v>
      </c>
      <c r="D130" s="71" t="s">
        <v>579</v>
      </c>
      <c r="E130" s="74" t="s">
        <v>522</v>
      </c>
      <c r="F130" s="17" t="s">
        <v>65</v>
      </c>
      <c r="G130" s="80">
        <f>G127</f>
        <v>0.10000000000000002</v>
      </c>
      <c r="H130" s="81">
        <f>H127</f>
        <v>999.99999999999977</v>
      </c>
      <c r="I130" s="76">
        <f t="shared" si="13"/>
        <v>100</v>
      </c>
      <c r="J130" s="77">
        <f>J127</f>
        <v>0</v>
      </c>
      <c r="K130" s="82">
        <f>K127</f>
        <v>1</v>
      </c>
      <c r="L130" s="52">
        <f t="shared" si="14"/>
        <v>0</v>
      </c>
      <c r="M130" s="51">
        <f t="shared" si="15"/>
        <v>0</v>
      </c>
      <c r="N130" s="78">
        <f t="shared" si="16"/>
        <v>0</v>
      </c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  <c r="AG130" s="79"/>
      <c r="AH130" s="79"/>
      <c r="AI130" s="79"/>
      <c r="AJ130" s="79"/>
      <c r="AK130" s="79"/>
      <c r="AL130" s="79"/>
      <c r="AM130" s="79"/>
      <c r="AN130" s="79"/>
      <c r="AO130" s="79"/>
      <c r="AP130" s="79"/>
      <c r="AQ130" s="79"/>
      <c r="AR130" s="79"/>
      <c r="AS130" s="79"/>
      <c r="AT130" s="79"/>
      <c r="AU130" s="79"/>
      <c r="AV130" s="79"/>
      <c r="AW130" s="79"/>
      <c r="AX130" s="79"/>
    </row>
    <row r="131" spans="1:50">
      <c r="A131" s="83" t="s">
        <v>599</v>
      </c>
      <c r="B131" s="16" t="s">
        <v>600</v>
      </c>
      <c r="C131" s="84" t="s">
        <v>601</v>
      </c>
      <c r="D131" s="85" t="s">
        <v>579</v>
      </c>
      <c r="E131" s="86" t="s">
        <v>522</v>
      </c>
      <c r="F131" s="16" t="s">
        <v>179</v>
      </c>
      <c r="G131" s="87">
        <f>CHOOSE(IF(OR($C$3="Expert input",$I$127=0),4,IF($C$3="+25%",2,IF($C$3="+50%",3,1))),G127,G128,G129,G130)</f>
        <v>0.10000000000000002</v>
      </c>
      <c r="H131" s="88">
        <f>CHOOSE(IF(OR($C$3="Expert input",$I$127=0),4,IF($C$3="+25%",2,IF($C$3="+50%",3,1))),H127,H128,H129,H130)</f>
        <v>999.99999999999977</v>
      </c>
      <c r="I131" s="88">
        <f t="shared" si="13"/>
        <v>100</v>
      </c>
      <c r="J131" s="54">
        <f>J127</f>
        <v>0</v>
      </c>
      <c r="K131" s="53">
        <f>CHOOSE(IF(OR($C$3="Expert input",$I$127=0),4,IF($C$3="+25%",2,IF($C$3="+50%",3,1))),K127,K128,K129,K130)</f>
        <v>1</v>
      </c>
      <c r="L131" s="54">
        <f t="shared" si="14"/>
        <v>0</v>
      </c>
      <c r="M131" s="53">
        <f t="shared" si="15"/>
        <v>0</v>
      </c>
      <c r="N131" s="54">
        <f t="shared" si="16"/>
        <v>0</v>
      </c>
      <c r="O131" s="43"/>
      <c r="P131" s="43"/>
      <c r="Q131" s="43"/>
      <c r="R131" s="43">
        <v>0.33</v>
      </c>
      <c r="S131" s="43">
        <v>0.67</v>
      </c>
      <c r="T131" s="43"/>
      <c r="U131" s="43"/>
      <c r="V131" s="43"/>
      <c r="W131" s="43"/>
      <c r="X131" s="43"/>
      <c r="Y131" s="43"/>
      <c r="Z131" s="43"/>
      <c r="AA131" s="89">
        <f>O131*$M131</f>
        <v>0</v>
      </c>
      <c r="AB131" s="90">
        <f>O131*$N131</f>
        <v>0</v>
      </c>
      <c r="AC131" s="89">
        <f>P131*$M131</f>
        <v>0</v>
      </c>
      <c r="AD131" s="90">
        <f>P131*$N131</f>
        <v>0</v>
      </c>
      <c r="AE131" s="89">
        <f>Q131*$M131</f>
        <v>0</v>
      </c>
      <c r="AF131" s="90">
        <f>Q131*$N131</f>
        <v>0</v>
      </c>
      <c r="AG131" s="89">
        <f>R131*$M131</f>
        <v>0</v>
      </c>
      <c r="AH131" s="90">
        <f>R131*$N131</f>
        <v>0</v>
      </c>
      <c r="AI131" s="89">
        <f>S131*$M131</f>
        <v>0</v>
      </c>
      <c r="AJ131" s="90">
        <f>S131*$N131</f>
        <v>0</v>
      </c>
      <c r="AK131" s="89">
        <f>T131*$M131</f>
        <v>0</v>
      </c>
      <c r="AL131" s="90">
        <f>T131*$N131</f>
        <v>0</v>
      </c>
      <c r="AM131" s="89">
        <f>U131*$M131</f>
        <v>0</v>
      </c>
      <c r="AN131" s="90">
        <f>U131*$N131</f>
        <v>0</v>
      </c>
      <c r="AO131" s="89">
        <f>V131*$M131</f>
        <v>0</v>
      </c>
      <c r="AP131" s="90">
        <f>V131*$N131</f>
        <v>0</v>
      </c>
      <c r="AQ131" s="89">
        <f>W131*$M131</f>
        <v>0</v>
      </c>
      <c r="AR131" s="90">
        <f>W131*$N131</f>
        <v>0</v>
      </c>
      <c r="AS131" s="89">
        <f>X131*$M131</f>
        <v>0</v>
      </c>
      <c r="AT131" s="90">
        <f>X131*$N131</f>
        <v>0</v>
      </c>
      <c r="AU131" s="89">
        <f>Y131*$M131</f>
        <v>0</v>
      </c>
      <c r="AV131" s="90">
        <f>Y131*$N131</f>
        <v>0</v>
      </c>
      <c r="AW131" s="89">
        <f>Z131*$M131</f>
        <v>0</v>
      </c>
      <c r="AX131" s="90">
        <f>Z131*$N131</f>
        <v>0</v>
      </c>
    </row>
    <row r="132" spans="1:50" outlineLevel="1">
      <c r="A132" s="58" t="s">
        <v>602</v>
      </c>
      <c r="B132" s="59" t="s">
        <v>603</v>
      </c>
      <c r="C132" s="60" t="s">
        <v>604</v>
      </c>
      <c r="D132" s="61" t="s">
        <v>579</v>
      </c>
      <c r="E132" s="62" t="s">
        <v>522</v>
      </c>
      <c r="F132" s="59" t="s">
        <v>62</v>
      </c>
      <c r="G132" s="63">
        <f>IFERROR(INDEX('Benchmark Data'!$AC$7:$AC$130,MATCH($A132,'Benchmark Data'!$A$7:$A$130,0)),0)</f>
        <v>0.10000000000000002</v>
      </c>
      <c r="H132" s="64">
        <f>IFERROR(INDEX('Benchmark Data'!$AD$7:$AD$130,MATCH($A132,'Benchmark Data'!$A$7:$A$130,0)),0)</f>
        <v>599.99999999999989</v>
      </c>
      <c r="I132" s="65">
        <f t="shared" si="13"/>
        <v>60</v>
      </c>
      <c r="J132" s="91"/>
      <c r="K132" s="29">
        <f>IFERROR(INDEX('Benchmark Data'!$AE$7:$AE$130,MATCH($A132,'Benchmark Data'!$A$7:$A$130,0)),0)</f>
        <v>1</v>
      </c>
      <c r="L132" s="67">
        <f t="shared" si="14"/>
        <v>0</v>
      </c>
      <c r="M132" s="68">
        <f t="shared" si="15"/>
        <v>0</v>
      </c>
      <c r="N132" s="69">
        <f t="shared" si="16"/>
        <v>0</v>
      </c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  <c r="AX132" s="70"/>
    </row>
    <row r="133" spans="1:50" outlineLevel="1">
      <c r="A133" s="71" t="s">
        <v>602</v>
      </c>
      <c r="B133" s="72" t="s">
        <v>603</v>
      </c>
      <c r="C133" s="73" t="s">
        <v>604</v>
      </c>
      <c r="D133" s="71" t="s">
        <v>579</v>
      </c>
      <c r="E133" s="74" t="s">
        <v>522</v>
      </c>
      <c r="F133" s="17" t="s">
        <v>63</v>
      </c>
      <c r="G133" s="75">
        <f>G132</f>
        <v>0.10000000000000002</v>
      </c>
      <c r="H133" s="76">
        <f>H132*(1+Settings!$C$8)</f>
        <v>749.99999999999989</v>
      </c>
      <c r="I133" s="76">
        <f t="shared" si="13"/>
        <v>75</v>
      </c>
      <c r="J133" s="77">
        <f>J132</f>
        <v>0</v>
      </c>
      <c r="K133" s="51">
        <f>K132</f>
        <v>1</v>
      </c>
      <c r="L133" s="52">
        <f t="shared" si="14"/>
        <v>0</v>
      </c>
      <c r="M133" s="51">
        <f t="shared" si="15"/>
        <v>0</v>
      </c>
      <c r="N133" s="78">
        <f t="shared" si="16"/>
        <v>0</v>
      </c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  <c r="AG133" s="79"/>
      <c r="AH133" s="79"/>
      <c r="AI133" s="79"/>
      <c r="AJ133" s="79"/>
      <c r="AK133" s="79"/>
      <c r="AL133" s="79"/>
      <c r="AM133" s="79"/>
      <c r="AN133" s="79"/>
      <c r="AO133" s="79"/>
      <c r="AP133" s="79"/>
      <c r="AQ133" s="79"/>
      <c r="AR133" s="79"/>
      <c r="AS133" s="79"/>
      <c r="AT133" s="79"/>
      <c r="AU133" s="79"/>
      <c r="AV133" s="79"/>
      <c r="AW133" s="79"/>
      <c r="AX133" s="79"/>
    </row>
    <row r="134" spans="1:50" outlineLevel="1">
      <c r="A134" s="71" t="s">
        <v>602</v>
      </c>
      <c r="B134" s="72" t="s">
        <v>603</v>
      </c>
      <c r="C134" s="73" t="s">
        <v>604</v>
      </c>
      <c r="D134" s="71" t="s">
        <v>579</v>
      </c>
      <c r="E134" s="74" t="s">
        <v>522</v>
      </c>
      <c r="F134" s="17" t="s">
        <v>64</v>
      </c>
      <c r="G134" s="75">
        <f>G132</f>
        <v>0.10000000000000002</v>
      </c>
      <c r="H134" s="76">
        <f>H132*(1+Settings!$C$9)</f>
        <v>899.99999999999977</v>
      </c>
      <c r="I134" s="76">
        <f t="shared" si="13"/>
        <v>90</v>
      </c>
      <c r="J134" s="77">
        <f>J132</f>
        <v>0</v>
      </c>
      <c r="K134" s="51">
        <f>K132</f>
        <v>1</v>
      </c>
      <c r="L134" s="52">
        <f t="shared" si="14"/>
        <v>0</v>
      </c>
      <c r="M134" s="51">
        <f t="shared" si="15"/>
        <v>0</v>
      </c>
      <c r="N134" s="78">
        <f t="shared" si="16"/>
        <v>0</v>
      </c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  <c r="AG134" s="79"/>
      <c r="AH134" s="79"/>
      <c r="AI134" s="79"/>
      <c r="AJ134" s="79"/>
      <c r="AK134" s="79"/>
      <c r="AL134" s="79"/>
      <c r="AM134" s="79"/>
      <c r="AN134" s="79"/>
      <c r="AO134" s="79"/>
      <c r="AP134" s="79"/>
      <c r="AQ134" s="79"/>
      <c r="AR134" s="79"/>
      <c r="AS134" s="79"/>
      <c r="AT134" s="79"/>
      <c r="AU134" s="79"/>
      <c r="AV134" s="79"/>
      <c r="AW134" s="79"/>
      <c r="AX134" s="79"/>
    </row>
    <row r="135" spans="1:50" outlineLevel="1">
      <c r="A135" s="71" t="s">
        <v>602</v>
      </c>
      <c r="B135" s="72" t="s">
        <v>603</v>
      </c>
      <c r="C135" s="73" t="s">
        <v>604</v>
      </c>
      <c r="D135" s="71" t="s">
        <v>579</v>
      </c>
      <c r="E135" s="74" t="s">
        <v>522</v>
      </c>
      <c r="F135" s="17" t="s">
        <v>65</v>
      </c>
      <c r="G135" s="80">
        <f>G132</f>
        <v>0.10000000000000002</v>
      </c>
      <c r="H135" s="81">
        <f>H132</f>
        <v>599.99999999999989</v>
      </c>
      <c r="I135" s="76">
        <f t="shared" si="13"/>
        <v>60</v>
      </c>
      <c r="J135" s="77">
        <f>J132</f>
        <v>0</v>
      </c>
      <c r="K135" s="82">
        <f>K132</f>
        <v>1</v>
      </c>
      <c r="L135" s="52">
        <f t="shared" si="14"/>
        <v>0</v>
      </c>
      <c r="M135" s="51">
        <f t="shared" si="15"/>
        <v>0</v>
      </c>
      <c r="N135" s="78">
        <f t="shared" si="16"/>
        <v>0</v>
      </c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  <c r="AG135" s="79"/>
      <c r="AH135" s="79"/>
      <c r="AI135" s="79"/>
      <c r="AJ135" s="79"/>
      <c r="AK135" s="79"/>
      <c r="AL135" s="79"/>
      <c r="AM135" s="79"/>
      <c r="AN135" s="79"/>
      <c r="AO135" s="79"/>
      <c r="AP135" s="79"/>
      <c r="AQ135" s="79"/>
      <c r="AR135" s="79"/>
      <c r="AS135" s="79"/>
      <c r="AT135" s="79"/>
      <c r="AU135" s="79"/>
      <c r="AV135" s="79"/>
      <c r="AW135" s="79"/>
      <c r="AX135" s="79"/>
    </row>
    <row r="136" spans="1:50">
      <c r="A136" s="83" t="s">
        <v>602</v>
      </c>
      <c r="B136" s="16" t="s">
        <v>603</v>
      </c>
      <c r="C136" s="84" t="s">
        <v>604</v>
      </c>
      <c r="D136" s="85" t="s">
        <v>579</v>
      </c>
      <c r="E136" s="86" t="s">
        <v>522</v>
      </c>
      <c r="F136" s="16" t="s">
        <v>179</v>
      </c>
      <c r="G136" s="87">
        <f>CHOOSE(IF(OR($C$3="Expert input",$I$132=0),4,IF($C$3="+25%",2,IF($C$3="+50%",3,1))),G132,G133,G134,G135)</f>
        <v>0.10000000000000002</v>
      </c>
      <c r="H136" s="88">
        <f>CHOOSE(IF(OR($C$3="Expert input",$I$132=0),4,IF($C$3="+25%",2,IF($C$3="+50%",3,1))),H132,H133,H134,H135)</f>
        <v>599.99999999999989</v>
      </c>
      <c r="I136" s="88">
        <f t="shared" si="13"/>
        <v>60</v>
      </c>
      <c r="J136" s="54">
        <f>J132</f>
        <v>0</v>
      </c>
      <c r="K136" s="53">
        <f>CHOOSE(IF(OR($C$3="Expert input",$I$132=0),4,IF($C$3="+25%",2,IF($C$3="+50%",3,1))),K132,K133,K134,K135)</f>
        <v>1</v>
      </c>
      <c r="L136" s="54">
        <f t="shared" si="14"/>
        <v>0</v>
      </c>
      <c r="M136" s="53">
        <f t="shared" si="15"/>
        <v>0</v>
      </c>
      <c r="N136" s="54">
        <f t="shared" si="16"/>
        <v>0</v>
      </c>
      <c r="O136" s="43"/>
      <c r="P136" s="43"/>
      <c r="Q136" s="43"/>
      <c r="R136" s="43"/>
      <c r="S136" s="43"/>
      <c r="T136" s="43">
        <v>1</v>
      </c>
      <c r="U136" s="43"/>
      <c r="V136" s="43"/>
      <c r="W136" s="43"/>
      <c r="X136" s="43"/>
      <c r="Y136" s="43"/>
      <c r="Z136" s="43"/>
      <c r="AA136" s="89">
        <f>O136*$M136</f>
        <v>0</v>
      </c>
      <c r="AB136" s="90">
        <f>O136*$N136</f>
        <v>0</v>
      </c>
      <c r="AC136" s="89">
        <f>P136*$M136</f>
        <v>0</v>
      </c>
      <c r="AD136" s="90">
        <f>P136*$N136</f>
        <v>0</v>
      </c>
      <c r="AE136" s="89">
        <f>Q136*$M136</f>
        <v>0</v>
      </c>
      <c r="AF136" s="90">
        <f>Q136*$N136</f>
        <v>0</v>
      </c>
      <c r="AG136" s="89">
        <f>R136*$M136</f>
        <v>0</v>
      </c>
      <c r="AH136" s="90">
        <f>R136*$N136</f>
        <v>0</v>
      </c>
      <c r="AI136" s="89">
        <f>S136*$M136</f>
        <v>0</v>
      </c>
      <c r="AJ136" s="90">
        <f>S136*$N136</f>
        <v>0</v>
      </c>
      <c r="AK136" s="89">
        <f>T136*$M136</f>
        <v>0</v>
      </c>
      <c r="AL136" s="90">
        <f>T136*$N136</f>
        <v>0</v>
      </c>
      <c r="AM136" s="89">
        <f>U136*$M136</f>
        <v>0</v>
      </c>
      <c r="AN136" s="90">
        <f>U136*$N136</f>
        <v>0</v>
      </c>
      <c r="AO136" s="89">
        <f>V136*$M136</f>
        <v>0</v>
      </c>
      <c r="AP136" s="90">
        <f>V136*$N136</f>
        <v>0</v>
      </c>
      <c r="AQ136" s="89">
        <f>W136*$M136</f>
        <v>0</v>
      </c>
      <c r="AR136" s="90">
        <f>W136*$N136</f>
        <v>0</v>
      </c>
      <c r="AS136" s="89">
        <f>X136*$M136</f>
        <v>0</v>
      </c>
      <c r="AT136" s="90">
        <f>X136*$N136</f>
        <v>0</v>
      </c>
      <c r="AU136" s="89">
        <f>Y136*$M136</f>
        <v>0</v>
      </c>
      <c r="AV136" s="90">
        <f>Y136*$N136</f>
        <v>0</v>
      </c>
      <c r="AW136" s="89">
        <f>Z136*$M136</f>
        <v>0</v>
      </c>
      <c r="AX136" s="90">
        <f>Z136*$N136</f>
        <v>0</v>
      </c>
    </row>
    <row r="137" spans="1:50" outlineLevel="1">
      <c r="A137" s="58" t="s">
        <v>605</v>
      </c>
      <c r="B137" s="59" t="s">
        <v>606</v>
      </c>
      <c r="C137" s="60" t="s">
        <v>607</v>
      </c>
      <c r="D137" s="61" t="s">
        <v>579</v>
      </c>
      <c r="E137" s="62" t="s">
        <v>608</v>
      </c>
      <c r="F137" s="59" t="s">
        <v>62</v>
      </c>
      <c r="G137" s="63">
        <f>IFERROR(INDEX('Benchmark Data'!$AC$7:$AC$130,MATCH($A137,'Benchmark Data'!$A$7:$A$130,0)),0)</f>
        <v>9.0476190476190474E-2</v>
      </c>
      <c r="H137" s="64">
        <f>IFERROR(INDEX('Benchmark Data'!$AD$7:$AD$130,MATCH($A137,'Benchmark Data'!$A$7:$A$130,0)),0)</f>
        <v>14000.000000000002</v>
      </c>
      <c r="I137" s="65">
        <f t="shared" si="13"/>
        <v>1266.6666666666667</v>
      </c>
      <c r="J137" s="66">
        <f>$E$10</f>
        <v>0</v>
      </c>
      <c r="K137" s="29">
        <f>IFERROR(INDEX('Benchmark Data'!$AE$7:$AE$130,MATCH($A137,'Benchmark Data'!$A$7:$A$130,0)),0)</f>
        <v>1</v>
      </c>
      <c r="L137" s="67">
        <f t="shared" si="14"/>
        <v>0</v>
      </c>
      <c r="M137" s="68">
        <f t="shared" si="15"/>
        <v>0</v>
      </c>
      <c r="N137" s="69">
        <f t="shared" si="16"/>
        <v>0</v>
      </c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0"/>
      <c r="AX137" s="70"/>
    </row>
    <row r="138" spans="1:50" outlineLevel="1">
      <c r="A138" s="71" t="s">
        <v>605</v>
      </c>
      <c r="B138" s="72" t="s">
        <v>606</v>
      </c>
      <c r="C138" s="73" t="s">
        <v>609</v>
      </c>
      <c r="D138" s="71" t="s">
        <v>579</v>
      </c>
      <c r="E138" s="74" t="s">
        <v>608</v>
      </c>
      <c r="F138" s="17" t="s">
        <v>63</v>
      </c>
      <c r="G138" s="75">
        <f>G137</f>
        <v>9.0476190476190474E-2</v>
      </c>
      <c r="H138" s="76">
        <f>H137*(1+Settings!$C$8)</f>
        <v>17500.000000000004</v>
      </c>
      <c r="I138" s="76">
        <f t="shared" si="13"/>
        <v>1583.3333333333337</v>
      </c>
      <c r="J138" s="77">
        <f>J137</f>
        <v>0</v>
      </c>
      <c r="K138" s="51">
        <f>K137</f>
        <v>1</v>
      </c>
      <c r="L138" s="52">
        <f t="shared" si="14"/>
        <v>0</v>
      </c>
      <c r="M138" s="51">
        <f t="shared" si="15"/>
        <v>0</v>
      </c>
      <c r="N138" s="78">
        <f t="shared" si="16"/>
        <v>0</v>
      </c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  <c r="AG138" s="79"/>
      <c r="AH138" s="79"/>
      <c r="AI138" s="79"/>
      <c r="AJ138" s="79"/>
      <c r="AK138" s="79"/>
      <c r="AL138" s="79"/>
      <c r="AM138" s="79"/>
      <c r="AN138" s="79"/>
      <c r="AO138" s="79"/>
      <c r="AP138" s="79"/>
      <c r="AQ138" s="79"/>
      <c r="AR138" s="79"/>
      <c r="AS138" s="79"/>
      <c r="AT138" s="79"/>
      <c r="AU138" s="79"/>
      <c r="AV138" s="79"/>
      <c r="AW138" s="79"/>
      <c r="AX138" s="79"/>
    </row>
    <row r="139" spans="1:50" outlineLevel="1">
      <c r="A139" s="71" t="s">
        <v>605</v>
      </c>
      <c r="B139" s="72" t="s">
        <v>606</v>
      </c>
      <c r="C139" s="73" t="s">
        <v>609</v>
      </c>
      <c r="D139" s="71" t="s">
        <v>579</v>
      </c>
      <c r="E139" s="74" t="s">
        <v>608</v>
      </c>
      <c r="F139" s="17" t="s">
        <v>64</v>
      </c>
      <c r="G139" s="75">
        <f>G137</f>
        <v>9.0476190476190474E-2</v>
      </c>
      <c r="H139" s="76">
        <f>H137*(1+Settings!$C$9)</f>
        <v>21000.000000000004</v>
      </c>
      <c r="I139" s="76">
        <f t="shared" si="13"/>
        <v>1900.0000000000002</v>
      </c>
      <c r="J139" s="77">
        <f>J137</f>
        <v>0</v>
      </c>
      <c r="K139" s="51">
        <f>K137</f>
        <v>1</v>
      </c>
      <c r="L139" s="52">
        <f t="shared" si="14"/>
        <v>0</v>
      </c>
      <c r="M139" s="51">
        <f t="shared" si="15"/>
        <v>0</v>
      </c>
      <c r="N139" s="78">
        <f t="shared" si="16"/>
        <v>0</v>
      </c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  <c r="AG139" s="79"/>
      <c r="AH139" s="79"/>
      <c r="AI139" s="79"/>
      <c r="AJ139" s="79"/>
      <c r="AK139" s="79"/>
      <c r="AL139" s="79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</row>
    <row r="140" spans="1:50" outlineLevel="1">
      <c r="A140" s="71" t="s">
        <v>605</v>
      </c>
      <c r="B140" s="72" t="s">
        <v>606</v>
      </c>
      <c r="C140" s="73" t="s">
        <v>609</v>
      </c>
      <c r="D140" s="71" t="s">
        <v>579</v>
      </c>
      <c r="E140" s="74" t="s">
        <v>608</v>
      </c>
      <c r="F140" s="17" t="s">
        <v>65</v>
      </c>
      <c r="G140" s="80">
        <f>G137</f>
        <v>9.0476190476190474E-2</v>
      </c>
      <c r="H140" s="81">
        <f>H137</f>
        <v>14000.000000000002</v>
      </c>
      <c r="I140" s="76">
        <f t="shared" si="13"/>
        <v>1266.6666666666667</v>
      </c>
      <c r="J140" s="77">
        <f>J137</f>
        <v>0</v>
      </c>
      <c r="K140" s="82">
        <f>K137</f>
        <v>1</v>
      </c>
      <c r="L140" s="52">
        <f t="shared" si="14"/>
        <v>0</v>
      </c>
      <c r="M140" s="51">
        <f t="shared" si="15"/>
        <v>0</v>
      </c>
      <c r="N140" s="78">
        <f t="shared" si="16"/>
        <v>0</v>
      </c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  <c r="AG140" s="79"/>
      <c r="AH140" s="79"/>
      <c r="AI140" s="79"/>
      <c r="AJ140" s="79"/>
      <c r="AK140" s="79"/>
      <c r="AL140" s="79"/>
      <c r="AM140" s="79"/>
      <c r="AN140" s="79"/>
      <c r="AO140" s="79"/>
      <c r="AP140" s="79"/>
      <c r="AQ140" s="79"/>
      <c r="AR140" s="79"/>
      <c r="AS140" s="79"/>
      <c r="AT140" s="79"/>
      <c r="AU140" s="79"/>
      <c r="AV140" s="79"/>
      <c r="AW140" s="79"/>
      <c r="AX140" s="79"/>
    </row>
    <row r="141" spans="1:50">
      <c r="A141" s="83" t="s">
        <v>605</v>
      </c>
      <c r="B141" s="16" t="s">
        <v>606</v>
      </c>
      <c r="C141" s="84" t="s">
        <v>610</v>
      </c>
      <c r="D141" s="85" t="s">
        <v>579</v>
      </c>
      <c r="E141" s="86" t="s">
        <v>608</v>
      </c>
      <c r="F141" s="16" t="s">
        <v>179</v>
      </c>
      <c r="G141" s="87">
        <f>CHOOSE(IF(OR($C$3="Expert input",$I$137=0),4,IF($C$3="+25%",2,IF($C$3="+50%",3,1))),G137,G138,G139,G140)</f>
        <v>9.0476190476190474E-2</v>
      </c>
      <c r="H141" s="88">
        <f>CHOOSE(IF(OR($C$3="Expert input",$I$137=0),4,IF($C$3="+25%",2,IF($C$3="+50%",3,1))),H137,H138,H139,H140)</f>
        <v>14000.000000000002</v>
      </c>
      <c r="I141" s="88">
        <f t="shared" si="13"/>
        <v>1266.6666666666667</v>
      </c>
      <c r="J141" s="54">
        <f>J137</f>
        <v>0</v>
      </c>
      <c r="K141" s="53">
        <f>CHOOSE(IF(OR($C$3="Expert input",$I$137=0),4,IF($C$3="+25%",2,IF($C$3="+50%",3,1))),K137,K138,K139,K140)</f>
        <v>1</v>
      </c>
      <c r="L141" s="54">
        <f t="shared" si="14"/>
        <v>0</v>
      </c>
      <c r="M141" s="53">
        <f t="shared" si="15"/>
        <v>0</v>
      </c>
      <c r="N141" s="54">
        <f t="shared" si="16"/>
        <v>0</v>
      </c>
      <c r="O141" s="43"/>
      <c r="P141" s="43"/>
      <c r="Q141" s="43"/>
      <c r="R141" s="43"/>
      <c r="S141" s="43"/>
      <c r="T141" s="43">
        <v>0.67</v>
      </c>
      <c r="U141" s="43">
        <v>0.33</v>
      </c>
      <c r="V141" s="43"/>
      <c r="W141" s="43"/>
      <c r="X141" s="43"/>
      <c r="Y141" s="43"/>
      <c r="Z141" s="43"/>
      <c r="AA141" s="89">
        <f>O141*$M141</f>
        <v>0</v>
      </c>
      <c r="AB141" s="90">
        <f>O141*$N141</f>
        <v>0</v>
      </c>
      <c r="AC141" s="89">
        <f>P141*$M141</f>
        <v>0</v>
      </c>
      <c r="AD141" s="90">
        <f>P141*$N141</f>
        <v>0</v>
      </c>
      <c r="AE141" s="89">
        <f>Q141*$M141</f>
        <v>0</v>
      </c>
      <c r="AF141" s="90">
        <f>Q141*$N141</f>
        <v>0</v>
      </c>
      <c r="AG141" s="89">
        <f>R141*$M141</f>
        <v>0</v>
      </c>
      <c r="AH141" s="90">
        <f>R141*$N141</f>
        <v>0</v>
      </c>
      <c r="AI141" s="89">
        <f>S141*$M141</f>
        <v>0</v>
      </c>
      <c r="AJ141" s="90">
        <f>S141*$N141</f>
        <v>0</v>
      </c>
      <c r="AK141" s="89">
        <f>T141*$M141</f>
        <v>0</v>
      </c>
      <c r="AL141" s="90">
        <f>T141*$N141</f>
        <v>0</v>
      </c>
      <c r="AM141" s="89">
        <f>U141*$M141</f>
        <v>0</v>
      </c>
      <c r="AN141" s="90">
        <f>U141*$N141</f>
        <v>0</v>
      </c>
      <c r="AO141" s="89">
        <f>V141*$M141</f>
        <v>0</v>
      </c>
      <c r="AP141" s="90">
        <f>V141*$N141</f>
        <v>0</v>
      </c>
      <c r="AQ141" s="89">
        <f>W141*$M141</f>
        <v>0</v>
      </c>
      <c r="AR141" s="90">
        <f>W141*$N141</f>
        <v>0</v>
      </c>
      <c r="AS141" s="89">
        <f>X141*$M141</f>
        <v>0</v>
      </c>
      <c r="AT141" s="90">
        <f>X141*$N141</f>
        <v>0</v>
      </c>
      <c r="AU141" s="89">
        <f>Y141*$M141</f>
        <v>0</v>
      </c>
      <c r="AV141" s="90">
        <f>Y141*$N141</f>
        <v>0</v>
      </c>
      <c r="AW141" s="89">
        <f>Z141*$M141</f>
        <v>0</v>
      </c>
      <c r="AX141" s="90">
        <f>Z141*$N141</f>
        <v>0</v>
      </c>
    </row>
    <row r="142" spans="1:50" outlineLevel="1">
      <c r="A142" s="58" t="s">
        <v>611</v>
      </c>
      <c r="B142" s="92" t="s">
        <v>612</v>
      </c>
      <c r="C142" s="60"/>
      <c r="D142" s="93" t="s">
        <v>292</v>
      </c>
      <c r="E142" s="62" t="s">
        <v>202</v>
      </c>
      <c r="F142" s="59" t="s">
        <v>62</v>
      </c>
      <c r="G142" s="63">
        <f>IFERROR(INDEX('Benchmark Data'!$AC$7:$AC$130,MATCH($A142,'Benchmark Data'!$A$7:$A$130,0)),0)</f>
        <v>0</v>
      </c>
      <c r="H142" s="64">
        <f>IFERROR(INDEX('Benchmark Data'!$AD$7:$AD$130,MATCH($A142,'Benchmark Data'!$A$7:$A$130,0)),0)</f>
        <v>0</v>
      </c>
      <c r="I142" s="65">
        <f t="shared" si="13"/>
        <v>0</v>
      </c>
      <c r="J142" s="66">
        <f>$E$11</f>
        <v>0</v>
      </c>
      <c r="K142" s="29">
        <f>IFERROR(INDEX('Benchmark Data'!$AE$7:$AE$130,MATCH($A142,'Benchmark Data'!$A$7:$A$130,0)),0)</f>
        <v>1</v>
      </c>
      <c r="L142" s="67">
        <f t="shared" si="14"/>
        <v>0</v>
      </c>
      <c r="M142" s="68">
        <f t="shared" si="15"/>
        <v>0</v>
      </c>
      <c r="N142" s="69">
        <f t="shared" si="16"/>
        <v>0</v>
      </c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70"/>
      <c r="AX142" s="70"/>
    </row>
    <row r="143" spans="1:50" outlineLevel="1">
      <c r="A143" s="71" t="s">
        <v>611</v>
      </c>
      <c r="B143" s="72" t="s">
        <v>612</v>
      </c>
      <c r="C143" s="73"/>
      <c r="D143" s="94" t="s">
        <v>292</v>
      </c>
      <c r="E143" s="74" t="s">
        <v>202</v>
      </c>
      <c r="F143" s="17" t="s">
        <v>63</v>
      </c>
      <c r="G143" s="75">
        <f>G142</f>
        <v>0</v>
      </c>
      <c r="H143" s="76">
        <f>H142*(1+Settings!$C$8)</f>
        <v>0</v>
      </c>
      <c r="I143" s="76">
        <f t="shared" si="13"/>
        <v>0</v>
      </c>
      <c r="J143" s="77">
        <f>J142</f>
        <v>0</v>
      </c>
      <c r="K143" s="51">
        <f>K142</f>
        <v>1</v>
      </c>
      <c r="L143" s="52">
        <f t="shared" si="14"/>
        <v>0</v>
      </c>
      <c r="M143" s="51">
        <f t="shared" si="15"/>
        <v>0</v>
      </c>
      <c r="N143" s="78">
        <f t="shared" si="16"/>
        <v>0</v>
      </c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  <c r="AG143" s="79"/>
      <c r="AH143" s="79"/>
      <c r="AI143" s="79"/>
      <c r="AJ143" s="79"/>
      <c r="AK143" s="79"/>
      <c r="AL143" s="79"/>
      <c r="AM143" s="79"/>
      <c r="AN143" s="79"/>
      <c r="AO143" s="79"/>
      <c r="AP143" s="79"/>
      <c r="AQ143" s="79"/>
      <c r="AR143" s="79"/>
      <c r="AS143" s="79"/>
      <c r="AT143" s="79"/>
      <c r="AU143" s="79"/>
      <c r="AV143" s="79"/>
      <c r="AW143" s="79"/>
      <c r="AX143" s="79"/>
    </row>
    <row r="144" spans="1:50" outlineLevel="1">
      <c r="A144" s="71" t="s">
        <v>611</v>
      </c>
      <c r="B144" s="72" t="s">
        <v>612</v>
      </c>
      <c r="C144" s="73"/>
      <c r="D144" s="94" t="s">
        <v>292</v>
      </c>
      <c r="E144" s="74" t="s">
        <v>202</v>
      </c>
      <c r="F144" s="17" t="s">
        <v>64</v>
      </c>
      <c r="G144" s="75">
        <f>G142</f>
        <v>0</v>
      </c>
      <c r="H144" s="76">
        <f>H142*(1+Settings!$C$9)</f>
        <v>0</v>
      </c>
      <c r="I144" s="76">
        <f t="shared" si="13"/>
        <v>0</v>
      </c>
      <c r="J144" s="77">
        <f>J142</f>
        <v>0</v>
      </c>
      <c r="K144" s="51">
        <f>K142</f>
        <v>1</v>
      </c>
      <c r="L144" s="52">
        <f t="shared" si="14"/>
        <v>0</v>
      </c>
      <c r="M144" s="51">
        <f t="shared" si="15"/>
        <v>0</v>
      </c>
      <c r="N144" s="78">
        <f t="shared" si="16"/>
        <v>0</v>
      </c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  <c r="AG144" s="79"/>
      <c r="AH144" s="79"/>
      <c r="AI144" s="79"/>
      <c r="AJ144" s="79"/>
      <c r="AK144" s="79"/>
      <c r="AL144" s="79"/>
      <c r="AM144" s="79"/>
      <c r="AN144" s="79"/>
      <c r="AO144" s="79"/>
      <c r="AP144" s="79"/>
      <c r="AQ144" s="79"/>
      <c r="AR144" s="79"/>
      <c r="AS144" s="79"/>
      <c r="AT144" s="79"/>
      <c r="AU144" s="79"/>
      <c r="AV144" s="79"/>
      <c r="AW144" s="79"/>
      <c r="AX144" s="79"/>
    </row>
    <row r="145" spans="1:50" outlineLevel="1">
      <c r="A145" s="71" t="s">
        <v>611</v>
      </c>
      <c r="B145" s="72" t="s">
        <v>612</v>
      </c>
      <c r="C145" s="73"/>
      <c r="D145" s="94" t="s">
        <v>292</v>
      </c>
      <c r="E145" s="74" t="s">
        <v>202</v>
      </c>
      <c r="F145" s="17" t="s">
        <v>65</v>
      </c>
      <c r="G145" s="95"/>
      <c r="H145" s="96"/>
      <c r="I145" s="76">
        <f t="shared" ref="I145:I176" si="17">G145*H145</f>
        <v>0</v>
      </c>
      <c r="J145" s="77">
        <f>J142</f>
        <v>0</v>
      </c>
      <c r="K145" s="45">
        <v>1</v>
      </c>
      <c r="L145" s="52">
        <f t="shared" ref="L145:L176" si="18">J145*K145</f>
        <v>0</v>
      </c>
      <c r="M145" s="51">
        <f t="shared" ref="M145:M176" si="19">L145*G145</f>
        <v>0</v>
      </c>
      <c r="N145" s="78">
        <f t="shared" ref="N145:N156" si="20">L145*I145</f>
        <v>0</v>
      </c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  <c r="AG145" s="79"/>
      <c r="AH145" s="79"/>
      <c r="AI145" s="79"/>
      <c r="AJ145" s="79"/>
      <c r="AK145" s="79"/>
      <c r="AL145" s="79"/>
      <c r="AM145" s="79"/>
      <c r="AN145" s="79"/>
      <c r="AO145" s="79"/>
      <c r="AP145" s="79"/>
      <c r="AQ145" s="79"/>
      <c r="AR145" s="79"/>
      <c r="AS145" s="79"/>
      <c r="AT145" s="79"/>
      <c r="AU145" s="79"/>
      <c r="AV145" s="79"/>
      <c r="AW145" s="79"/>
      <c r="AX145" s="79"/>
    </row>
    <row r="146" spans="1:50">
      <c r="A146" s="83" t="s">
        <v>611</v>
      </c>
      <c r="B146" s="97" t="s">
        <v>612</v>
      </c>
      <c r="C146" s="84"/>
      <c r="D146" s="98" t="s">
        <v>292</v>
      </c>
      <c r="E146" s="86" t="s">
        <v>202</v>
      </c>
      <c r="F146" s="16" t="s">
        <v>179</v>
      </c>
      <c r="G146" s="87">
        <f>CHOOSE(IF(OR($C$3="Expert input",$I$142=0),4,IF($C$3="+25%",2,IF($C$3="+50%",3,1))),G142,G143,G144,G145)</f>
        <v>0</v>
      </c>
      <c r="H146" s="88">
        <f>CHOOSE(IF(OR($C$3="Expert input",$I$142=0),4,IF($C$3="+25%",2,IF($C$3="+50%",3,1))),H142,H143,H144,H145)</f>
        <v>0</v>
      </c>
      <c r="I146" s="88">
        <f t="shared" si="17"/>
        <v>0</v>
      </c>
      <c r="J146" s="54">
        <f>J142</f>
        <v>0</v>
      </c>
      <c r="K146" s="53">
        <f>CHOOSE(IF(OR($C$3="Expert input",$I$142=0),4,IF($C$3="+25%",2,IF($C$3="+50%",3,1))),K142,K143,K144,K145)</f>
        <v>1</v>
      </c>
      <c r="L146" s="54">
        <f t="shared" si="18"/>
        <v>0</v>
      </c>
      <c r="M146" s="53">
        <f t="shared" si="19"/>
        <v>0</v>
      </c>
      <c r="N146" s="54">
        <f t="shared" si="20"/>
        <v>0</v>
      </c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89">
        <f>O146*$M146</f>
        <v>0</v>
      </c>
      <c r="AB146" s="90">
        <f>O146*$N146</f>
        <v>0</v>
      </c>
      <c r="AC146" s="89">
        <f>P146*$M146</f>
        <v>0</v>
      </c>
      <c r="AD146" s="90">
        <f>P146*$N146</f>
        <v>0</v>
      </c>
      <c r="AE146" s="89">
        <f>Q146*$M146</f>
        <v>0</v>
      </c>
      <c r="AF146" s="90">
        <f>Q146*$N146</f>
        <v>0</v>
      </c>
      <c r="AG146" s="89">
        <f>R146*$M146</f>
        <v>0</v>
      </c>
      <c r="AH146" s="90">
        <f>R146*$N146</f>
        <v>0</v>
      </c>
      <c r="AI146" s="89">
        <f>S146*$M146</f>
        <v>0</v>
      </c>
      <c r="AJ146" s="90">
        <f>S146*$N146</f>
        <v>0</v>
      </c>
      <c r="AK146" s="89">
        <f>T146*$M146</f>
        <v>0</v>
      </c>
      <c r="AL146" s="90">
        <f>T146*$N146</f>
        <v>0</v>
      </c>
      <c r="AM146" s="89">
        <f>U146*$M146</f>
        <v>0</v>
      </c>
      <c r="AN146" s="90">
        <f>U146*$N146</f>
        <v>0</v>
      </c>
      <c r="AO146" s="89">
        <f>V146*$M146</f>
        <v>0</v>
      </c>
      <c r="AP146" s="90">
        <f>V146*$N146</f>
        <v>0</v>
      </c>
      <c r="AQ146" s="89">
        <f>W146*$M146</f>
        <v>0</v>
      </c>
      <c r="AR146" s="90">
        <f>W146*$N146</f>
        <v>0</v>
      </c>
      <c r="AS146" s="89">
        <f>X146*$M146</f>
        <v>0</v>
      </c>
      <c r="AT146" s="90">
        <f>X146*$N146</f>
        <v>0</v>
      </c>
      <c r="AU146" s="89">
        <f>Y146*$M146</f>
        <v>0</v>
      </c>
      <c r="AV146" s="90">
        <f>Y146*$N146</f>
        <v>0</v>
      </c>
      <c r="AW146" s="89">
        <f>Z146*$M146</f>
        <v>0</v>
      </c>
      <c r="AX146" s="90">
        <f>Z146*$N146</f>
        <v>0</v>
      </c>
    </row>
    <row r="147" spans="1:50" outlineLevel="1">
      <c r="A147" s="58" t="s">
        <v>613</v>
      </c>
      <c r="B147" s="92" t="s">
        <v>614</v>
      </c>
      <c r="C147" s="60"/>
      <c r="D147" s="93" t="s">
        <v>292</v>
      </c>
      <c r="E147" s="62" t="s">
        <v>615</v>
      </c>
      <c r="F147" s="59" t="s">
        <v>62</v>
      </c>
      <c r="G147" s="63">
        <f>IFERROR(INDEX('Benchmark Data'!$AC$7:$AC$130,MATCH($A147,'Benchmark Data'!$A$7:$A$130,0)),0)</f>
        <v>0</v>
      </c>
      <c r="H147" s="64">
        <f>IFERROR(INDEX('Benchmark Data'!$AD$7:$AD$130,MATCH($A147,'Benchmark Data'!$A$7:$A$130,0)),0)</f>
        <v>0</v>
      </c>
      <c r="I147" s="65">
        <f t="shared" si="17"/>
        <v>0</v>
      </c>
      <c r="J147" s="91"/>
      <c r="K147" s="29">
        <f>IFERROR(INDEX('Benchmark Data'!$AE$7:$AE$130,MATCH($A147,'Benchmark Data'!$A$7:$A$130,0)),0)</f>
        <v>1</v>
      </c>
      <c r="L147" s="67">
        <f t="shared" si="18"/>
        <v>0</v>
      </c>
      <c r="M147" s="68">
        <f t="shared" si="19"/>
        <v>0</v>
      </c>
      <c r="N147" s="69">
        <f t="shared" si="20"/>
        <v>0</v>
      </c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  <c r="AX147" s="70"/>
    </row>
    <row r="148" spans="1:50" outlineLevel="1">
      <c r="A148" s="71" t="s">
        <v>613</v>
      </c>
      <c r="B148" s="72" t="s">
        <v>614</v>
      </c>
      <c r="C148" s="73"/>
      <c r="D148" s="94" t="s">
        <v>292</v>
      </c>
      <c r="E148" s="74" t="s">
        <v>615</v>
      </c>
      <c r="F148" s="17" t="s">
        <v>63</v>
      </c>
      <c r="G148" s="75">
        <f>G147</f>
        <v>0</v>
      </c>
      <c r="H148" s="76">
        <f>H147*(1+Settings!$C$8)</f>
        <v>0</v>
      </c>
      <c r="I148" s="76">
        <f t="shared" si="17"/>
        <v>0</v>
      </c>
      <c r="J148" s="77">
        <f>J147</f>
        <v>0</v>
      </c>
      <c r="K148" s="51">
        <f>K147</f>
        <v>1</v>
      </c>
      <c r="L148" s="52">
        <f t="shared" si="18"/>
        <v>0</v>
      </c>
      <c r="M148" s="51">
        <f t="shared" si="19"/>
        <v>0</v>
      </c>
      <c r="N148" s="78">
        <f t="shared" si="20"/>
        <v>0</v>
      </c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  <c r="AG148" s="79"/>
      <c r="AH148" s="79"/>
      <c r="AI148" s="79"/>
      <c r="AJ148" s="79"/>
      <c r="AK148" s="79"/>
      <c r="AL148" s="79"/>
      <c r="AM148" s="79"/>
      <c r="AN148" s="79"/>
      <c r="AO148" s="79"/>
      <c r="AP148" s="79"/>
      <c r="AQ148" s="79"/>
      <c r="AR148" s="79"/>
      <c r="AS148" s="79"/>
      <c r="AT148" s="79"/>
      <c r="AU148" s="79"/>
      <c r="AV148" s="79"/>
      <c r="AW148" s="79"/>
      <c r="AX148" s="79"/>
    </row>
    <row r="149" spans="1:50" outlineLevel="1">
      <c r="A149" s="71" t="s">
        <v>613</v>
      </c>
      <c r="B149" s="72" t="s">
        <v>614</v>
      </c>
      <c r="C149" s="73"/>
      <c r="D149" s="94" t="s">
        <v>292</v>
      </c>
      <c r="E149" s="74" t="s">
        <v>615</v>
      </c>
      <c r="F149" s="17" t="s">
        <v>64</v>
      </c>
      <c r="G149" s="75">
        <f>G147</f>
        <v>0</v>
      </c>
      <c r="H149" s="76">
        <f>H147*(1+Settings!$C$9)</f>
        <v>0</v>
      </c>
      <c r="I149" s="76">
        <f t="shared" si="17"/>
        <v>0</v>
      </c>
      <c r="J149" s="77">
        <f>J147</f>
        <v>0</v>
      </c>
      <c r="K149" s="51">
        <f>K147</f>
        <v>1</v>
      </c>
      <c r="L149" s="52">
        <f t="shared" si="18"/>
        <v>0</v>
      </c>
      <c r="M149" s="51">
        <f t="shared" si="19"/>
        <v>0</v>
      </c>
      <c r="N149" s="78">
        <f t="shared" si="20"/>
        <v>0</v>
      </c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  <c r="AG149" s="79"/>
      <c r="AH149" s="79"/>
      <c r="AI149" s="79"/>
      <c r="AJ149" s="79"/>
      <c r="AK149" s="79"/>
      <c r="AL149" s="79"/>
      <c r="AM149" s="79"/>
      <c r="AN149" s="79"/>
      <c r="AO149" s="79"/>
      <c r="AP149" s="79"/>
      <c r="AQ149" s="79"/>
      <c r="AR149" s="79"/>
      <c r="AS149" s="79"/>
      <c r="AT149" s="79"/>
      <c r="AU149" s="79"/>
      <c r="AV149" s="79"/>
      <c r="AW149" s="79"/>
      <c r="AX149" s="79"/>
    </row>
    <row r="150" spans="1:50" outlineLevel="1">
      <c r="A150" s="71" t="s">
        <v>613</v>
      </c>
      <c r="B150" s="72" t="s">
        <v>614</v>
      </c>
      <c r="C150" s="73"/>
      <c r="D150" s="94" t="s">
        <v>292</v>
      </c>
      <c r="E150" s="74" t="s">
        <v>615</v>
      </c>
      <c r="F150" s="17" t="s">
        <v>65</v>
      </c>
      <c r="G150" s="95"/>
      <c r="H150" s="96"/>
      <c r="I150" s="76">
        <f t="shared" si="17"/>
        <v>0</v>
      </c>
      <c r="J150" s="77">
        <f>J147</f>
        <v>0</v>
      </c>
      <c r="K150" s="45">
        <v>1</v>
      </c>
      <c r="L150" s="52">
        <f t="shared" si="18"/>
        <v>0</v>
      </c>
      <c r="M150" s="51">
        <f t="shared" si="19"/>
        <v>0</v>
      </c>
      <c r="N150" s="78">
        <f t="shared" si="20"/>
        <v>0</v>
      </c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  <c r="AG150" s="79"/>
      <c r="AH150" s="79"/>
      <c r="AI150" s="79"/>
      <c r="AJ150" s="79"/>
      <c r="AK150" s="79"/>
      <c r="AL150" s="79"/>
      <c r="AM150" s="79"/>
      <c r="AN150" s="79"/>
      <c r="AO150" s="79"/>
      <c r="AP150" s="79"/>
      <c r="AQ150" s="79"/>
      <c r="AR150" s="79"/>
      <c r="AS150" s="79"/>
      <c r="AT150" s="79"/>
      <c r="AU150" s="79"/>
      <c r="AV150" s="79"/>
      <c r="AW150" s="79"/>
      <c r="AX150" s="79"/>
    </row>
    <row r="151" spans="1:50">
      <c r="A151" s="83" t="s">
        <v>613</v>
      </c>
      <c r="B151" s="97" t="s">
        <v>614</v>
      </c>
      <c r="C151" s="84"/>
      <c r="D151" s="98" t="s">
        <v>292</v>
      </c>
      <c r="E151" s="86" t="s">
        <v>615</v>
      </c>
      <c r="F151" s="16" t="s">
        <v>179</v>
      </c>
      <c r="G151" s="87">
        <f>CHOOSE(IF(OR($C$3="Expert input",$I$147=0),4,IF($C$3="+25%",2,IF($C$3="+50%",3,1))),G147,G148,G149,G150)</f>
        <v>0</v>
      </c>
      <c r="H151" s="88">
        <f>CHOOSE(IF(OR($C$3="Expert input",$I$147=0),4,IF($C$3="+25%",2,IF($C$3="+50%",3,1))),H147,H148,H149,H150)</f>
        <v>0</v>
      </c>
      <c r="I151" s="88">
        <f t="shared" si="17"/>
        <v>0</v>
      </c>
      <c r="J151" s="54">
        <f>J147</f>
        <v>0</v>
      </c>
      <c r="K151" s="53">
        <f>CHOOSE(IF(OR($C$3="Expert input",$I$147=0),4,IF($C$3="+25%",2,IF($C$3="+50%",3,1))),K147,K148,K149,K150)</f>
        <v>1</v>
      </c>
      <c r="L151" s="54">
        <f t="shared" si="18"/>
        <v>0</v>
      </c>
      <c r="M151" s="53">
        <f t="shared" si="19"/>
        <v>0</v>
      </c>
      <c r="N151" s="54">
        <f t="shared" si="20"/>
        <v>0</v>
      </c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89">
        <f>O151*$M151</f>
        <v>0</v>
      </c>
      <c r="AB151" s="90">
        <f>O151*$N151</f>
        <v>0</v>
      </c>
      <c r="AC151" s="89">
        <f>P151*$M151</f>
        <v>0</v>
      </c>
      <c r="AD151" s="90">
        <f>P151*$N151</f>
        <v>0</v>
      </c>
      <c r="AE151" s="89">
        <f>Q151*$M151</f>
        <v>0</v>
      </c>
      <c r="AF151" s="90">
        <f>Q151*$N151</f>
        <v>0</v>
      </c>
      <c r="AG151" s="89">
        <f>R151*$M151</f>
        <v>0</v>
      </c>
      <c r="AH151" s="90">
        <f>R151*$N151</f>
        <v>0</v>
      </c>
      <c r="AI151" s="89">
        <f>S151*$M151</f>
        <v>0</v>
      </c>
      <c r="AJ151" s="90">
        <f>S151*$N151</f>
        <v>0</v>
      </c>
      <c r="AK151" s="89">
        <f>T151*$M151</f>
        <v>0</v>
      </c>
      <c r="AL151" s="90">
        <f>T151*$N151</f>
        <v>0</v>
      </c>
      <c r="AM151" s="89">
        <f>U151*$M151</f>
        <v>0</v>
      </c>
      <c r="AN151" s="90">
        <f>U151*$N151</f>
        <v>0</v>
      </c>
      <c r="AO151" s="89">
        <f>V151*$M151</f>
        <v>0</v>
      </c>
      <c r="AP151" s="90">
        <f>V151*$N151</f>
        <v>0</v>
      </c>
      <c r="AQ151" s="89">
        <f>W151*$M151</f>
        <v>0</v>
      </c>
      <c r="AR151" s="90">
        <f>W151*$N151</f>
        <v>0</v>
      </c>
      <c r="AS151" s="89">
        <f>X151*$M151</f>
        <v>0</v>
      </c>
      <c r="AT151" s="90">
        <f>X151*$N151</f>
        <v>0</v>
      </c>
      <c r="AU151" s="89">
        <f>Y151*$M151</f>
        <v>0</v>
      </c>
      <c r="AV151" s="90">
        <f>Y151*$N151</f>
        <v>0</v>
      </c>
      <c r="AW151" s="89">
        <f>Z151*$M151</f>
        <v>0</v>
      </c>
      <c r="AX151" s="90">
        <f>Z151*$N151</f>
        <v>0</v>
      </c>
    </row>
    <row r="152" spans="1:50" outlineLevel="1">
      <c r="A152" s="58" t="s">
        <v>616</v>
      </c>
      <c r="B152" s="92" t="s">
        <v>617</v>
      </c>
      <c r="C152" s="60"/>
      <c r="D152" s="93" t="s">
        <v>292</v>
      </c>
      <c r="E152" s="62" t="s">
        <v>522</v>
      </c>
      <c r="F152" s="59" t="s">
        <v>62</v>
      </c>
      <c r="G152" s="63">
        <f>IFERROR(INDEX('Benchmark Data'!$AC$7:$AC$130,MATCH($A152,'Benchmark Data'!$A$7:$A$130,0)),0)</f>
        <v>0</v>
      </c>
      <c r="H152" s="64">
        <f>IFERROR(INDEX('Benchmark Data'!$AD$7:$AD$130,MATCH($A152,'Benchmark Data'!$A$7:$A$130,0)),0)</f>
        <v>0</v>
      </c>
      <c r="I152" s="65">
        <f t="shared" si="17"/>
        <v>0</v>
      </c>
      <c r="J152" s="66">
        <f>$E$13</f>
        <v>0</v>
      </c>
      <c r="K152" s="29">
        <f>IFERROR(INDEX('Benchmark Data'!$AE$7:$AE$130,MATCH($A152,'Benchmark Data'!$A$7:$A$130,0)),0)</f>
        <v>1</v>
      </c>
      <c r="L152" s="67">
        <f t="shared" si="18"/>
        <v>0</v>
      </c>
      <c r="M152" s="68">
        <f t="shared" si="19"/>
        <v>0</v>
      </c>
      <c r="N152" s="69">
        <f t="shared" si="20"/>
        <v>0</v>
      </c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  <c r="AX152" s="70"/>
    </row>
    <row r="153" spans="1:50" outlineLevel="1">
      <c r="A153" s="71" t="s">
        <v>616</v>
      </c>
      <c r="B153" s="72" t="s">
        <v>617</v>
      </c>
      <c r="C153" s="73"/>
      <c r="D153" s="94" t="s">
        <v>292</v>
      </c>
      <c r="E153" s="74" t="s">
        <v>522</v>
      </c>
      <c r="F153" s="17" t="s">
        <v>63</v>
      </c>
      <c r="G153" s="75">
        <f>G152</f>
        <v>0</v>
      </c>
      <c r="H153" s="76">
        <f>H152*(1+Settings!$C$8)</f>
        <v>0</v>
      </c>
      <c r="I153" s="76">
        <f t="shared" si="17"/>
        <v>0</v>
      </c>
      <c r="J153" s="77">
        <f>J152</f>
        <v>0</v>
      </c>
      <c r="K153" s="51">
        <f>K152</f>
        <v>1</v>
      </c>
      <c r="L153" s="52">
        <f t="shared" si="18"/>
        <v>0</v>
      </c>
      <c r="M153" s="51">
        <f t="shared" si="19"/>
        <v>0</v>
      </c>
      <c r="N153" s="78">
        <f t="shared" si="20"/>
        <v>0</v>
      </c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  <c r="AG153" s="79"/>
      <c r="AH153" s="79"/>
      <c r="AI153" s="79"/>
      <c r="AJ153" s="79"/>
      <c r="AK153" s="79"/>
      <c r="AL153" s="79"/>
      <c r="AM153" s="79"/>
      <c r="AN153" s="79"/>
      <c r="AO153" s="79"/>
      <c r="AP153" s="79"/>
      <c r="AQ153" s="79"/>
      <c r="AR153" s="79"/>
      <c r="AS153" s="79"/>
      <c r="AT153" s="79"/>
      <c r="AU153" s="79"/>
      <c r="AV153" s="79"/>
      <c r="AW153" s="79"/>
      <c r="AX153" s="79"/>
    </row>
    <row r="154" spans="1:50" outlineLevel="1">
      <c r="A154" s="71" t="s">
        <v>616</v>
      </c>
      <c r="B154" s="72" t="s">
        <v>617</v>
      </c>
      <c r="C154" s="73"/>
      <c r="D154" s="94" t="s">
        <v>292</v>
      </c>
      <c r="E154" s="74" t="s">
        <v>522</v>
      </c>
      <c r="F154" s="17" t="s">
        <v>64</v>
      </c>
      <c r="G154" s="75">
        <f>G152</f>
        <v>0</v>
      </c>
      <c r="H154" s="76">
        <f>H152*(1+Settings!$C$9)</f>
        <v>0</v>
      </c>
      <c r="I154" s="76">
        <f t="shared" si="17"/>
        <v>0</v>
      </c>
      <c r="J154" s="77">
        <f>J152</f>
        <v>0</v>
      </c>
      <c r="K154" s="51">
        <f>K152</f>
        <v>1</v>
      </c>
      <c r="L154" s="52">
        <f t="shared" si="18"/>
        <v>0</v>
      </c>
      <c r="M154" s="51">
        <f t="shared" si="19"/>
        <v>0</v>
      </c>
      <c r="N154" s="78">
        <f t="shared" si="20"/>
        <v>0</v>
      </c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  <c r="AG154" s="79"/>
      <c r="AH154" s="79"/>
      <c r="AI154" s="79"/>
      <c r="AJ154" s="79"/>
      <c r="AK154" s="79"/>
      <c r="AL154" s="79"/>
      <c r="AM154" s="79"/>
      <c r="AN154" s="79"/>
      <c r="AO154" s="79"/>
      <c r="AP154" s="79"/>
      <c r="AQ154" s="79"/>
      <c r="AR154" s="79"/>
      <c r="AS154" s="79"/>
      <c r="AT154" s="79"/>
      <c r="AU154" s="79"/>
      <c r="AV154" s="79"/>
      <c r="AW154" s="79"/>
      <c r="AX154" s="79"/>
    </row>
    <row r="155" spans="1:50" outlineLevel="1">
      <c r="A155" s="71" t="s">
        <v>616</v>
      </c>
      <c r="B155" s="72" t="s">
        <v>617</v>
      </c>
      <c r="C155" s="73"/>
      <c r="D155" s="94" t="s">
        <v>292</v>
      </c>
      <c r="E155" s="74" t="s">
        <v>522</v>
      </c>
      <c r="F155" s="17" t="s">
        <v>65</v>
      </c>
      <c r="G155" s="95"/>
      <c r="H155" s="96"/>
      <c r="I155" s="76">
        <f t="shared" si="17"/>
        <v>0</v>
      </c>
      <c r="J155" s="77">
        <f>J152</f>
        <v>0</v>
      </c>
      <c r="K155" s="45">
        <v>1</v>
      </c>
      <c r="L155" s="52">
        <f t="shared" si="18"/>
        <v>0</v>
      </c>
      <c r="M155" s="51">
        <f t="shared" si="19"/>
        <v>0</v>
      </c>
      <c r="N155" s="78">
        <f t="shared" si="20"/>
        <v>0</v>
      </c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  <c r="AG155" s="79"/>
      <c r="AH155" s="79"/>
      <c r="AI155" s="79"/>
      <c r="AJ155" s="79"/>
      <c r="AK155" s="79"/>
      <c r="AL155" s="79"/>
      <c r="AM155" s="79"/>
      <c r="AN155" s="79"/>
      <c r="AO155" s="79"/>
      <c r="AP155" s="79"/>
      <c r="AQ155" s="79"/>
      <c r="AR155" s="79"/>
      <c r="AS155" s="79"/>
      <c r="AT155" s="79"/>
      <c r="AU155" s="79"/>
      <c r="AV155" s="79"/>
      <c r="AW155" s="79"/>
      <c r="AX155" s="79"/>
    </row>
    <row r="156" spans="1:50">
      <c r="A156" s="83" t="s">
        <v>616</v>
      </c>
      <c r="B156" s="97" t="s">
        <v>617</v>
      </c>
      <c r="C156" s="84"/>
      <c r="D156" s="98" t="s">
        <v>292</v>
      </c>
      <c r="E156" s="86" t="s">
        <v>522</v>
      </c>
      <c r="F156" s="16" t="s">
        <v>179</v>
      </c>
      <c r="G156" s="87">
        <f>CHOOSE(IF(OR($C$3="Expert input",$I$152=0),4,IF($C$3="+25%",2,IF($C$3="+50%",3,1))),G152,G153,G154,G155)</f>
        <v>0</v>
      </c>
      <c r="H156" s="88">
        <f>CHOOSE(IF(OR($C$3="Expert input",$I$152=0),4,IF($C$3="+25%",2,IF($C$3="+50%",3,1))),H152,H153,H154,H155)</f>
        <v>0</v>
      </c>
      <c r="I156" s="88">
        <f t="shared" si="17"/>
        <v>0</v>
      </c>
      <c r="J156" s="54">
        <f>J152</f>
        <v>0</v>
      </c>
      <c r="K156" s="53">
        <f>CHOOSE(IF(OR($C$3="Expert input",$I$152=0),4,IF($C$3="+25%",2,IF($C$3="+50%",3,1))),K152,K153,K154,K155)</f>
        <v>1</v>
      </c>
      <c r="L156" s="54">
        <f t="shared" si="18"/>
        <v>0</v>
      </c>
      <c r="M156" s="53">
        <f t="shared" si="19"/>
        <v>0</v>
      </c>
      <c r="N156" s="54">
        <f t="shared" si="20"/>
        <v>0</v>
      </c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89">
        <f>O156*$M156</f>
        <v>0</v>
      </c>
      <c r="AB156" s="90">
        <f>O156*$N156</f>
        <v>0</v>
      </c>
      <c r="AC156" s="89">
        <f>P156*$M156</f>
        <v>0</v>
      </c>
      <c r="AD156" s="90">
        <f>P156*$N156</f>
        <v>0</v>
      </c>
      <c r="AE156" s="89">
        <f>Q156*$M156</f>
        <v>0</v>
      </c>
      <c r="AF156" s="90">
        <f>Q156*$N156</f>
        <v>0</v>
      </c>
      <c r="AG156" s="89">
        <f>R156*$M156</f>
        <v>0</v>
      </c>
      <c r="AH156" s="90">
        <f>R156*$N156</f>
        <v>0</v>
      </c>
      <c r="AI156" s="89">
        <f>S156*$M156</f>
        <v>0</v>
      </c>
      <c r="AJ156" s="90">
        <f>S156*$N156</f>
        <v>0</v>
      </c>
      <c r="AK156" s="89">
        <f>T156*$M156</f>
        <v>0</v>
      </c>
      <c r="AL156" s="90">
        <f>T156*$N156</f>
        <v>0</v>
      </c>
      <c r="AM156" s="89">
        <f>U156*$M156</f>
        <v>0</v>
      </c>
      <c r="AN156" s="90">
        <f>U156*$N156</f>
        <v>0</v>
      </c>
      <c r="AO156" s="89">
        <f>V156*$M156</f>
        <v>0</v>
      </c>
      <c r="AP156" s="90">
        <f>V156*$N156</f>
        <v>0</v>
      </c>
      <c r="AQ156" s="89">
        <f>W156*$M156</f>
        <v>0</v>
      </c>
      <c r="AR156" s="90">
        <f>W156*$N156</f>
        <v>0</v>
      </c>
      <c r="AS156" s="89">
        <f>X156*$M156</f>
        <v>0</v>
      </c>
      <c r="AT156" s="90">
        <f>X156*$N156</f>
        <v>0</v>
      </c>
      <c r="AU156" s="89">
        <f>Y156*$M156</f>
        <v>0</v>
      </c>
      <c r="AV156" s="90">
        <f>Y156*$N156</f>
        <v>0</v>
      </c>
      <c r="AW156" s="89">
        <f>Z156*$M156</f>
        <v>0</v>
      </c>
      <c r="AX156" s="90">
        <f>Z156*$N156</f>
        <v>0</v>
      </c>
    </row>
  </sheetData>
  <autoFilter ref="A16:N156" xr:uid="{00000000-0009-0000-0000-000007000000}"/>
  <mergeCells count="9">
    <mergeCell ref="D3:N3"/>
    <mergeCell ref="O6:Z6"/>
    <mergeCell ref="AA6:AX6"/>
    <mergeCell ref="A15:E15"/>
    <mergeCell ref="F15:I15"/>
    <mergeCell ref="J15:K15"/>
    <mergeCell ref="L15:N15"/>
    <mergeCell ref="O15:Z15"/>
    <mergeCell ref="AA15:AX15"/>
  </mergeCells>
  <conditionalFormatting sqref="O21:Z21">
    <cfRule type="expression" dxfId="28" priority="2">
      <formula>AND($L$21&gt;0,ABS(SUM($O$21:$Z$21)-1)&gt;0.001)</formula>
    </cfRule>
  </conditionalFormatting>
  <conditionalFormatting sqref="O26:Z26">
    <cfRule type="expression" dxfId="27" priority="3">
      <formula>AND($L$26&gt;0,ABS(SUM($O$26:$Z$26)-1)&gt;0.001)</formula>
    </cfRule>
  </conditionalFormatting>
  <conditionalFormatting sqref="O31:Z31">
    <cfRule type="expression" dxfId="26" priority="4">
      <formula>AND($L$31&gt;0,ABS(SUM($O$31:$Z$31)-1)&gt;0.001)</formula>
    </cfRule>
  </conditionalFormatting>
  <conditionalFormatting sqref="O36:Z36">
    <cfRule type="expression" dxfId="25" priority="5">
      <formula>AND($L$36&gt;0,ABS(SUM($O$36:$Z$36)-1)&gt;0.001)</formula>
    </cfRule>
  </conditionalFormatting>
  <conditionalFormatting sqref="O41:Z41">
    <cfRule type="expression" dxfId="24" priority="6">
      <formula>AND($L$41&gt;0,ABS(SUM($O$41:$Z$41)-1)&gt;0.001)</formula>
    </cfRule>
  </conditionalFormatting>
  <conditionalFormatting sqref="O46:Z46">
    <cfRule type="expression" dxfId="23" priority="7">
      <formula>AND($L$46&gt;0,ABS(SUM($O$46:$Z$46)-1)&gt;0.001)</formula>
    </cfRule>
  </conditionalFormatting>
  <conditionalFormatting sqref="O51:Z51">
    <cfRule type="expression" dxfId="22" priority="8">
      <formula>AND($L$51&gt;0,ABS(SUM($O$51:$Z$51)-1)&gt;0.001)</formula>
    </cfRule>
  </conditionalFormatting>
  <conditionalFormatting sqref="O56:Z56">
    <cfRule type="expression" dxfId="21" priority="9">
      <formula>AND($L$56&gt;0,ABS(SUM($O$56:$Z$56)-1)&gt;0.001)</formula>
    </cfRule>
  </conditionalFormatting>
  <conditionalFormatting sqref="O61:Z61">
    <cfRule type="expression" dxfId="20" priority="10">
      <formula>AND($L$61&gt;0,ABS(SUM($O$61:$Z$61)-1)&gt;0.001)</formula>
    </cfRule>
  </conditionalFormatting>
  <conditionalFormatting sqref="O66:Z66">
    <cfRule type="expression" dxfId="19" priority="11">
      <formula>AND($L$66&gt;0,ABS(SUM($O$66:$Z$66)-1)&gt;0.001)</formula>
    </cfRule>
  </conditionalFormatting>
  <conditionalFormatting sqref="O71:Z71">
    <cfRule type="expression" dxfId="18" priority="12">
      <formula>AND($L$71&gt;0,ABS(SUM($O$71:$Z$71)-1)&gt;0.001)</formula>
    </cfRule>
  </conditionalFormatting>
  <conditionalFormatting sqref="O76:Z76">
    <cfRule type="expression" dxfId="17" priority="13">
      <formula>AND($L$76&gt;0,ABS(SUM($O$76:$Z$76)-1)&gt;0.001)</formula>
    </cfRule>
  </conditionalFormatting>
  <conditionalFormatting sqref="O81:Z81">
    <cfRule type="expression" dxfId="16" priority="14">
      <formula>AND($L$81&gt;0,ABS(SUM($O$81:$Z$81)-1)&gt;0.001)</formula>
    </cfRule>
  </conditionalFormatting>
  <conditionalFormatting sqref="O86:Z86">
    <cfRule type="expression" dxfId="15" priority="15">
      <formula>AND($L$86&gt;0,ABS(SUM($O$86:$Z$86)-1)&gt;0.001)</formula>
    </cfRule>
  </conditionalFormatting>
  <conditionalFormatting sqref="O91:Z91">
    <cfRule type="expression" dxfId="14" priority="16">
      <formula>AND($L$91&gt;0,ABS(SUM($O$91:$Z$91)-1)&gt;0.001)</formula>
    </cfRule>
  </conditionalFormatting>
  <conditionalFormatting sqref="O96:Z96">
    <cfRule type="expression" dxfId="13" priority="17">
      <formula>AND($L$96&gt;0,ABS(SUM($O$96:$Z$96)-1)&gt;0.001)</formula>
    </cfRule>
  </conditionalFormatting>
  <conditionalFormatting sqref="O101:Z101">
    <cfRule type="expression" dxfId="12" priority="18">
      <formula>AND($L$101&gt;0,ABS(SUM($O$101:$Z$101)-1)&gt;0.001)</formula>
    </cfRule>
  </conditionalFormatting>
  <conditionalFormatting sqref="O106:Z106">
    <cfRule type="expression" dxfId="11" priority="19">
      <formula>AND($L$106&gt;0,ABS(SUM($O$106:$Z$106)-1)&gt;0.001)</formula>
    </cfRule>
  </conditionalFormatting>
  <conditionalFormatting sqref="O111:Z111">
    <cfRule type="expression" dxfId="10" priority="20">
      <formula>AND($L$111&gt;0,ABS(SUM($O$111:$Z$111)-1)&gt;0.001)</formula>
    </cfRule>
  </conditionalFormatting>
  <conditionalFormatting sqref="O116:Z116">
    <cfRule type="expression" dxfId="9" priority="21">
      <formula>AND($L$116&gt;0,ABS(SUM($O$116:$Z$116)-1)&gt;0.001)</formula>
    </cfRule>
  </conditionalFormatting>
  <conditionalFormatting sqref="O121:Z121">
    <cfRule type="expression" dxfId="8" priority="22">
      <formula>AND($L$121&gt;0,ABS(SUM($O$121:$Z$121)-1)&gt;0.001)</formula>
    </cfRule>
  </conditionalFormatting>
  <conditionalFormatting sqref="O126:Z126">
    <cfRule type="expression" dxfId="7" priority="23">
      <formula>AND($L$126&gt;0,ABS(SUM($O$126:$Z$126)-1)&gt;0.001)</formula>
    </cfRule>
  </conditionalFormatting>
  <conditionalFormatting sqref="O131:Z131">
    <cfRule type="expression" dxfId="6" priority="24">
      <formula>AND($L$131&gt;0,ABS(SUM($O$131:$Z$131)-1)&gt;0.001)</formula>
    </cfRule>
  </conditionalFormatting>
  <conditionalFormatting sqref="O136:Z136">
    <cfRule type="expression" dxfId="5" priority="25">
      <formula>AND($L$136&gt;0,ABS(SUM($O$136:$Z$136)-1)&gt;0.001)</formula>
    </cfRule>
  </conditionalFormatting>
  <conditionalFormatting sqref="O141:Z141">
    <cfRule type="expression" dxfId="4" priority="26">
      <formula>AND($L$141&gt;0,ABS(SUM($O$141:$Z$141)-1)&gt;0.001)</formula>
    </cfRule>
  </conditionalFormatting>
  <conditionalFormatting sqref="O146:Z146">
    <cfRule type="expression" dxfId="3" priority="27">
      <formula>AND($L$146&gt;0,ABS(SUM($O$146:$Z$146)-1)&gt;0.001)</formula>
    </cfRule>
  </conditionalFormatting>
  <conditionalFormatting sqref="O151:Z151">
    <cfRule type="expression" dxfId="2" priority="28">
      <formula>AND($L$151&gt;0,ABS(SUM($O$151:$Z$151)-1)&gt;0.001)</formula>
    </cfRule>
  </conditionalFormatting>
  <conditionalFormatting sqref="O156:Z156">
    <cfRule type="expression" dxfId="1" priority="29">
      <formula>AND($L$156&gt;0,ABS(SUM($O$156:$Z$156)-1)&gt;0.001)</formula>
    </cfRule>
  </conditionalFormatting>
  <dataValidations count="1">
    <dataValidation type="list" sqref="C3" xr:uid="{00000000-0002-0000-0700-000000000000}">
      <formula1>"Industry average,+25%,+50%,Expert input"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75B5"/>
    <pageSetUpPr fitToPage="1"/>
  </sheetPr>
  <dimension ref="A1:S22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ColWidth="8.6640625" defaultRowHeight="14.4"/>
  <cols>
    <col min="1" max="1" width="34" customWidth="1"/>
    <col min="2" max="2" width="14" customWidth="1"/>
    <col min="3" max="19" width="12.44140625" customWidth="1"/>
  </cols>
  <sheetData>
    <row r="1" spans="1:19" ht="17.399999999999999">
      <c r="A1" s="8" t="s">
        <v>618</v>
      </c>
    </row>
    <row r="2" spans="1:19">
      <c r="A2" s="9" t="s">
        <v>619</v>
      </c>
    </row>
    <row r="4" spans="1:19" ht="15.6">
      <c r="A4" s="10" t="s">
        <v>620</v>
      </c>
    </row>
    <row r="5" spans="1:19" ht="30" customHeight="1">
      <c r="A5" s="18" t="s">
        <v>54</v>
      </c>
      <c r="B5" s="18" t="s">
        <v>621</v>
      </c>
      <c r="C5" s="18" t="s">
        <v>139</v>
      </c>
      <c r="D5" s="18" t="s">
        <v>140</v>
      </c>
      <c r="E5" s="18" t="s">
        <v>141</v>
      </c>
      <c r="F5" s="18" t="s">
        <v>142</v>
      </c>
      <c r="G5" s="18" t="s">
        <v>143</v>
      </c>
      <c r="H5" s="18" t="s">
        <v>144</v>
      </c>
      <c r="I5" s="18" t="s">
        <v>145</v>
      </c>
      <c r="J5" s="18" t="s">
        <v>146</v>
      </c>
      <c r="K5" s="18" t="s">
        <v>147</v>
      </c>
      <c r="L5" s="18" t="s">
        <v>148</v>
      </c>
      <c r="M5" s="18" t="s">
        <v>149</v>
      </c>
      <c r="N5" s="18" t="s">
        <v>150</v>
      </c>
      <c r="O5" s="24" t="s">
        <v>622</v>
      </c>
      <c r="P5" s="24" t="s">
        <v>623</v>
      </c>
      <c r="Q5" s="24" t="s">
        <v>624</v>
      </c>
      <c r="R5" s="24" t="s">
        <v>625</v>
      </c>
      <c r="S5" s="24" t="s">
        <v>626</v>
      </c>
    </row>
    <row r="6" spans="1:19">
      <c r="A6" s="17" t="s">
        <v>7</v>
      </c>
      <c r="B6" s="99">
        <f>Nursery!O12</f>
        <v>0</v>
      </c>
      <c r="C6" s="99">
        <f>Nursery!AC12</f>
        <v>0</v>
      </c>
      <c r="D6" s="99">
        <f>Nursery!AE12</f>
        <v>0</v>
      </c>
      <c r="E6" s="99">
        <f>Nursery!AG12</f>
        <v>0</v>
      </c>
      <c r="F6" s="99">
        <f>Nursery!AI12</f>
        <v>0</v>
      </c>
      <c r="G6" s="99">
        <f>Nursery!AK12</f>
        <v>0</v>
      </c>
      <c r="H6" s="99">
        <f>Nursery!AM12</f>
        <v>0</v>
      </c>
      <c r="I6" s="99">
        <f>Nursery!AO12</f>
        <v>0</v>
      </c>
      <c r="J6" s="99">
        <f>Nursery!AQ12</f>
        <v>0</v>
      </c>
      <c r="K6" s="99">
        <f>Nursery!AS12</f>
        <v>0</v>
      </c>
      <c r="L6" s="99">
        <f>Nursery!AU12</f>
        <v>0</v>
      </c>
      <c r="M6" s="99">
        <f>Nursery!AW12</f>
        <v>0</v>
      </c>
      <c r="N6" s="99">
        <f>Nursery!AY12</f>
        <v>0</v>
      </c>
      <c r="O6" s="52">
        <f t="shared" ref="O6:O11" si="0">SUM(C6:E6)</f>
        <v>0</v>
      </c>
      <c r="P6" s="52">
        <f t="shared" ref="P6:P11" si="1">SUM(F6:H6)</f>
        <v>0</v>
      </c>
      <c r="Q6" s="52">
        <f t="shared" ref="Q6:Q11" si="2">SUM(I6:K6)</f>
        <v>0</v>
      </c>
      <c r="R6" s="52">
        <f t="shared" ref="R6:R11" si="3">SUM(L6:N6)</f>
        <v>0</v>
      </c>
      <c r="S6" s="52">
        <f t="shared" ref="S6:S11" si="4">SUM(C6:N6)-B6</f>
        <v>0</v>
      </c>
    </row>
    <row r="7" spans="1:19">
      <c r="A7" s="17" t="s">
        <v>66</v>
      </c>
      <c r="B7" s="99">
        <f>'Young Coffee'!N11</f>
        <v>0</v>
      </c>
      <c r="C7" s="99">
        <f>'Young Coffee'!AB11</f>
        <v>0</v>
      </c>
      <c r="D7" s="99">
        <f>'Young Coffee'!AD11</f>
        <v>0</v>
      </c>
      <c r="E7" s="99">
        <f>'Young Coffee'!AF11</f>
        <v>0</v>
      </c>
      <c r="F7" s="99">
        <f>'Young Coffee'!AH11</f>
        <v>0</v>
      </c>
      <c r="G7" s="99">
        <f>'Young Coffee'!AJ11</f>
        <v>0</v>
      </c>
      <c r="H7" s="99">
        <f>'Young Coffee'!AL11</f>
        <v>0</v>
      </c>
      <c r="I7" s="99">
        <f>'Young Coffee'!AN11</f>
        <v>0</v>
      </c>
      <c r="J7" s="99">
        <f>'Young Coffee'!AP11</f>
        <v>0</v>
      </c>
      <c r="K7" s="99">
        <f>'Young Coffee'!AR11</f>
        <v>0</v>
      </c>
      <c r="L7" s="99">
        <f>'Young Coffee'!AT11</f>
        <v>0</v>
      </c>
      <c r="M7" s="99">
        <f>'Young Coffee'!AV11</f>
        <v>0</v>
      </c>
      <c r="N7" s="99">
        <f>'Young Coffee'!AX11</f>
        <v>0</v>
      </c>
      <c r="O7" s="52">
        <f t="shared" si="0"/>
        <v>0</v>
      </c>
      <c r="P7" s="52">
        <f t="shared" si="1"/>
        <v>0</v>
      </c>
      <c r="Q7" s="52">
        <f t="shared" si="2"/>
        <v>0</v>
      </c>
      <c r="R7" s="52">
        <f t="shared" si="3"/>
        <v>0</v>
      </c>
      <c r="S7" s="52">
        <f t="shared" si="4"/>
        <v>0</v>
      </c>
    </row>
    <row r="8" spans="1:19">
      <c r="A8" s="17" t="s">
        <v>67</v>
      </c>
      <c r="B8" s="99">
        <f>'Matured Coffee'!N11</f>
        <v>0</v>
      </c>
      <c r="C8" s="99">
        <f>'Matured Coffee'!AB11</f>
        <v>0</v>
      </c>
      <c r="D8" s="99">
        <f>'Matured Coffee'!AD11</f>
        <v>0</v>
      </c>
      <c r="E8" s="99">
        <f>'Matured Coffee'!AF11</f>
        <v>0</v>
      </c>
      <c r="F8" s="99">
        <f>'Matured Coffee'!AH11</f>
        <v>0</v>
      </c>
      <c r="G8" s="99">
        <f>'Matured Coffee'!AJ11</f>
        <v>0</v>
      </c>
      <c r="H8" s="99">
        <f>'Matured Coffee'!AL11</f>
        <v>0</v>
      </c>
      <c r="I8" s="99">
        <f>'Matured Coffee'!AN11</f>
        <v>0</v>
      </c>
      <c r="J8" s="99">
        <f>'Matured Coffee'!AP11</f>
        <v>0</v>
      </c>
      <c r="K8" s="99">
        <f>'Matured Coffee'!AR11</f>
        <v>0</v>
      </c>
      <c r="L8" s="99">
        <f>'Matured Coffee'!AT11</f>
        <v>0</v>
      </c>
      <c r="M8" s="99">
        <f>'Matured Coffee'!AV11</f>
        <v>0</v>
      </c>
      <c r="N8" s="99">
        <f>'Matured Coffee'!AX11</f>
        <v>0</v>
      </c>
      <c r="O8" s="52">
        <f t="shared" si="0"/>
        <v>0</v>
      </c>
      <c r="P8" s="52">
        <f t="shared" si="1"/>
        <v>0</v>
      </c>
      <c r="Q8" s="52">
        <f t="shared" si="2"/>
        <v>0</v>
      </c>
      <c r="R8" s="52">
        <f t="shared" si="3"/>
        <v>0</v>
      </c>
      <c r="S8" s="52">
        <f t="shared" si="4"/>
        <v>0</v>
      </c>
    </row>
    <row r="9" spans="1:19">
      <c r="A9" s="17" t="s">
        <v>68</v>
      </c>
      <c r="B9" s="99">
        <f>Infilling!N11</f>
        <v>0</v>
      </c>
      <c r="C9" s="99">
        <f>Infilling!AB11</f>
        <v>0</v>
      </c>
      <c r="D9" s="99">
        <f>Infilling!AD11</f>
        <v>0</v>
      </c>
      <c r="E9" s="99">
        <f>Infilling!AF11</f>
        <v>0</v>
      </c>
      <c r="F9" s="99">
        <f>Infilling!AH11</f>
        <v>0</v>
      </c>
      <c r="G9" s="99">
        <f>Infilling!AJ11</f>
        <v>0</v>
      </c>
      <c r="H9" s="99">
        <f>Infilling!AL11</f>
        <v>0</v>
      </c>
      <c r="I9" s="99">
        <f>Infilling!AN11</f>
        <v>0</v>
      </c>
      <c r="J9" s="99">
        <f>Infilling!AP11</f>
        <v>0</v>
      </c>
      <c r="K9" s="99">
        <f>Infilling!AR11</f>
        <v>0</v>
      </c>
      <c r="L9" s="99">
        <f>Infilling!AT11</f>
        <v>0</v>
      </c>
      <c r="M9" s="99">
        <f>Infilling!AV11</f>
        <v>0</v>
      </c>
      <c r="N9" s="99">
        <f>Infilling!AX11</f>
        <v>0</v>
      </c>
      <c r="O9" s="52">
        <f t="shared" si="0"/>
        <v>0</v>
      </c>
      <c r="P9" s="52">
        <f t="shared" si="1"/>
        <v>0</v>
      </c>
      <c r="Q9" s="52">
        <f t="shared" si="2"/>
        <v>0</v>
      </c>
      <c r="R9" s="52">
        <f t="shared" si="3"/>
        <v>0</v>
      </c>
      <c r="S9" s="52">
        <f t="shared" si="4"/>
        <v>0</v>
      </c>
    </row>
    <row r="10" spans="1:19">
      <c r="A10" s="17" t="s">
        <v>69</v>
      </c>
      <c r="B10" s="99">
        <f>Harvesting!N11</f>
        <v>0</v>
      </c>
      <c r="C10" s="99">
        <f>Harvesting!AB11</f>
        <v>0</v>
      </c>
      <c r="D10" s="99">
        <f>Harvesting!AD11</f>
        <v>0</v>
      </c>
      <c r="E10" s="99">
        <f>Harvesting!AF11</f>
        <v>0</v>
      </c>
      <c r="F10" s="99">
        <f>Harvesting!AH11</f>
        <v>0</v>
      </c>
      <c r="G10" s="99">
        <f>Harvesting!AJ11</f>
        <v>0</v>
      </c>
      <c r="H10" s="99">
        <f>Harvesting!AL11</f>
        <v>0</v>
      </c>
      <c r="I10" s="99">
        <f>Harvesting!AN11</f>
        <v>0</v>
      </c>
      <c r="J10" s="99">
        <f>Harvesting!AP11</f>
        <v>0</v>
      </c>
      <c r="K10" s="99">
        <f>Harvesting!AR11</f>
        <v>0</v>
      </c>
      <c r="L10" s="99">
        <f>Harvesting!AT11</f>
        <v>0</v>
      </c>
      <c r="M10" s="99">
        <f>Harvesting!AV11</f>
        <v>0</v>
      </c>
      <c r="N10" s="99">
        <f>Harvesting!AX11</f>
        <v>0</v>
      </c>
      <c r="O10" s="52">
        <f t="shared" si="0"/>
        <v>0</v>
      </c>
      <c r="P10" s="52">
        <f t="shared" si="1"/>
        <v>0</v>
      </c>
      <c r="Q10" s="52">
        <f t="shared" si="2"/>
        <v>0</v>
      </c>
      <c r="R10" s="52">
        <f t="shared" si="3"/>
        <v>0</v>
      </c>
      <c r="S10" s="52">
        <f t="shared" si="4"/>
        <v>0</v>
      </c>
    </row>
    <row r="11" spans="1:19">
      <c r="A11" s="37" t="s">
        <v>627</v>
      </c>
      <c r="B11" s="39">
        <f t="shared" ref="B11:N11" si="5">SUM(B6:B10)</f>
        <v>0</v>
      </c>
      <c r="C11" s="39">
        <f t="shared" si="5"/>
        <v>0</v>
      </c>
      <c r="D11" s="39">
        <f t="shared" si="5"/>
        <v>0</v>
      </c>
      <c r="E11" s="39">
        <f t="shared" si="5"/>
        <v>0</v>
      </c>
      <c r="F11" s="39">
        <f t="shared" si="5"/>
        <v>0</v>
      </c>
      <c r="G11" s="39">
        <f t="shared" si="5"/>
        <v>0</v>
      </c>
      <c r="H11" s="39">
        <f t="shared" si="5"/>
        <v>0</v>
      </c>
      <c r="I11" s="39">
        <f t="shared" si="5"/>
        <v>0</v>
      </c>
      <c r="J11" s="39">
        <f t="shared" si="5"/>
        <v>0</v>
      </c>
      <c r="K11" s="39">
        <f t="shared" si="5"/>
        <v>0</v>
      </c>
      <c r="L11" s="39">
        <f t="shared" si="5"/>
        <v>0</v>
      </c>
      <c r="M11" s="39">
        <f t="shared" si="5"/>
        <v>0</v>
      </c>
      <c r="N11" s="39">
        <f t="shared" si="5"/>
        <v>0</v>
      </c>
      <c r="O11" s="52">
        <f t="shared" si="0"/>
        <v>0</v>
      </c>
      <c r="P11" s="52">
        <f t="shared" si="1"/>
        <v>0</v>
      </c>
      <c r="Q11" s="52">
        <f t="shared" si="2"/>
        <v>0</v>
      </c>
      <c r="R11" s="52">
        <f t="shared" si="3"/>
        <v>0</v>
      </c>
      <c r="S11" s="52">
        <f t="shared" si="4"/>
        <v>0</v>
      </c>
    </row>
    <row r="12" spans="1:19">
      <c r="A12" s="100" t="s">
        <v>628</v>
      </c>
      <c r="C12" s="101">
        <f>SUM($C11:C11)</f>
        <v>0</v>
      </c>
      <c r="D12" s="101">
        <f>SUM($C11:D11)</f>
        <v>0</v>
      </c>
      <c r="E12" s="101">
        <f>SUM($C11:E11)</f>
        <v>0</v>
      </c>
      <c r="F12" s="101">
        <f>SUM($C11:F11)</f>
        <v>0</v>
      </c>
      <c r="G12" s="101">
        <f>SUM($C11:G11)</f>
        <v>0</v>
      </c>
      <c r="H12" s="101">
        <f>SUM($C11:H11)</f>
        <v>0</v>
      </c>
      <c r="I12" s="101">
        <f>SUM($C11:I11)</f>
        <v>0</v>
      </c>
      <c r="J12" s="101">
        <f>SUM($C11:J11)</f>
        <v>0</v>
      </c>
      <c r="K12" s="101">
        <f>SUM($C11:K11)</f>
        <v>0</v>
      </c>
      <c r="L12" s="101">
        <f>SUM($C11:L11)</f>
        <v>0</v>
      </c>
      <c r="M12" s="101">
        <f>SUM($C11:M11)</f>
        <v>0</v>
      </c>
      <c r="N12" s="101">
        <f>SUM($C11:N11)</f>
        <v>0</v>
      </c>
    </row>
    <row r="14" spans="1:19" ht="15.6">
      <c r="A14" s="10" t="s">
        <v>629</v>
      </c>
    </row>
    <row r="15" spans="1:19" ht="30" customHeight="1">
      <c r="A15" s="18" t="s">
        <v>54</v>
      </c>
      <c r="B15" s="18" t="s">
        <v>621</v>
      </c>
      <c r="C15" s="18" t="s">
        <v>139</v>
      </c>
      <c r="D15" s="18" t="s">
        <v>140</v>
      </c>
      <c r="E15" s="18" t="s">
        <v>141</v>
      </c>
      <c r="F15" s="18" t="s">
        <v>142</v>
      </c>
      <c r="G15" s="18" t="s">
        <v>143</v>
      </c>
      <c r="H15" s="18" t="s">
        <v>144</v>
      </c>
      <c r="I15" s="18" t="s">
        <v>145</v>
      </c>
      <c r="J15" s="18" t="s">
        <v>146</v>
      </c>
      <c r="K15" s="18" t="s">
        <v>147</v>
      </c>
      <c r="L15" s="18" t="s">
        <v>148</v>
      </c>
      <c r="M15" s="18" t="s">
        <v>149</v>
      </c>
      <c r="N15" s="18" t="s">
        <v>150</v>
      </c>
      <c r="O15" s="24" t="s">
        <v>622</v>
      </c>
      <c r="P15" s="24" t="s">
        <v>623</v>
      </c>
      <c r="Q15" s="24" t="s">
        <v>624</v>
      </c>
      <c r="R15" s="24" t="s">
        <v>625</v>
      </c>
      <c r="S15" s="24" t="s">
        <v>626</v>
      </c>
    </row>
    <row r="16" spans="1:19">
      <c r="A16" s="17" t="s">
        <v>7</v>
      </c>
      <c r="B16" s="35">
        <f>Nursery!N12</f>
        <v>0</v>
      </c>
      <c r="C16" s="35">
        <f>Nursery!AB12</f>
        <v>0</v>
      </c>
      <c r="D16" s="35">
        <f>Nursery!AD12</f>
        <v>0</v>
      </c>
      <c r="E16" s="35">
        <f>Nursery!AF12</f>
        <v>0</v>
      </c>
      <c r="F16" s="35">
        <f>Nursery!AH12</f>
        <v>0</v>
      </c>
      <c r="G16" s="35">
        <f>Nursery!AJ12</f>
        <v>0</v>
      </c>
      <c r="H16" s="35">
        <f>Nursery!AL12</f>
        <v>0</v>
      </c>
      <c r="I16" s="35">
        <f>Nursery!AN12</f>
        <v>0</v>
      </c>
      <c r="J16" s="35">
        <f>Nursery!AP12</f>
        <v>0</v>
      </c>
      <c r="K16" s="35">
        <f>Nursery!AR12</f>
        <v>0</v>
      </c>
      <c r="L16" s="35">
        <f>Nursery!AT12</f>
        <v>0</v>
      </c>
      <c r="M16" s="35">
        <f>Nursery!AV12</f>
        <v>0</v>
      </c>
      <c r="N16" s="35">
        <f>Nursery!AX12</f>
        <v>0</v>
      </c>
      <c r="O16" s="51">
        <f t="shared" ref="O16:O21" si="6">SUM(C16:E16)</f>
        <v>0</v>
      </c>
      <c r="P16" s="51">
        <f t="shared" ref="P16:P21" si="7">SUM(F16:H16)</f>
        <v>0</v>
      </c>
      <c r="Q16" s="51">
        <f t="shared" ref="Q16:Q21" si="8">SUM(I16:K16)</f>
        <v>0</v>
      </c>
      <c r="R16" s="51">
        <f t="shared" ref="R16:R21" si="9">SUM(L16:N16)</f>
        <v>0</v>
      </c>
      <c r="S16" s="51">
        <f t="shared" ref="S16:S21" si="10">SUM(C16:N16)-B16</f>
        <v>0</v>
      </c>
    </row>
    <row r="17" spans="1:19">
      <c r="A17" s="17" t="s">
        <v>66</v>
      </c>
      <c r="B17" s="35">
        <f>'Young Coffee'!M11</f>
        <v>0</v>
      </c>
      <c r="C17" s="35">
        <f>'Young Coffee'!AA11</f>
        <v>0</v>
      </c>
      <c r="D17" s="35">
        <f>'Young Coffee'!AC11</f>
        <v>0</v>
      </c>
      <c r="E17" s="35">
        <f>'Young Coffee'!AE11</f>
        <v>0</v>
      </c>
      <c r="F17" s="35">
        <f>'Young Coffee'!AG11</f>
        <v>0</v>
      </c>
      <c r="G17" s="35">
        <f>'Young Coffee'!AI11</f>
        <v>0</v>
      </c>
      <c r="H17" s="35">
        <f>'Young Coffee'!AK11</f>
        <v>0</v>
      </c>
      <c r="I17" s="35">
        <f>'Young Coffee'!AM11</f>
        <v>0</v>
      </c>
      <c r="J17" s="35">
        <f>'Young Coffee'!AO11</f>
        <v>0</v>
      </c>
      <c r="K17" s="35">
        <f>'Young Coffee'!AQ11</f>
        <v>0</v>
      </c>
      <c r="L17" s="35">
        <f>'Young Coffee'!AS11</f>
        <v>0</v>
      </c>
      <c r="M17" s="35">
        <f>'Young Coffee'!AU11</f>
        <v>0</v>
      </c>
      <c r="N17" s="35">
        <f>'Young Coffee'!AW11</f>
        <v>0</v>
      </c>
      <c r="O17" s="51">
        <f t="shared" si="6"/>
        <v>0</v>
      </c>
      <c r="P17" s="51">
        <f t="shared" si="7"/>
        <v>0</v>
      </c>
      <c r="Q17" s="51">
        <f t="shared" si="8"/>
        <v>0</v>
      </c>
      <c r="R17" s="51">
        <f t="shared" si="9"/>
        <v>0</v>
      </c>
      <c r="S17" s="51">
        <f t="shared" si="10"/>
        <v>0</v>
      </c>
    </row>
    <row r="18" spans="1:19">
      <c r="A18" s="17" t="s">
        <v>67</v>
      </c>
      <c r="B18" s="35">
        <f>'Matured Coffee'!M11</f>
        <v>0</v>
      </c>
      <c r="C18" s="35">
        <f>'Matured Coffee'!AA11</f>
        <v>0</v>
      </c>
      <c r="D18" s="35">
        <f>'Matured Coffee'!AC11</f>
        <v>0</v>
      </c>
      <c r="E18" s="35">
        <f>'Matured Coffee'!AE11</f>
        <v>0</v>
      </c>
      <c r="F18" s="35">
        <f>'Matured Coffee'!AG11</f>
        <v>0</v>
      </c>
      <c r="G18" s="35">
        <f>'Matured Coffee'!AI11</f>
        <v>0</v>
      </c>
      <c r="H18" s="35">
        <f>'Matured Coffee'!AK11</f>
        <v>0</v>
      </c>
      <c r="I18" s="35">
        <f>'Matured Coffee'!AM11</f>
        <v>0</v>
      </c>
      <c r="J18" s="35">
        <f>'Matured Coffee'!AO11</f>
        <v>0</v>
      </c>
      <c r="K18" s="35">
        <f>'Matured Coffee'!AQ11</f>
        <v>0</v>
      </c>
      <c r="L18" s="35">
        <f>'Matured Coffee'!AS11</f>
        <v>0</v>
      </c>
      <c r="M18" s="35">
        <f>'Matured Coffee'!AU11</f>
        <v>0</v>
      </c>
      <c r="N18" s="35">
        <f>'Matured Coffee'!AW11</f>
        <v>0</v>
      </c>
      <c r="O18" s="51">
        <f t="shared" si="6"/>
        <v>0</v>
      </c>
      <c r="P18" s="51">
        <f t="shared" si="7"/>
        <v>0</v>
      </c>
      <c r="Q18" s="51">
        <f t="shared" si="8"/>
        <v>0</v>
      </c>
      <c r="R18" s="51">
        <f t="shared" si="9"/>
        <v>0</v>
      </c>
      <c r="S18" s="51">
        <f t="shared" si="10"/>
        <v>0</v>
      </c>
    </row>
    <row r="19" spans="1:19">
      <c r="A19" s="17" t="s">
        <v>68</v>
      </c>
      <c r="B19" s="35">
        <f>Infilling!M11</f>
        <v>0</v>
      </c>
      <c r="C19" s="35">
        <f>Infilling!AA11</f>
        <v>0</v>
      </c>
      <c r="D19" s="35">
        <f>Infilling!AC11</f>
        <v>0</v>
      </c>
      <c r="E19" s="35">
        <f>Infilling!AE11</f>
        <v>0</v>
      </c>
      <c r="F19" s="35">
        <f>Infilling!AG11</f>
        <v>0</v>
      </c>
      <c r="G19" s="35">
        <f>Infilling!AI11</f>
        <v>0</v>
      </c>
      <c r="H19" s="35">
        <f>Infilling!AK11</f>
        <v>0</v>
      </c>
      <c r="I19" s="35">
        <f>Infilling!AM11</f>
        <v>0</v>
      </c>
      <c r="J19" s="35">
        <f>Infilling!AO11</f>
        <v>0</v>
      </c>
      <c r="K19" s="35">
        <f>Infilling!AQ11</f>
        <v>0</v>
      </c>
      <c r="L19" s="35">
        <f>Infilling!AS11</f>
        <v>0</v>
      </c>
      <c r="M19" s="35">
        <f>Infilling!AU11</f>
        <v>0</v>
      </c>
      <c r="N19" s="35">
        <f>Infilling!AW11</f>
        <v>0</v>
      </c>
      <c r="O19" s="51">
        <f t="shared" si="6"/>
        <v>0</v>
      </c>
      <c r="P19" s="51">
        <f t="shared" si="7"/>
        <v>0</v>
      </c>
      <c r="Q19" s="51">
        <f t="shared" si="8"/>
        <v>0</v>
      </c>
      <c r="R19" s="51">
        <f t="shared" si="9"/>
        <v>0</v>
      </c>
      <c r="S19" s="51">
        <f t="shared" si="10"/>
        <v>0</v>
      </c>
    </row>
    <row r="20" spans="1:19">
      <c r="A20" s="17" t="s">
        <v>69</v>
      </c>
      <c r="B20" s="35">
        <f>Harvesting!M11</f>
        <v>0</v>
      </c>
      <c r="C20" s="35">
        <f>Harvesting!AA11</f>
        <v>0</v>
      </c>
      <c r="D20" s="35">
        <f>Harvesting!AC11</f>
        <v>0</v>
      </c>
      <c r="E20" s="35">
        <f>Harvesting!AE11</f>
        <v>0</v>
      </c>
      <c r="F20" s="35">
        <f>Harvesting!AG11</f>
        <v>0</v>
      </c>
      <c r="G20" s="35">
        <f>Harvesting!AI11</f>
        <v>0</v>
      </c>
      <c r="H20" s="35">
        <f>Harvesting!AK11</f>
        <v>0</v>
      </c>
      <c r="I20" s="35">
        <f>Harvesting!AM11</f>
        <v>0</v>
      </c>
      <c r="J20" s="35">
        <f>Harvesting!AO11</f>
        <v>0</v>
      </c>
      <c r="K20" s="35">
        <f>Harvesting!AQ11</f>
        <v>0</v>
      </c>
      <c r="L20" s="35">
        <f>Harvesting!AS11</f>
        <v>0</v>
      </c>
      <c r="M20" s="35">
        <f>Harvesting!AU11</f>
        <v>0</v>
      </c>
      <c r="N20" s="35">
        <f>Harvesting!AW11</f>
        <v>0</v>
      </c>
      <c r="O20" s="51">
        <f t="shared" si="6"/>
        <v>0</v>
      </c>
      <c r="P20" s="51">
        <f t="shared" si="7"/>
        <v>0</v>
      </c>
      <c r="Q20" s="51">
        <f t="shared" si="8"/>
        <v>0</v>
      </c>
      <c r="R20" s="51">
        <f t="shared" si="9"/>
        <v>0</v>
      </c>
      <c r="S20" s="51">
        <f t="shared" si="10"/>
        <v>0</v>
      </c>
    </row>
    <row r="21" spans="1:19">
      <c r="A21" s="102" t="s">
        <v>630</v>
      </c>
      <c r="B21" s="103">
        <f t="shared" ref="B21:N21" si="11">SUM(B16:B20)</f>
        <v>0</v>
      </c>
      <c r="C21" s="103">
        <f t="shared" si="11"/>
        <v>0</v>
      </c>
      <c r="D21" s="103">
        <f t="shared" si="11"/>
        <v>0</v>
      </c>
      <c r="E21" s="103">
        <f t="shared" si="11"/>
        <v>0</v>
      </c>
      <c r="F21" s="103">
        <f t="shared" si="11"/>
        <v>0</v>
      </c>
      <c r="G21" s="103">
        <f t="shared" si="11"/>
        <v>0</v>
      </c>
      <c r="H21" s="103">
        <f t="shared" si="11"/>
        <v>0</v>
      </c>
      <c r="I21" s="103">
        <f t="shared" si="11"/>
        <v>0</v>
      </c>
      <c r="J21" s="103">
        <f t="shared" si="11"/>
        <v>0</v>
      </c>
      <c r="K21" s="103">
        <f t="shared" si="11"/>
        <v>0</v>
      </c>
      <c r="L21" s="103">
        <f t="shared" si="11"/>
        <v>0</v>
      </c>
      <c r="M21" s="103">
        <f t="shared" si="11"/>
        <v>0</v>
      </c>
      <c r="N21" s="103">
        <f t="shared" si="11"/>
        <v>0</v>
      </c>
      <c r="O21" s="51">
        <f t="shared" si="6"/>
        <v>0</v>
      </c>
      <c r="P21" s="51">
        <f t="shared" si="7"/>
        <v>0</v>
      </c>
      <c r="Q21" s="51">
        <f t="shared" si="8"/>
        <v>0</v>
      </c>
      <c r="R21" s="51">
        <f t="shared" si="9"/>
        <v>0</v>
      </c>
      <c r="S21" s="51">
        <f t="shared" si="10"/>
        <v>0</v>
      </c>
    </row>
    <row r="22" spans="1:19">
      <c r="A22" s="11" t="str">
        <f>"Workers needed (÷ "&amp;Settings!$C$10&amp;" working days)"</f>
        <v>Workers needed (÷ 26 working days)</v>
      </c>
      <c r="C22" s="78">
        <f>IFERROR(C21/Settings!$C$10,0)</f>
        <v>0</v>
      </c>
      <c r="D22" s="78">
        <f>IFERROR(D21/Settings!$C$10,0)</f>
        <v>0</v>
      </c>
      <c r="E22" s="78">
        <f>IFERROR(E21/Settings!$C$10,0)</f>
        <v>0</v>
      </c>
      <c r="F22" s="78">
        <f>IFERROR(F21/Settings!$C$10,0)</f>
        <v>0</v>
      </c>
      <c r="G22" s="78">
        <f>IFERROR(G21/Settings!$C$10,0)</f>
        <v>0</v>
      </c>
      <c r="H22" s="78">
        <f>IFERROR(H21/Settings!$C$10,0)</f>
        <v>0</v>
      </c>
      <c r="I22" s="78">
        <f>IFERROR(I21/Settings!$C$10,0)</f>
        <v>0</v>
      </c>
      <c r="J22" s="78">
        <f>IFERROR(J21/Settings!$C$10,0)</f>
        <v>0</v>
      </c>
      <c r="K22" s="78">
        <f>IFERROR(K21/Settings!$C$10,0)</f>
        <v>0</v>
      </c>
      <c r="L22" s="78">
        <f>IFERROR(L21/Settings!$C$10,0)</f>
        <v>0</v>
      </c>
      <c r="M22" s="78">
        <f>IFERROR(M21/Settings!$C$10,0)</f>
        <v>0</v>
      </c>
      <c r="N22" s="78">
        <f>IFERROR(N21/Settings!$C$10,0)</f>
        <v>0</v>
      </c>
    </row>
  </sheetData>
  <conditionalFormatting sqref="S6:S11">
    <cfRule type="expression" dxfId="0" priority="2">
      <formula>ABS(S6)&gt;0.5</formula>
    </cfRule>
  </conditionalFormatting>
  <pageMargins left="0.75" right="0.75" top="1" bottom="1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A6A6A6"/>
    <pageSetUpPr fitToPage="1"/>
  </sheetPr>
  <dimension ref="A1:I42"/>
  <sheetViews>
    <sheetView showGridLines="0" zoomScaleNormal="100" workbookViewId="0"/>
  </sheetViews>
  <sheetFormatPr defaultColWidth="8.6640625" defaultRowHeight="14.4"/>
  <cols>
    <col min="1" max="1" width="5" customWidth="1"/>
    <col min="2" max="2" width="34" customWidth="1"/>
    <col min="3" max="3" width="12" customWidth="1"/>
    <col min="4" max="4" width="16" customWidth="1"/>
    <col min="5" max="6" width="12" customWidth="1"/>
    <col min="7" max="7" width="14" customWidth="1"/>
    <col min="8" max="8" width="40" customWidth="1"/>
    <col min="9" max="9" width="14" customWidth="1"/>
  </cols>
  <sheetData>
    <row r="1" spans="1:9" ht="17.399999999999999">
      <c r="A1" s="8" t="s">
        <v>11</v>
      </c>
    </row>
    <row r="2" spans="1:9">
      <c r="A2" s="104" t="s">
        <v>631</v>
      </c>
    </row>
    <row r="4" spans="1:9" ht="15.6">
      <c r="B4" s="10" t="s">
        <v>632</v>
      </c>
    </row>
    <row r="5" spans="1:9" ht="43.5" customHeight="1">
      <c r="A5" s="56" t="s">
        <v>42</v>
      </c>
      <c r="B5" s="56" t="s">
        <v>633</v>
      </c>
      <c r="C5" s="57" t="s">
        <v>634</v>
      </c>
      <c r="D5" s="57" t="s">
        <v>635</v>
      </c>
      <c r="E5" s="57" t="s">
        <v>636</v>
      </c>
      <c r="F5" s="57" t="s">
        <v>637</v>
      </c>
      <c r="G5" s="24" t="s">
        <v>638</v>
      </c>
      <c r="H5" s="24" t="s">
        <v>639</v>
      </c>
      <c r="I5" s="24" t="s">
        <v>640</v>
      </c>
    </row>
    <row r="6" spans="1:9">
      <c r="A6" s="19">
        <v>1</v>
      </c>
      <c r="B6" s="17" t="s">
        <v>641</v>
      </c>
      <c r="C6" s="44"/>
      <c r="D6" s="44"/>
      <c r="E6" s="44">
        <v>12</v>
      </c>
      <c r="F6" s="105"/>
      <c r="G6" s="52">
        <f>C6*D6*E6*(1+Settings!$C$12)</f>
        <v>0</v>
      </c>
      <c r="H6" s="52">
        <f>G6*Settings!$C$11</f>
        <v>0</v>
      </c>
      <c r="I6" s="78">
        <f t="shared" ref="I6:I17" si="0">G6+H6</f>
        <v>0</v>
      </c>
    </row>
    <row r="7" spans="1:9">
      <c r="A7" s="19">
        <v>2</v>
      </c>
      <c r="B7" s="17" t="s">
        <v>642</v>
      </c>
      <c r="C7" s="44"/>
      <c r="D7" s="44"/>
      <c r="E7" s="44">
        <v>12</v>
      </c>
      <c r="F7" s="105"/>
      <c r="G7" s="52">
        <f>C7*D7*E7*(1+Settings!$C$12)</f>
        <v>0</v>
      </c>
      <c r="H7" s="52">
        <f>G7*Settings!$C$11</f>
        <v>0</v>
      </c>
      <c r="I7" s="78">
        <f t="shared" si="0"/>
        <v>0</v>
      </c>
    </row>
    <row r="8" spans="1:9">
      <c r="A8" s="19">
        <v>3</v>
      </c>
      <c r="B8" s="17" t="s">
        <v>643</v>
      </c>
      <c r="C8" s="44"/>
      <c r="D8" s="44"/>
      <c r="E8" s="44">
        <v>12</v>
      </c>
      <c r="F8" s="105"/>
      <c r="G8" s="52">
        <f>C8*D8*E8*(1+Settings!$C$12)</f>
        <v>0</v>
      </c>
      <c r="H8" s="52">
        <f>G8*Settings!$C$11</f>
        <v>0</v>
      </c>
      <c r="I8" s="78">
        <f t="shared" si="0"/>
        <v>0</v>
      </c>
    </row>
    <row r="9" spans="1:9">
      <c r="A9" s="19">
        <v>4</v>
      </c>
      <c r="B9" s="17" t="s">
        <v>644</v>
      </c>
      <c r="C9" s="44"/>
      <c r="D9" s="44"/>
      <c r="E9" s="44">
        <v>12</v>
      </c>
      <c r="F9" s="105"/>
      <c r="G9" s="52">
        <f>C9*D9*E9*(1+Settings!$C$12)</f>
        <v>0</v>
      </c>
      <c r="H9" s="52">
        <f>G9*Settings!$C$11</f>
        <v>0</v>
      </c>
      <c r="I9" s="78">
        <f t="shared" si="0"/>
        <v>0</v>
      </c>
    </row>
    <row r="10" spans="1:9">
      <c r="A10" s="19">
        <v>5</v>
      </c>
      <c r="B10" s="17" t="s">
        <v>645</v>
      </c>
      <c r="C10" s="44"/>
      <c r="D10" s="44"/>
      <c r="E10" s="44">
        <v>12</v>
      </c>
      <c r="F10" s="105"/>
      <c r="G10" s="52">
        <f>C10*D10*E10*(1+Settings!$C$12)</f>
        <v>0</v>
      </c>
      <c r="H10" s="52">
        <f>G10*Settings!$C$11</f>
        <v>0</v>
      </c>
      <c r="I10" s="78">
        <f t="shared" si="0"/>
        <v>0</v>
      </c>
    </row>
    <row r="11" spans="1:9">
      <c r="A11" s="19">
        <v>6</v>
      </c>
      <c r="B11" s="17" t="s">
        <v>646</v>
      </c>
      <c r="C11" s="44"/>
      <c r="D11" s="44"/>
      <c r="E11" s="44">
        <v>12</v>
      </c>
      <c r="F11" s="105"/>
      <c r="G11" s="52">
        <f>C11*D11*E11*(1+Settings!$C$12)</f>
        <v>0</v>
      </c>
      <c r="H11" s="52">
        <f>G11*Settings!$C$11</f>
        <v>0</v>
      </c>
      <c r="I11" s="78">
        <f t="shared" si="0"/>
        <v>0</v>
      </c>
    </row>
    <row r="12" spans="1:9">
      <c r="A12" s="19">
        <v>7</v>
      </c>
      <c r="B12" s="17" t="s">
        <v>647</v>
      </c>
      <c r="C12" s="44"/>
      <c r="D12" s="44"/>
      <c r="E12" s="44">
        <v>12</v>
      </c>
      <c r="F12" s="105"/>
      <c r="G12" s="52">
        <f>C12*D12*E12*(1+Settings!$C$12)</f>
        <v>0</v>
      </c>
      <c r="H12" s="52">
        <f>G12*Settings!$C$11</f>
        <v>0</v>
      </c>
      <c r="I12" s="78">
        <f t="shared" si="0"/>
        <v>0</v>
      </c>
    </row>
    <row r="13" spans="1:9">
      <c r="A13" s="19">
        <v>8</v>
      </c>
      <c r="B13" s="17" t="s">
        <v>648</v>
      </c>
      <c r="C13" s="44"/>
      <c r="D13" s="44"/>
      <c r="E13" s="44">
        <v>12</v>
      </c>
      <c r="F13" s="105"/>
      <c r="G13" s="52">
        <f>C13*D13*E13*(1+Settings!$C$12)</f>
        <v>0</v>
      </c>
      <c r="H13" s="52">
        <f>G13*Settings!$C$11</f>
        <v>0</v>
      </c>
      <c r="I13" s="78">
        <f t="shared" si="0"/>
        <v>0</v>
      </c>
    </row>
    <row r="14" spans="1:9">
      <c r="A14" s="19">
        <v>9</v>
      </c>
      <c r="B14" s="17" t="s">
        <v>649</v>
      </c>
      <c r="C14" s="44"/>
      <c r="D14" s="44"/>
      <c r="E14" s="44">
        <v>12</v>
      </c>
      <c r="F14" s="105"/>
      <c r="G14" s="52">
        <f>C14*D14*E14*(1+Settings!$C$12)</f>
        <v>0</v>
      </c>
      <c r="H14" s="52">
        <f>G14*Settings!$C$11</f>
        <v>0</v>
      </c>
      <c r="I14" s="78">
        <f t="shared" si="0"/>
        <v>0</v>
      </c>
    </row>
    <row r="15" spans="1:9">
      <c r="A15" s="19">
        <v>10</v>
      </c>
      <c r="B15" s="17" t="s">
        <v>650</v>
      </c>
      <c r="C15" s="44"/>
      <c r="D15" s="44"/>
      <c r="E15" s="44">
        <v>12</v>
      </c>
      <c r="F15" s="105"/>
      <c r="G15" s="52">
        <f>C15*D15*E15*(1+Settings!$C$12)</f>
        <v>0</v>
      </c>
      <c r="H15" s="52">
        <f>G15*Settings!$C$11</f>
        <v>0</v>
      </c>
      <c r="I15" s="78">
        <f t="shared" si="0"/>
        <v>0</v>
      </c>
    </row>
    <row r="16" spans="1:9">
      <c r="A16" s="19">
        <v>11</v>
      </c>
      <c r="B16" s="13"/>
      <c r="C16" s="44"/>
      <c r="D16" s="44"/>
      <c r="E16" s="44">
        <v>12</v>
      </c>
      <c r="F16" s="105"/>
      <c r="G16" s="52">
        <f>C16*D16*E16*(1+Settings!$C$12)</f>
        <v>0</v>
      </c>
      <c r="H16" s="52">
        <f>G16*Settings!$C$11</f>
        <v>0</v>
      </c>
      <c r="I16" s="78">
        <f t="shared" si="0"/>
        <v>0</v>
      </c>
    </row>
    <row r="17" spans="1:9">
      <c r="A17" s="19">
        <v>12</v>
      </c>
      <c r="B17" s="13"/>
      <c r="C17" s="44"/>
      <c r="D17" s="44"/>
      <c r="E17" s="44">
        <v>12</v>
      </c>
      <c r="F17" s="105"/>
      <c r="G17" s="52">
        <f>C17*D17*E17*(1+Settings!$C$12)</f>
        <v>0</v>
      </c>
      <c r="H17" s="52">
        <f>G17*Settings!$C$11</f>
        <v>0</v>
      </c>
      <c r="I17" s="78">
        <f t="shared" si="0"/>
        <v>0</v>
      </c>
    </row>
    <row r="18" spans="1:9">
      <c r="A18" s="106"/>
      <c r="B18" s="107" t="s">
        <v>651</v>
      </c>
      <c r="C18" s="108">
        <f>SUM(C6:C17)</f>
        <v>0</v>
      </c>
      <c r="D18" s="106"/>
      <c r="E18" s="106"/>
      <c r="F18" s="106"/>
      <c r="G18" s="108">
        <f>SUM(G6:G17)</f>
        <v>0</v>
      </c>
      <c r="H18" s="108">
        <f>SUM(H6:H17)</f>
        <v>0</v>
      </c>
      <c r="I18" s="108">
        <f>SUM(I6:I17)</f>
        <v>0</v>
      </c>
    </row>
    <row r="19" spans="1:9">
      <c r="B19" s="11" t="s">
        <v>95</v>
      </c>
      <c r="I19" s="78">
        <f>SUMPRODUCT(C6:C17,D6:D17)*(1+Settings!$C$12)*Settings!$C$13</f>
        <v>0</v>
      </c>
    </row>
    <row r="21" spans="1:9">
      <c r="B21" s="109" t="s">
        <v>652</v>
      </c>
    </row>
    <row r="22" spans="1:9">
      <c r="B22" s="110" t="s">
        <v>653</v>
      </c>
      <c r="C22" s="111">
        <v>1542567.48</v>
      </c>
    </row>
    <row r="23" spans="1:9">
      <c r="B23" s="110" t="s">
        <v>654</v>
      </c>
      <c r="C23" s="111">
        <v>3417063.358</v>
      </c>
    </row>
    <row r="24" spans="1:9">
      <c r="B24" s="110" t="s">
        <v>655</v>
      </c>
      <c r="C24" s="111">
        <v>2238290.1743999999</v>
      </c>
    </row>
    <row r="27" spans="1:9" ht="15.6">
      <c r="B27" s="10" t="s">
        <v>656</v>
      </c>
    </row>
    <row r="28" spans="1:9" ht="26.4">
      <c r="A28" s="56" t="s">
        <v>42</v>
      </c>
      <c r="B28" s="56" t="s">
        <v>657</v>
      </c>
      <c r="C28" s="23" t="s">
        <v>653</v>
      </c>
      <c r="D28" s="23" t="s">
        <v>654</v>
      </c>
      <c r="E28" s="23" t="s">
        <v>655</v>
      </c>
      <c r="F28" s="23" t="s">
        <v>62</v>
      </c>
      <c r="G28" s="57" t="s">
        <v>658</v>
      </c>
      <c r="H28" s="57" t="s">
        <v>637</v>
      </c>
      <c r="I28" s="24" t="s">
        <v>61</v>
      </c>
    </row>
    <row r="29" spans="1:9">
      <c r="A29" s="19">
        <v>1</v>
      </c>
      <c r="B29" s="17" t="s">
        <v>659</v>
      </c>
      <c r="C29" s="112">
        <v>50000</v>
      </c>
      <c r="D29" s="112">
        <v>120000</v>
      </c>
      <c r="E29" s="112">
        <v>50000</v>
      </c>
      <c r="F29" s="90">
        <f t="shared" ref="F29:F41" si="1">IF(COUNTIF(C29:E29,"&gt;0")=0,0,AVERAGEIF(C29:E29,"&gt;0"))</f>
        <v>73333.333333333328</v>
      </c>
      <c r="G29" s="113">
        <f t="shared" ref="G29:G41" si="2">F29</f>
        <v>73333.333333333328</v>
      </c>
      <c r="H29" s="114"/>
      <c r="I29" s="78">
        <f t="shared" ref="I29:I41" si="3">G29</f>
        <v>73333.333333333328</v>
      </c>
    </row>
    <row r="30" spans="1:9">
      <c r="A30" s="19">
        <v>2</v>
      </c>
      <c r="B30" s="17" t="s">
        <v>660</v>
      </c>
      <c r="C30" s="112">
        <v>60000</v>
      </c>
      <c r="D30" s="112">
        <v>72000</v>
      </c>
      <c r="E30" s="112">
        <v>120000</v>
      </c>
      <c r="F30" s="90">
        <f t="shared" si="1"/>
        <v>84000</v>
      </c>
      <c r="G30" s="113">
        <f t="shared" si="2"/>
        <v>84000</v>
      </c>
      <c r="H30" s="114"/>
      <c r="I30" s="78">
        <f t="shared" si="3"/>
        <v>84000</v>
      </c>
    </row>
    <row r="31" spans="1:9">
      <c r="A31" s="19">
        <v>3</v>
      </c>
      <c r="B31" s="17" t="s">
        <v>661</v>
      </c>
      <c r="C31" s="112">
        <v>18000</v>
      </c>
      <c r="D31" s="112">
        <v>36000</v>
      </c>
      <c r="E31" s="112">
        <v>18000</v>
      </c>
      <c r="F31" s="90">
        <f t="shared" si="1"/>
        <v>24000</v>
      </c>
      <c r="G31" s="113">
        <f t="shared" si="2"/>
        <v>24000</v>
      </c>
      <c r="H31" s="114"/>
      <c r="I31" s="78">
        <f t="shared" si="3"/>
        <v>24000</v>
      </c>
    </row>
    <row r="32" spans="1:9">
      <c r="A32" s="19">
        <v>4</v>
      </c>
      <c r="B32" s="17" t="s">
        <v>662</v>
      </c>
      <c r="C32" s="112">
        <v>10000</v>
      </c>
      <c r="D32" s="112">
        <v>33000</v>
      </c>
      <c r="E32" s="112">
        <v>30000</v>
      </c>
      <c r="F32" s="90">
        <f t="shared" si="1"/>
        <v>24333.333333333332</v>
      </c>
      <c r="G32" s="113">
        <f t="shared" si="2"/>
        <v>24333.333333333332</v>
      </c>
      <c r="H32" s="114" t="s">
        <v>663</v>
      </c>
      <c r="I32" s="78">
        <f t="shared" si="3"/>
        <v>24333.333333333332</v>
      </c>
    </row>
    <row r="33" spans="1:9">
      <c r="A33" s="19">
        <v>5</v>
      </c>
      <c r="B33" s="17" t="s">
        <v>664</v>
      </c>
      <c r="C33" s="112">
        <v>210000</v>
      </c>
      <c r="D33" s="112">
        <v>257000</v>
      </c>
      <c r="E33" s="112">
        <v>100000</v>
      </c>
      <c r="F33" s="90">
        <f t="shared" si="1"/>
        <v>189000</v>
      </c>
      <c r="G33" s="113">
        <f t="shared" si="2"/>
        <v>189000</v>
      </c>
      <c r="H33" s="114"/>
      <c r="I33" s="78">
        <f t="shared" si="3"/>
        <v>189000</v>
      </c>
    </row>
    <row r="34" spans="1:9">
      <c r="A34" s="19">
        <v>6</v>
      </c>
      <c r="B34" s="17" t="s">
        <v>665</v>
      </c>
      <c r="C34" s="112">
        <v>50000</v>
      </c>
      <c r="D34" s="112">
        <v>50000</v>
      </c>
      <c r="E34" s="112"/>
      <c r="F34" s="90">
        <f t="shared" si="1"/>
        <v>50000</v>
      </c>
      <c r="G34" s="113">
        <f t="shared" si="2"/>
        <v>50000</v>
      </c>
      <c r="H34" s="114"/>
      <c r="I34" s="78">
        <f t="shared" si="3"/>
        <v>50000</v>
      </c>
    </row>
    <row r="35" spans="1:9">
      <c r="A35" s="19">
        <v>7</v>
      </c>
      <c r="B35" s="17" t="s">
        <v>666</v>
      </c>
      <c r="C35" s="112">
        <v>60000</v>
      </c>
      <c r="D35" s="112">
        <v>57850</v>
      </c>
      <c r="E35" s="112">
        <v>64875</v>
      </c>
      <c r="F35" s="90">
        <f t="shared" si="1"/>
        <v>60908.333333333336</v>
      </c>
      <c r="G35" s="113">
        <f t="shared" si="2"/>
        <v>60908.333333333336</v>
      </c>
      <c r="H35" s="114"/>
      <c r="I35" s="78">
        <f t="shared" si="3"/>
        <v>60908.333333333336</v>
      </c>
    </row>
    <row r="36" spans="1:9">
      <c r="A36" s="19">
        <v>8</v>
      </c>
      <c r="B36" s="17" t="s">
        <v>667</v>
      </c>
      <c r="C36" s="112"/>
      <c r="D36" s="112"/>
      <c r="E36" s="112"/>
      <c r="F36" s="90">
        <f t="shared" si="1"/>
        <v>0</v>
      </c>
      <c r="G36" s="113">
        <f t="shared" si="2"/>
        <v>0</v>
      </c>
      <c r="H36" s="114" t="s">
        <v>668</v>
      </c>
      <c r="I36" s="78">
        <f t="shared" si="3"/>
        <v>0</v>
      </c>
    </row>
    <row r="37" spans="1:9">
      <c r="A37" s="19">
        <v>9</v>
      </c>
      <c r="B37" s="17" t="s">
        <v>669</v>
      </c>
      <c r="C37" s="112"/>
      <c r="D37" s="112"/>
      <c r="E37" s="112"/>
      <c r="F37" s="90">
        <f t="shared" si="1"/>
        <v>0</v>
      </c>
      <c r="G37" s="113">
        <f t="shared" si="2"/>
        <v>0</v>
      </c>
      <c r="H37" s="114" t="s">
        <v>668</v>
      </c>
      <c r="I37" s="78">
        <f t="shared" si="3"/>
        <v>0</v>
      </c>
    </row>
    <row r="38" spans="1:9">
      <c r="A38" s="19">
        <v>10</v>
      </c>
      <c r="B38" s="17" t="s">
        <v>670</v>
      </c>
      <c r="C38" s="112"/>
      <c r="D38" s="112"/>
      <c r="E38" s="112"/>
      <c r="F38" s="90">
        <f t="shared" si="1"/>
        <v>0</v>
      </c>
      <c r="G38" s="113">
        <f t="shared" si="2"/>
        <v>0</v>
      </c>
      <c r="H38" s="114" t="s">
        <v>668</v>
      </c>
      <c r="I38" s="78">
        <f t="shared" si="3"/>
        <v>0</v>
      </c>
    </row>
    <row r="39" spans="1:9">
      <c r="A39" s="19">
        <v>11</v>
      </c>
      <c r="B39" s="17" t="s">
        <v>671</v>
      </c>
      <c r="C39" s="112"/>
      <c r="D39" s="112"/>
      <c r="E39" s="112"/>
      <c r="F39" s="90">
        <f t="shared" si="1"/>
        <v>0</v>
      </c>
      <c r="G39" s="113">
        <f t="shared" si="2"/>
        <v>0</v>
      </c>
      <c r="H39" s="114" t="s">
        <v>668</v>
      </c>
      <c r="I39" s="78">
        <f t="shared" si="3"/>
        <v>0</v>
      </c>
    </row>
    <row r="40" spans="1:9">
      <c r="A40" s="19">
        <v>12</v>
      </c>
      <c r="B40" s="13"/>
      <c r="C40" s="112"/>
      <c r="D40" s="112"/>
      <c r="E40" s="112"/>
      <c r="F40" s="90">
        <f t="shared" si="1"/>
        <v>0</v>
      </c>
      <c r="G40" s="113">
        <f t="shared" si="2"/>
        <v>0</v>
      </c>
      <c r="H40" s="114"/>
      <c r="I40" s="78">
        <f t="shared" si="3"/>
        <v>0</v>
      </c>
    </row>
    <row r="41" spans="1:9">
      <c r="A41" s="19">
        <v>13</v>
      </c>
      <c r="B41" s="13"/>
      <c r="C41" s="112"/>
      <c r="D41" s="112"/>
      <c r="E41" s="112"/>
      <c r="F41" s="90">
        <f t="shared" si="1"/>
        <v>0</v>
      </c>
      <c r="G41" s="113">
        <f t="shared" si="2"/>
        <v>0</v>
      </c>
      <c r="H41" s="114"/>
      <c r="I41" s="78">
        <f t="shared" si="3"/>
        <v>0</v>
      </c>
    </row>
    <row r="42" spans="1:9">
      <c r="A42" s="106"/>
      <c r="B42" s="107" t="s">
        <v>672</v>
      </c>
      <c r="C42" s="106"/>
      <c r="D42" s="106"/>
      <c r="E42" s="106"/>
      <c r="F42" s="106"/>
      <c r="G42" s="106"/>
      <c r="H42" s="106"/>
      <c r="I42" s="108">
        <f>SUM(I29:I41)</f>
        <v>505574.99999999994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6A6A6"/>
    <pageSetUpPr fitToPage="1"/>
  </sheetPr>
  <dimension ref="A1:AK130"/>
  <sheetViews>
    <sheetView showGridLines="0" zoomScaleNormal="100" workbookViewId="0">
      <pane xSplit="5" ySplit="6" topLeftCell="F7" activePane="bottomRight" state="frozen"/>
      <selection pane="topRight" activeCell="F1" sqref="F1"/>
      <selection pane="bottomLeft" activeCell="A7" sqref="A7"/>
      <selection pane="bottomRight"/>
    </sheetView>
  </sheetViews>
  <sheetFormatPr defaultColWidth="8.6640625" defaultRowHeight="14.4"/>
  <cols>
    <col min="1" max="1" width="7" customWidth="1"/>
    <col min="2" max="2" width="13" customWidth="1"/>
    <col min="3" max="3" width="18" customWidth="1"/>
    <col min="4" max="4" width="40" customWidth="1"/>
    <col min="5" max="5" width="9" customWidth="1"/>
    <col min="6" max="26" width="8.44140625" customWidth="1"/>
    <col min="27" max="27" width="8" customWidth="1"/>
    <col min="28" max="30" width="10" customWidth="1"/>
    <col min="31" max="31" width="9" customWidth="1"/>
    <col min="32" max="32" width="8" customWidth="1"/>
    <col min="33" max="35" width="10" customWidth="1"/>
    <col min="36" max="36" width="9" customWidth="1"/>
    <col min="37" max="37" width="40" customWidth="1"/>
  </cols>
  <sheetData>
    <row r="1" spans="1:37" ht="17.399999999999999">
      <c r="A1" s="8" t="s">
        <v>673</v>
      </c>
    </row>
    <row r="2" spans="1:37">
      <c r="A2" s="9" t="s">
        <v>674</v>
      </c>
    </row>
    <row r="3" spans="1:37">
      <c r="A3" s="21" t="s">
        <v>675</v>
      </c>
    </row>
    <row r="5" spans="1:37">
      <c r="A5" s="6" t="s">
        <v>121</v>
      </c>
      <c r="B5" s="6"/>
      <c r="C5" s="6"/>
      <c r="D5" s="6"/>
      <c r="E5" s="6"/>
      <c r="F5" s="5" t="s">
        <v>676</v>
      </c>
      <c r="G5" s="5"/>
      <c r="H5" s="5"/>
      <c r="I5" s="5"/>
      <c r="J5" s="5"/>
      <c r="K5" s="5"/>
      <c r="L5" s="5" t="s">
        <v>677</v>
      </c>
      <c r="M5" s="5"/>
      <c r="N5" s="5"/>
      <c r="O5" s="5"/>
      <c r="P5" s="5"/>
      <c r="Q5" s="5"/>
      <c r="R5" s="5" t="s">
        <v>678</v>
      </c>
      <c r="S5" s="5"/>
      <c r="T5" s="5"/>
      <c r="U5" s="5"/>
      <c r="V5" s="5"/>
      <c r="W5" s="5"/>
      <c r="X5" s="4" t="s">
        <v>679</v>
      </c>
      <c r="Y5" s="4"/>
      <c r="Z5" s="4"/>
      <c r="AA5" s="4" t="s">
        <v>680</v>
      </c>
      <c r="AB5" s="4"/>
      <c r="AC5" s="4"/>
      <c r="AD5" s="4"/>
      <c r="AE5" s="4"/>
      <c r="AF5" s="4" t="s">
        <v>681</v>
      </c>
      <c r="AG5" s="4"/>
      <c r="AH5" s="4"/>
      <c r="AI5" s="4"/>
      <c r="AJ5" s="4"/>
      <c r="AK5" s="22"/>
    </row>
    <row r="6" spans="1:37" ht="39.75" customHeight="1">
      <c r="A6" s="18" t="s">
        <v>127</v>
      </c>
      <c r="B6" s="18" t="s">
        <v>54</v>
      </c>
      <c r="C6" s="18" t="s">
        <v>130</v>
      </c>
      <c r="D6" s="18" t="s">
        <v>128</v>
      </c>
      <c r="E6" s="18" t="s">
        <v>57</v>
      </c>
      <c r="F6" s="18" t="s">
        <v>653</v>
      </c>
      <c r="G6" s="18" t="s">
        <v>654</v>
      </c>
      <c r="H6" s="18" t="s">
        <v>655</v>
      </c>
      <c r="I6" s="18" t="s">
        <v>682</v>
      </c>
      <c r="J6" s="18" t="s">
        <v>683</v>
      </c>
      <c r="K6" s="18" t="s">
        <v>684</v>
      </c>
      <c r="L6" s="18" t="s">
        <v>653</v>
      </c>
      <c r="M6" s="18" t="s">
        <v>654</v>
      </c>
      <c r="N6" s="18" t="s">
        <v>655</v>
      </c>
      <c r="O6" s="18" t="s">
        <v>682</v>
      </c>
      <c r="P6" s="18" t="s">
        <v>683</v>
      </c>
      <c r="Q6" s="18" t="s">
        <v>684</v>
      </c>
      <c r="R6" s="18" t="s">
        <v>653</v>
      </c>
      <c r="S6" s="18" t="s">
        <v>654</v>
      </c>
      <c r="T6" s="18" t="s">
        <v>655</v>
      </c>
      <c r="U6" s="18" t="s">
        <v>682</v>
      </c>
      <c r="V6" s="18" t="s">
        <v>683</v>
      </c>
      <c r="W6" s="18" t="s">
        <v>684</v>
      </c>
      <c r="X6" s="24" t="s">
        <v>653</v>
      </c>
      <c r="Y6" s="24" t="s">
        <v>654</v>
      </c>
      <c r="Z6" s="24" t="s">
        <v>655</v>
      </c>
      <c r="AA6" s="24" t="s">
        <v>685</v>
      </c>
      <c r="AB6" s="24" t="s">
        <v>686</v>
      </c>
      <c r="AC6" s="24" t="s">
        <v>131</v>
      </c>
      <c r="AD6" s="24" t="s">
        <v>687</v>
      </c>
      <c r="AE6" s="24" t="s">
        <v>688</v>
      </c>
      <c r="AF6" s="24" t="s">
        <v>685</v>
      </c>
      <c r="AG6" s="24" t="s">
        <v>686</v>
      </c>
      <c r="AH6" s="24" t="s">
        <v>131</v>
      </c>
      <c r="AI6" s="24" t="s">
        <v>687</v>
      </c>
      <c r="AJ6" s="24" t="s">
        <v>688</v>
      </c>
      <c r="AK6" s="24" t="s">
        <v>689</v>
      </c>
    </row>
    <row r="7" spans="1:37">
      <c r="A7" s="17" t="s">
        <v>175</v>
      </c>
      <c r="B7" s="17" t="s">
        <v>7</v>
      </c>
      <c r="C7" s="115" t="s">
        <v>178</v>
      </c>
      <c r="D7" s="17" t="s">
        <v>176</v>
      </c>
      <c r="E7" s="50" t="s">
        <v>109</v>
      </c>
      <c r="F7" s="116">
        <v>4000</v>
      </c>
      <c r="G7" s="116">
        <v>4000</v>
      </c>
      <c r="H7" s="116">
        <v>3000</v>
      </c>
      <c r="I7" s="116">
        <v>3000</v>
      </c>
      <c r="J7" s="116">
        <v>2600</v>
      </c>
      <c r="K7" s="116">
        <v>4000</v>
      </c>
      <c r="L7" s="117">
        <v>20</v>
      </c>
      <c r="M7" s="117">
        <v>20</v>
      </c>
      <c r="N7" s="117">
        <v>20</v>
      </c>
      <c r="O7" s="117">
        <v>20</v>
      </c>
      <c r="P7" s="117">
        <v>20</v>
      </c>
      <c r="Q7" s="117">
        <v>20</v>
      </c>
      <c r="R7" s="118">
        <v>1</v>
      </c>
      <c r="S7" s="118">
        <v>1</v>
      </c>
      <c r="T7" s="118">
        <v>1</v>
      </c>
      <c r="U7" s="118">
        <v>1</v>
      </c>
      <c r="V7" s="118">
        <v>1</v>
      </c>
      <c r="W7" s="118">
        <v>1</v>
      </c>
      <c r="X7" s="52">
        <f t="shared" ref="X7:X38" si="0">IFERROR(F7/L7,0)</f>
        <v>200</v>
      </c>
      <c r="Y7" s="52">
        <f t="shared" ref="Y7:Y38" si="1">IFERROR(G7/M7,0)</f>
        <v>200</v>
      </c>
      <c r="Z7" s="52">
        <f t="shared" ref="Z7:Z38" si="2">IFERROR(H7/N7,0)</f>
        <v>150</v>
      </c>
      <c r="AA7" s="52">
        <f t="shared" ref="AA7:AA38" si="3">COUNTIF(F7:H7,"&gt;0")</f>
        <v>3</v>
      </c>
      <c r="AB7" s="76">
        <f t="shared" ref="AB7:AB38" si="4">IFERROR(AVERAGEIF(F7:H7,"&gt;0"),0)</f>
        <v>3666.6666666666665</v>
      </c>
      <c r="AC7" s="75">
        <f t="shared" ref="AC7:AC38" si="5">IFERROR(AVERAGEIF(L7:N7,"&gt;0"),0)</f>
        <v>20</v>
      </c>
      <c r="AD7" s="119">
        <f t="shared" ref="AD7:AD38" si="6">IF(AC7&gt;0,AB7/AC7,0)</f>
        <v>183.33333333333331</v>
      </c>
      <c r="AE7" s="52">
        <f t="shared" ref="AE7:AE38" si="7">IFERROR(MAX(1,ROUND(AVERAGEIF(R7:T7,"&gt;0"),0)),1)</f>
        <v>1</v>
      </c>
      <c r="AF7" s="52">
        <f t="shared" ref="AF7:AF38" si="8">COUNTIF(F7:K7,"&gt;0")</f>
        <v>6</v>
      </c>
      <c r="AG7" s="76">
        <f t="shared" ref="AG7:AG38" si="9">IFERROR(AVERAGEIF(F7:K7,"&gt;0"),0)</f>
        <v>3433.3333333333335</v>
      </c>
      <c r="AH7" s="75">
        <f t="shared" ref="AH7:AH38" si="10">IFERROR(AVERAGEIF(L7:Q7,"&gt;0"),0)</f>
        <v>20</v>
      </c>
      <c r="AI7" s="76">
        <f t="shared" ref="AI7:AI38" si="11">IF(AH7&gt;0,AG7/AH7,0)</f>
        <v>171.66666666666669</v>
      </c>
      <c r="AJ7" s="52">
        <f t="shared" ref="AJ7:AJ38" si="12">IFERROR(MAX(1,ROUND(AVERAGEIF(R7:W7,"&gt;0"),0)),1)</f>
        <v>1</v>
      </c>
      <c r="AK7" s="110"/>
    </row>
    <row r="8" spans="1:37">
      <c r="A8" s="17" t="s">
        <v>180</v>
      </c>
      <c r="B8" s="17" t="s">
        <v>7</v>
      </c>
      <c r="C8" s="115" t="s">
        <v>178</v>
      </c>
      <c r="D8" s="17" t="s">
        <v>181</v>
      </c>
      <c r="E8" s="50" t="s">
        <v>109</v>
      </c>
      <c r="F8" s="116"/>
      <c r="G8" s="116"/>
      <c r="H8" s="116">
        <v>3000</v>
      </c>
      <c r="I8" s="116">
        <v>2500</v>
      </c>
      <c r="J8" s="116"/>
      <c r="K8" s="116"/>
      <c r="L8" s="117"/>
      <c r="M8" s="117"/>
      <c r="N8" s="117">
        <v>24</v>
      </c>
      <c r="O8" s="117">
        <v>20</v>
      </c>
      <c r="P8" s="117"/>
      <c r="Q8" s="117"/>
      <c r="R8" s="118"/>
      <c r="S8" s="118"/>
      <c r="T8" s="118">
        <v>1</v>
      </c>
      <c r="U8" s="118">
        <v>1</v>
      </c>
      <c r="V8" s="118"/>
      <c r="W8" s="118"/>
      <c r="X8" s="52">
        <f t="shared" si="0"/>
        <v>0</v>
      </c>
      <c r="Y8" s="52">
        <f t="shared" si="1"/>
        <v>0</v>
      </c>
      <c r="Z8" s="52">
        <f t="shared" si="2"/>
        <v>125</v>
      </c>
      <c r="AA8" s="52">
        <f t="shared" si="3"/>
        <v>1</v>
      </c>
      <c r="AB8" s="76">
        <f t="shared" si="4"/>
        <v>3000</v>
      </c>
      <c r="AC8" s="75">
        <f t="shared" si="5"/>
        <v>24</v>
      </c>
      <c r="AD8" s="119">
        <f t="shared" si="6"/>
        <v>125</v>
      </c>
      <c r="AE8" s="52">
        <f t="shared" si="7"/>
        <v>1</v>
      </c>
      <c r="AF8" s="52">
        <f t="shared" si="8"/>
        <v>2</v>
      </c>
      <c r="AG8" s="76">
        <f t="shared" si="9"/>
        <v>2750</v>
      </c>
      <c r="AH8" s="75">
        <f t="shared" si="10"/>
        <v>22</v>
      </c>
      <c r="AI8" s="76">
        <f t="shared" si="11"/>
        <v>125</v>
      </c>
      <c r="AJ8" s="52">
        <f t="shared" si="12"/>
        <v>1</v>
      </c>
      <c r="AK8" s="110"/>
    </row>
    <row r="9" spans="1:37">
      <c r="A9" s="17" t="s">
        <v>185</v>
      </c>
      <c r="B9" s="17" t="s">
        <v>7</v>
      </c>
      <c r="C9" s="115" t="s">
        <v>178</v>
      </c>
      <c r="D9" s="17" t="s">
        <v>186</v>
      </c>
      <c r="E9" s="50" t="s">
        <v>109</v>
      </c>
      <c r="F9" s="116">
        <v>10000</v>
      </c>
      <c r="G9" s="116">
        <v>3200</v>
      </c>
      <c r="H9" s="116">
        <v>2500</v>
      </c>
      <c r="I9" s="116">
        <v>3000</v>
      </c>
      <c r="J9" s="116">
        <v>3000</v>
      </c>
      <c r="K9" s="116">
        <v>4000</v>
      </c>
      <c r="L9" s="117">
        <v>66.6666666666667</v>
      </c>
      <c r="M9" s="117">
        <v>16</v>
      </c>
      <c r="N9" s="117">
        <v>16.6666666666667</v>
      </c>
      <c r="O9" s="117">
        <v>20</v>
      </c>
      <c r="P9" s="117">
        <v>10</v>
      </c>
      <c r="Q9" s="117">
        <v>10</v>
      </c>
      <c r="R9" s="118">
        <v>1</v>
      </c>
      <c r="S9" s="118">
        <v>1</v>
      </c>
      <c r="T9" s="118">
        <v>1</v>
      </c>
      <c r="U9" s="118">
        <v>1</v>
      </c>
      <c r="V9" s="118">
        <v>1</v>
      </c>
      <c r="W9" s="118">
        <v>1</v>
      </c>
      <c r="X9" s="52">
        <f t="shared" si="0"/>
        <v>149.99999999999991</v>
      </c>
      <c r="Y9" s="52">
        <f t="shared" si="1"/>
        <v>200</v>
      </c>
      <c r="Z9" s="52">
        <f t="shared" si="2"/>
        <v>149.99999999999972</v>
      </c>
      <c r="AA9" s="52">
        <f t="shared" si="3"/>
        <v>3</v>
      </c>
      <c r="AB9" s="76">
        <f t="shared" si="4"/>
        <v>5233.333333333333</v>
      </c>
      <c r="AC9" s="75">
        <f t="shared" si="5"/>
        <v>33.111111111111136</v>
      </c>
      <c r="AD9" s="119">
        <f t="shared" si="6"/>
        <v>158.05369127516767</v>
      </c>
      <c r="AE9" s="52">
        <f t="shared" si="7"/>
        <v>1</v>
      </c>
      <c r="AF9" s="52">
        <f t="shared" si="8"/>
        <v>6</v>
      </c>
      <c r="AG9" s="76">
        <f t="shared" si="9"/>
        <v>4283.333333333333</v>
      </c>
      <c r="AH9" s="75">
        <f t="shared" si="10"/>
        <v>23.222222222222232</v>
      </c>
      <c r="AI9" s="76">
        <f t="shared" si="11"/>
        <v>184.44976076555014</v>
      </c>
      <c r="AJ9" s="52">
        <f t="shared" si="12"/>
        <v>1</v>
      </c>
      <c r="AK9" s="110"/>
    </row>
    <row r="10" spans="1:37">
      <c r="A10" s="17" t="s">
        <v>188</v>
      </c>
      <c r="B10" s="17" t="s">
        <v>7</v>
      </c>
      <c r="C10" s="115" t="s">
        <v>178</v>
      </c>
      <c r="D10" s="17" t="s">
        <v>189</v>
      </c>
      <c r="E10" s="50" t="s">
        <v>109</v>
      </c>
      <c r="F10" s="116">
        <v>4000</v>
      </c>
      <c r="G10" s="116">
        <v>1600</v>
      </c>
      <c r="H10" s="116">
        <v>1600</v>
      </c>
      <c r="I10" s="116">
        <v>1600</v>
      </c>
      <c r="J10" s="116">
        <v>2000</v>
      </c>
      <c r="K10" s="116"/>
      <c r="L10" s="117">
        <v>25</v>
      </c>
      <c r="M10" s="117">
        <v>10</v>
      </c>
      <c r="N10" s="117">
        <v>10</v>
      </c>
      <c r="O10" s="117">
        <v>10</v>
      </c>
      <c r="P10" s="117">
        <v>10</v>
      </c>
      <c r="Q10" s="117"/>
      <c r="R10" s="118">
        <v>1</v>
      </c>
      <c r="S10" s="118">
        <v>1</v>
      </c>
      <c r="T10" s="118">
        <v>1</v>
      </c>
      <c r="U10" s="118">
        <v>1</v>
      </c>
      <c r="V10" s="118">
        <v>1</v>
      </c>
      <c r="W10" s="118"/>
      <c r="X10" s="52">
        <f t="shared" si="0"/>
        <v>160</v>
      </c>
      <c r="Y10" s="52">
        <f t="shared" si="1"/>
        <v>160</v>
      </c>
      <c r="Z10" s="52">
        <f t="shared" si="2"/>
        <v>160</v>
      </c>
      <c r="AA10" s="52">
        <f t="shared" si="3"/>
        <v>3</v>
      </c>
      <c r="AB10" s="76">
        <f t="shared" si="4"/>
        <v>2400</v>
      </c>
      <c r="AC10" s="75">
        <f t="shared" si="5"/>
        <v>15</v>
      </c>
      <c r="AD10" s="119">
        <f t="shared" si="6"/>
        <v>160</v>
      </c>
      <c r="AE10" s="52">
        <f t="shared" si="7"/>
        <v>1</v>
      </c>
      <c r="AF10" s="52">
        <f t="shared" si="8"/>
        <v>5</v>
      </c>
      <c r="AG10" s="76">
        <f t="shared" si="9"/>
        <v>2160</v>
      </c>
      <c r="AH10" s="75">
        <f t="shared" si="10"/>
        <v>13</v>
      </c>
      <c r="AI10" s="76">
        <f t="shared" si="11"/>
        <v>166.15384615384616</v>
      </c>
      <c r="AJ10" s="52">
        <f t="shared" si="12"/>
        <v>1</v>
      </c>
      <c r="AK10" s="110"/>
    </row>
    <row r="11" spans="1:37">
      <c r="A11" s="17" t="s">
        <v>191</v>
      </c>
      <c r="B11" s="17" t="s">
        <v>7</v>
      </c>
      <c r="C11" s="115" t="s">
        <v>194</v>
      </c>
      <c r="D11" s="17" t="s">
        <v>192</v>
      </c>
      <c r="E11" s="50" t="s">
        <v>195</v>
      </c>
      <c r="F11" s="116">
        <v>100</v>
      </c>
      <c r="G11" s="116">
        <v>20</v>
      </c>
      <c r="H11" s="116">
        <v>50</v>
      </c>
      <c r="I11" s="116">
        <v>25</v>
      </c>
      <c r="J11" s="116">
        <v>20</v>
      </c>
      <c r="K11" s="116">
        <v>15</v>
      </c>
      <c r="L11" s="117">
        <v>1</v>
      </c>
      <c r="M11" s="117">
        <v>0.2</v>
      </c>
      <c r="N11" s="117">
        <v>0.5</v>
      </c>
      <c r="O11" s="117">
        <v>0.25</v>
      </c>
      <c r="P11" s="117">
        <v>0.2</v>
      </c>
      <c r="Q11" s="117">
        <v>0.15</v>
      </c>
      <c r="R11" s="118">
        <v>1</v>
      </c>
      <c r="S11" s="118">
        <v>1</v>
      </c>
      <c r="T11" s="118">
        <v>1</v>
      </c>
      <c r="U11" s="118">
        <v>1</v>
      </c>
      <c r="V11" s="118">
        <v>1</v>
      </c>
      <c r="W11" s="118">
        <v>1</v>
      </c>
      <c r="X11" s="52">
        <f t="shared" si="0"/>
        <v>100</v>
      </c>
      <c r="Y11" s="52">
        <f t="shared" si="1"/>
        <v>100</v>
      </c>
      <c r="Z11" s="52">
        <f t="shared" si="2"/>
        <v>100</v>
      </c>
      <c r="AA11" s="52">
        <f t="shared" si="3"/>
        <v>3</v>
      </c>
      <c r="AB11" s="76">
        <f t="shared" si="4"/>
        <v>56.666666666666664</v>
      </c>
      <c r="AC11" s="75">
        <f t="shared" si="5"/>
        <v>0.56666666666666665</v>
      </c>
      <c r="AD11" s="119">
        <f t="shared" si="6"/>
        <v>100</v>
      </c>
      <c r="AE11" s="52">
        <f t="shared" si="7"/>
        <v>1</v>
      </c>
      <c r="AF11" s="52">
        <f t="shared" si="8"/>
        <v>6</v>
      </c>
      <c r="AG11" s="76">
        <f t="shared" si="9"/>
        <v>38.333333333333336</v>
      </c>
      <c r="AH11" s="75">
        <f t="shared" si="10"/>
        <v>0.3833333333333333</v>
      </c>
      <c r="AI11" s="76">
        <f t="shared" si="11"/>
        <v>100.00000000000001</v>
      </c>
      <c r="AJ11" s="52">
        <f t="shared" si="12"/>
        <v>1</v>
      </c>
      <c r="AK11" s="110"/>
    </row>
    <row r="12" spans="1:37">
      <c r="A12" s="17" t="s">
        <v>196</v>
      </c>
      <c r="B12" s="17" t="s">
        <v>7</v>
      </c>
      <c r="C12" s="115" t="s">
        <v>194</v>
      </c>
      <c r="D12" s="17" t="s">
        <v>197</v>
      </c>
      <c r="E12" s="50" t="s">
        <v>195</v>
      </c>
      <c r="F12" s="116">
        <v>50</v>
      </c>
      <c r="G12" s="116"/>
      <c r="H12" s="116"/>
      <c r="I12" s="116"/>
      <c r="J12" s="116">
        <v>10</v>
      </c>
      <c r="K12" s="116">
        <v>15</v>
      </c>
      <c r="L12" s="117">
        <v>0.5</v>
      </c>
      <c r="M12" s="117"/>
      <c r="N12" s="117"/>
      <c r="O12" s="117"/>
      <c r="P12" s="117">
        <v>0.2</v>
      </c>
      <c r="Q12" s="117">
        <v>0.3</v>
      </c>
      <c r="R12" s="118">
        <v>1</v>
      </c>
      <c r="S12" s="118"/>
      <c r="T12" s="118"/>
      <c r="U12" s="118"/>
      <c r="V12" s="118">
        <v>1</v>
      </c>
      <c r="W12" s="118">
        <v>1</v>
      </c>
      <c r="X12" s="52">
        <f t="shared" si="0"/>
        <v>100</v>
      </c>
      <c r="Y12" s="52">
        <f t="shared" si="1"/>
        <v>0</v>
      </c>
      <c r="Z12" s="52">
        <f t="shared" si="2"/>
        <v>0</v>
      </c>
      <c r="AA12" s="52">
        <f t="shared" si="3"/>
        <v>1</v>
      </c>
      <c r="AB12" s="76">
        <f t="shared" si="4"/>
        <v>50</v>
      </c>
      <c r="AC12" s="75">
        <f t="shared" si="5"/>
        <v>0.5</v>
      </c>
      <c r="AD12" s="119">
        <f t="shared" si="6"/>
        <v>100</v>
      </c>
      <c r="AE12" s="52">
        <f t="shared" si="7"/>
        <v>1</v>
      </c>
      <c r="AF12" s="52">
        <f t="shared" si="8"/>
        <v>3</v>
      </c>
      <c r="AG12" s="76">
        <f t="shared" si="9"/>
        <v>25</v>
      </c>
      <c r="AH12" s="75">
        <f t="shared" si="10"/>
        <v>0.33333333333333331</v>
      </c>
      <c r="AI12" s="76">
        <f t="shared" si="11"/>
        <v>75</v>
      </c>
      <c r="AJ12" s="52">
        <f t="shared" si="12"/>
        <v>1</v>
      </c>
      <c r="AK12" s="110"/>
    </row>
    <row r="13" spans="1:37">
      <c r="A13" s="17" t="s">
        <v>199</v>
      </c>
      <c r="B13" s="17" t="s">
        <v>7</v>
      </c>
      <c r="C13" s="115" t="s">
        <v>194</v>
      </c>
      <c r="D13" s="17" t="s">
        <v>200</v>
      </c>
      <c r="E13" s="50" t="s">
        <v>202</v>
      </c>
      <c r="F13" s="116">
        <v>20</v>
      </c>
      <c r="G13" s="116">
        <v>15</v>
      </c>
      <c r="H13" s="116">
        <v>10</v>
      </c>
      <c r="I13" s="116">
        <v>10</v>
      </c>
      <c r="J13" s="116">
        <v>10</v>
      </c>
      <c r="K13" s="116">
        <v>30</v>
      </c>
      <c r="L13" s="117">
        <v>0.05</v>
      </c>
      <c r="M13" s="117">
        <v>0.25</v>
      </c>
      <c r="N13" s="117">
        <v>2.5000000000000001E-2</v>
      </c>
      <c r="O13" s="117">
        <v>0.05</v>
      </c>
      <c r="P13" s="117">
        <v>0.2</v>
      </c>
      <c r="Q13" s="117">
        <v>1</v>
      </c>
      <c r="R13" s="118">
        <v>1</v>
      </c>
      <c r="S13" s="118">
        <v>1</v>
      </c>
      <c r="T13" s="118">
        <v>1</v>
      </c>
      <c r="U13" s="118">
        <v>1</v>
      </c>
      <c r="V13" s="118">
        <v>1</v>
      </c>
      <c r="W13" s="118">
        <v>1</v>
      </c>
      <c r="X13" s="52">
        <f t="shared" si="0"/>
        <v>400</v>
      </c>
      <c r="Y13" s="52">
        <f t="shared" si="1"/>
        <v>60</v>
      </c>
      <c r="Z13" s="52">
        <f t="shared" si="2"/>
        <v>400</v>
      </c>
      <c r="AA13" s="52">
        <f t="shared" si="3"/>
        <v>3</v>
      </c>
      <c r="AB13" s="76">
        <f t="shared" si="4"/>
        <v>15</v>
      </c>
      <c r="AC13" s="75">
        <f t="shared" si="5"/>
        <v>0.10833333333333334</v>
      </c>
      <c r="AD13" s="119">
        <f t="shared" si="6"/>
        <v>138.46153846153845</v>
      </c>
      <c r="AE13" s="52">
        <f t="shared" si="7"/>
        <v>1</v>
      </c>
      <c r="AF13" s="52">
        <f t="shared" si="8"/>
        <v>6</v>
      </c>
      <c r="AG13" s="76">
        <f t="shared" si="9"/>
        <v>15.833333333333334</v>
      </c>
      <c r="AH13" s="75">
        <f t="shared" si="10"/>
        <v>0.26250000000000001</v>
      </c>
      <c r="AI13" s="76">
        <f t="shared" si="11"/>
        <v>60.317460317460316</v>
      </c>
      <c r="AJ13" s="52">
        <f t="shared" si="12"/>
        <v>1</v>
      </c>
      <c r="AK13" s="110"/>
    </row>
    <row r="14" spans="1:37">
      <c r="A14" s="17" t="s">
        <v>203</v>
      </c>
      <c r="B14" s="17" t="s">
        <v>7</v>
      </c>
      <c r="C14" s="115" t="s">
        <v>194</v>
      </c>
      <c r="D14" s="17" t="s">
        <v>204</v>
      </c>
      <c r="E14" s="50" t="s">
        <v>206</v>
      </c>
      <c r="F14" s="116">
        <v>1</v>
      </c>
      <c r="G14" s="116">
        <v>0.8</v>
      </c>
      <c r="H14" s="116">
        <v>1</v>
      </c>
      <c r="I14" s="116">
        <v>1</v>
      </c>
      <c r="J14" s="116">
        <v>0.5</v>
      </c>
      <c r="K14" s="116">
        <v>1</v>
      </c>
      <c r="L14" s="117">
        <v>2.5000000000000001E-3</v>
      </c>
      <c r="M14" s="117">
        <v>0.01</v>
      </c>
      <c r="N14" s="117">
        <v>2.5000000000000001E-3</v>
      </c>
      <c r="O14" s="117">
        <v>2.5000000000000001E-3</v>
      </c>
      <c r="P14" s="117">
        <v>0.01</v>
      </c>
      <c r="Q14" s="117">
        <v>0.01</v>
      </c>
      <c r="R14" s="118">
        <v>1</v>
      </c>
      <c r="S14" s="118">
        <v>1</v>
      </c>
      <c r="T14" s="118">
        <v>1</v>
      </c>
      <c r="U14" s="118">
        <v>1</v>
      </c>
      <c r="V14" s="118">
        <v>1</v>
      </c>
      <c r="W14" s="118">
        <v>1</v>
      </c>
      <c r="X14" s="52">
        <f t="shared" si="0"/>
        <v>400</v>
      </c>
      <c r="Y14" s="52">
        <f t="shared" si="1"/>
        <v>80</v>
      </c>
      <c r="Z14" s="52">
        <f t="shared" si="2"/>
        <v>400</v>
      </c>
      <c r="AA14" s="52">
        <f t="shared" si="3"/>
        <v>3</v>
      </c>
      <c r="AB14" s="76">
        <f t="shared" si="4"/>
        <v>0.93333333333333324</v>
      </c>
      <c r="AC14" s="75">
        <f t="shared" si="5"/>
        <v>5.0000000000000001E-3</v>
      </c>
      <c r="AD14" s="119">
        <f t="shared" si="6"/>
        <v>186.66666666666666</v>
      </c>
      <c r="AE14" s="52">
        <f t="shared" si="7"/>
        <v>1</v>
      </c>
      <c r="AF14" s="52">
        <f t="shared" si="8"/>
        <v>6</v>
      </c>
      <c r="AG14" s="76">
        <f t="shared" si="9"/>
        <v>0.8833333333333333</v>
      </c>
      <c r="AH14" s="75">
        <f t="shared" si="10"/>
        <v>6.2500000000000012E-3</v>
      </c>
      <c r="AI14" s="76">
        <f t="shared" si="11"/>
        <v>141.33333333333331</v>
      </c>
      <c r="AJ14" s="52">
        <f t="shared" si="12"/>
        <v>1</v>
      </c>
      <c r="AK14" s="110"/>
    </row>
    <row r="15" spans="1:37">
      <c r="A15" s="17" t="s">
        <v>207</v>
      </c>
      <c r="B15" s="17" t="s">
        <v>7</v>
      </c>
      <c r="C15" s="115" t="s">
        <v>194</v>
      </c>
      <c r="D15" s="17" t="s">
        <v>208</v>
      </c>
      <c r="E15" s="50" t="s">
        <v>206</v>
      </c>
      <c r="F15" s="116">
        <v>1</v>
      </c>
      <c r="G15" s="116">
        <v>1</v>
      </c>
      <c r="H15" s="116">
        <v>1</v>
      </c>
      <c r="I15" s="116">
        <v>1</v>
      </c>
      <c r="J15" s="116">
        <v>1</v>
      </c>
      <c r="K15" s="116">
        <v>2</v>
      </c>
      <c r="L15" s="117">
        <v>3.3333333333333301E-3</v>
      </c>
      <c r="M15" s="117">
        <v>0.01</v>
      </c>
      <c r="N15" s="117">
        <v>3.3333333333333301E-3</v>
      </c>
      <c r="O15" s="117">
        <v>3.3333333333333301E-3</v>
      </c>
      <c r="P15" s="117">
        <v>0.01</v>
      </c>
      <c r="Q15" s="117">
        <v>0.02</v>
      </c>
      <c r="R15" s="118">
        <v>1</v>
      </c>
      <c r="S15" s="118">
        <v>1</v>
      </c>
      <c r="T15" s="118">
        <v>1</v>
      </c>
      <c r="U15" s="118">
        <v>1</v>
      </c>
      <c r="V15" s="118">
        <v>1</v>
      </c>
      <c r="W15" s="118">
        <v>1</v>
      </c>
      <c r="X15" s="52">
        <f t="shared" si="0"/>
        <v>300.00000000000028</v>
      </c>
      <c r="Y15" s="52">
        <f t="shared" si="1"/>
        <v>100</v>
      </c>
      <c r="Z15" s="52">
        <f t="shared" si="2"/>
        <v>300.00000000000028</v>
      </c>
      <c r="AA15" s="52">
        <f t="shared" si="3"/>
        <v>3</v>
      </c>
      <c r="AB15" s="76">
        <f t="shared" si="4"/>
        <v>1</v>
      </c>
      <c r="AC15" s="75">
        <f t="shared" si="5"/>
        <v>5.5555555555555532E-3</v>
      </c>
      <c r="AD15" s="119">
        <f t="shared" si="6"/>
        <v>180.00000000000009</v>
      </c>
      <c r="AE15" s="52">
        <f t="shared" si="7"/>
        <v>1</v>
      </c>
      <c r="AF15" s="52">
        <f t="shared" si="8"/>
        <v>6</v>
      </c>
      <c r="AG15" s="76">
        <f t="shared" si="9"/>
        <v>1.1666666666666667</v>
      </c>
      <c r="AH15" s="75">
        <f t="shared" si="10"/>
        <v>8.3333333333333315E-3</v>
      </c>
      <c r="AI15" s="76">
        <f t="shared" si="11"/>
        <v>140.00000000000003</v>
      </c>
      <c r="AJ15" s="52">
        <f t="shared" si="12"/>
        <v>1</v>
      </c>
      <c r="AK15" s="110"/>
    </row>
    <row r="16" spans="1:37">
      <c r="A16" s="17" t="s">
        <v>210</v>
      </c>
      <c r="B16" s="17" t="s">
        <v>7</v>
      </c>
      <c r="C16" s="115" t="s">
        <v>194</v>
      </c>
      <c r="D16" s="17" t="s">
        <v>211</v>
      </c>
      <c r="E16" s="50" t="s">
        <v>117</v>
      </c>
      <c r="F16" s="116">
        <v>200</v>
      </c>
      <c r="G16" s="116">
        <v>200</v>
      </c>
      <c r="H16" s="116">
        <v>200</v>
      </c>
      <c r="I16" s="116">
        <v>200</v>
      </c>
      <c r="J16" s="116">
        <v>50</v>
      </c>
      <c r="K16" s="116">
        <v>100</v>
      </c>
      <c r="L16" s="117">
        <v>1</v>
      </c>
      <c r="M16" s="117">
        <v>1</v>
      </c>
      <c r="N16" s="117">
        <v>1</v>
      </c>
      <c r="O16" s="117">
        <v>1</v>
      </c>
      <c r="P16" s="117">
        <v>0.5</v>
      </c>
      <c r="Q16" s="117">
        <v>1</v>
      </c>
      <c r="R16" s="118">
        <v>1</v>
      </c>
      <c r="S16" s="118">
        <v>1</v>
      </c>
      <c r="T16" s="118">
        <v>1</v>
      </c>
      <c r="U16" s="118">
        <v>1</v>
      </c>
      <c r="V16" s="118">
        <v>1</v>
      </c>
      <c r="W16" s="118">
        <v>1</v>
      </c>
      <c r="X16" s="52">
        <f t="shared" si="0"/>
        <v>200</v>
      </c>
      <c r="Y16" s="52">
        <f t="shared" si="1"/>
        <v>200</v>
      </c>
      <c r="Z16" s="52">
        <f t="shared" si="2"/>
        <v>200</v>
      </c>
      <c r="AA16" s="52">
        <f t="shared" si="3"/>
        <v>3</v>
      </c>
      <c r="AB16" s="76">
        <f t="shared" si="4"/>
        <v>200</v>
      </c>
      <c r="AC16" s="75">
        <f t="shared" si="5"/>
        <v>1</v>
      </c>
      <c r="AD16" s="119">
        <f t="shared" si="6"/>
        <v>200</v>
      </c>
      <c r="AE16" s="52">
        <f t="shared" si="7"/>
        <v>1</v>
      </c>
      <c r="AF16" s="52">
        <f t="shared" si="8"/>
        <v>6</v>
      </c>
      <c r="AG16" s="76">
        <f t="shared" si="9"/>
        <v>158.33333333333334</v>
      </c>
      <c r="AH16" s="75">
        <f t="shared" si="10"/>
        <v>0.91666666666666663</v>
      </c>
      <c r="AI16" s="76">
        <f t="shared" si="11"/>
        <v>172.72727272727275</v>
      </c>
      <c r="AJ16" s="52">
        <f t="shared" si="12"/>
        <v>1</v>
      </c>
      <c r="AK16" s="110"/>
    </row>
    <row r="17" spans="1:37">
      <c r="A17" s="17" t="s">
        <v>213</v>
      </c>
      <c r="B17" s="17" t="s">
        <v>7</v>
      </c>
      <c r="C17" s="115" t="s">
        <v>216</v>
      </c>
      <c r="D17" s="17" t="s">
        <v>214</v>
      </c>
      <c r="E17" s="50" t="s">
        <v>117</v>
      </c>
      <c r="F17" s="116">
        <v>300</v>
      </c>
      <c r="G17" s="116">
        <v>200</v>
      </c>
      <c r="H17" s="116">
        <v>200</v>
      </c>
      <c r="I17" s="116">
        <v>100</v>
      </c>
      <c r="J17" s="116">
        <v>200</v>
      </c>
      <c r="K17" s="116">
        <v>250</v>
      </c>
      <c r="L17" s="117">
        <v>1.5</v>
      </c>
      <c r="M17" s="117">
        <v>1</v>
      </c>
      <c r="N17" s="117">
        <v>1</v>
      </c>
      <c r="O17" s="117">
        <v>0.5</v>
      </c>
      <c r="P17" s="117">
        <v>1</v>
      </c>
      <c r="Q17" s="117">
        <v>1</v>
      </c>
      <c r="R17" s="118">
        <v>1</v>
      </c>
      <c r="S17" s="118">
        <v>1</v>
      </c>
      <c r="T17" s="118">
        <v>1</v>
      </c>
      <c r="U17" s="118">
        <v>1</v>
      </c>
      <c r="V17" s="118">
        <v>1</v>
      </c>
      <c r="W17" s="118">
        <v>1</v>
      </c>
      <c r="X17" s="52">
        <f t="shared" si="0"/>
        <v>200</v>
      </c>
      <c r="Y17" s="52">
        <f t="shared" si="1"/>
        <v>200</v>
      </c>
      <c r="Z17" s="52">
        <f t="shared" si="2"/>
        <v>200</v>
      </c>
      <c r="AA17" s="52">
        <f t="shared" si="3"/>
        <v>3</v>
      </c>
      <c r="AB17" s="76">
        <f t="shared" si="4"/>
        <v>233.33333333333334</v>
      </c>
      <c r="AC17" s="75">
        <f t="shared" si="5"/>
        <v>1.1666666666666667</v>
      </c>
      <c r="AD17" s="119">
        <f t="shared" si="6"/>
        <v>200</v>
      </c>
      <c r="AE17" s="52">
        <f t="shared" si="7"/>
        <v>1</v>
      </c>
      <c r="AF17" s="52">
        <f t="shared" si="8"/>
        <v>6</v>
      </c>
      <c r="AG17" s="76">
        <f t="shared" si="9"/>
        <v>208.33333333333334</v>
      </c>
      <c r="AH17" s="75">
        <f t="shared" si="10"/>
        <v>1</v>
      </c>
      <c r="AI17" s="76">
        <f t="shared" si="11"/>
        <v>208.33333333333334</v>
      </c>
      <c r="AJ17" s="52">
        <f t="shared" si="12"/>
        <v>1</v>
      </c>
      <c r="AK17" s="110"/>
    </row>
    <row r="18" spans="1:37">
      <c r="A18" s="17" t="s">
        <v>217</v>
      </c>
      <c r="B18" s="17" t="s">
        <v>7</v>
      </c>
      <c r="C18" s="115" t="s">
        <v>216</v>
      </c>
      <c r="D18" s="17" t="s">
        <v>218</v>
      </c>
      <c r="E18" s="50" t="s">
        <v>117</v>
      </c>
      <c r="F18" s="116">
        <v>50</v>
      </c>
      <c r="G18" s="116">
        <v>50</v>
      </c>
      <c r="H18" s="116">
        <v>30</v>
      </c>
      <c r="I18" s="116">
        <v>20</v>
      </c>
      <c r="J18" s="116">
        <v>25</v>
      </c>
      <c r="K18" s="116">
        <v>30</v>
      </c>
      <c r="L18" s="117">
        <v>1</v>
      </c>
      <c r="M18" s="117">
        <v>1</v>
      </c>
      <c r="N18" s="117">
        <v>0.75</v>
      </c>
      <c r="O18" s="117">
        <v>0.5</v>
      </c>
      <c r="P18" s="117">
        <v>0.25</v>
      </c>
      <c r="Q18" s="117">
        <v>0.3</v>
      </c>
      <c r="R18" s="118">
        <v>2</v>
      </c>
      <c r="S18" s="118">
        <v>2</v>
      </c>
      <c r="T18" s="118">
        <v>2</v>
      </c>
      <c r="U18" s="118">
        <v>2</v>
      </c>
      <c r="V18" s="118">
        <v>2</v>
      </c>
      <c r="W18" s="118">
        <v>2</v>
      </c>
      <c r="X18" s="52">
        <f t="shared" si="0"/>
        <v>50</v>
      </c>
      <c r="Y18" s="52">
        <f t="shared" si="1"/>
        <v>50</v>
      </c>
      <c r="Z18" s="52">
        <f t="shared" si="2"/>
        <v>40</v>
      </c>
      <c r="AA18" s="52">
        <f t="shared" si="3"/>
        <v>3</v>
      </c>
      <c r="AB18" s="76">
        <f t="shared" si="4"/>
        <v>43.333333333333336</v>
      </c>
      <c r="AC18" s="75">
        <f t="shared" si="5"/>
        <v>0.91666666666666663</v>
      </c>
      <c r="AD18" s="119">
        <f t="shared" si="6"/>
        <v>47.27272727272728</v>
      </c>
      <c r="AE18" s="52">
        <f t="shared" si="7"/>
        <v>2</v>
      </c>
      <c r="AF18" s="52">
        <f t="shared" si="8"/>
        <v>6</v>
      </c>
      <c r="AG18" s="76">
        <f t="shared" si="9"/>
        <v>34.166666666666664</v>
      </c>
      <c r="AH18" s="75">
        <f t="shared" si="10"/>
        <v>0.6333333333333333</v>
      </c>
      <c r="AI18" s="76">
        <f t="shared" si="11"/>
        <v>53.94736842105263</v>
      </c>
      <c r="AJ18" s="52">
        <f t="shared" si="12"/>
        <v>2</v>
      </c>
      <c r="AK18" s="110"/>
    </row>
    <row r="19" spans="1:37">
      <c r="A19" s="17" t="s">
        <v>220</v>
      </c>
      <c r="B19" s="17" t="s">
        <v>7</v>
      </c>
      <c r="C19" s="115" t="s">
        <v>216</v>
      </c>
      <c r="D19" s="17" t="s">
        <v>221</v>
      </c>
      <c r="E19" s="50" t="s">
        <v>117</v>
      </c>
      <c r="F19" s="116">
        <v>300</v>
      </c>
      <c r="G19" s="116">
        <v>200</v>
      </c>
      <c r="H19" s="116">
        <v>200</v>
      </c>
      <c r="I19" s="116">
        <v>100</v>
      </c>
      <c r="J19" s="116">
        <v>200</v>
      </c>
      <c r="K19" s="116">
        <v>200</v>
      </c>
      <c r="L19" s="117">
        <v>3</v>
      </c>
      <c r="M19" s="117">
        <v>2</v>
      </c>
      <c r="N19" s="117">
        <v>2</v>
      </c>
      <c r="O19" s="117">
        <v>1</v>
      </c>
      <c r="P19" s="117">
        <v>1</v>
      </c>
      <c r="Q19" s="117">
        <v>1</v>
      </c>
      <c r="R19" s="118">
        <v>1</v>
      </c>
      <c r="S19" s="118">
        <v>1</v>
      </c>
      <c r="T19" s="118">
        <v>1</v>
      </c>
      <c r="U19" s="118">
        <v>1</v>
      </c>
      <c r="V19" s="118">
        <v>1</v>
      </c>
      <c r="W19" s="118">
        <v>1</v>
      </c>
      <c r="X19" s="52">
        <f t="shared" si="0"/>
        <v>100</v>
      </c>
      <c r="Y19" s="52">
        <f t="shared" si="1"/>
        <v>100</v>
      </c>
      <c r="Z19" s="52">
        <f t="shared" si="2"/>
        <v>100</v>
      </c>
      <c r="AA19" s="52">
        <f t="shared" si="3"/>
        <v>3</v>
      </c>
      <c r="AB19" s="76">
        <f t="shared" si="4"/>
        <v>233.33333333333334</v>
      </c>
      <c r="AC19" s="75">
        <f t="shared" si="5"/>
        <v>2.3333333333333335</v>
      </c>
      <c r="AD19" s="119">
        <f t="shared" si="6"/>
        <v>100</v>
      </c>
      <c r="AE19" s="52">
        <f t="shared" si="7"/>
        <v>1</v>
      </c>
      <c r="AF19" s="52">
        <f t="shared" si="8"/>
        <v>6</v>
      </c>
      <c r="AG19" s="76">
        <f t="shared" si="9"/>
        <v>200</v>
      </c>
      <c r="AH19" s="75">
        <f t="shared" si="10"/>
        <v>1.6666666666666667</v>
      </c>
      <c r="AI19" s="76">
        <f t="shared" si="11"/>
        <v>120</v>
      </c>
      <c r="AJ19" s="52">
        <f t="shared" si="12"/>
        <v>1</v>
      </c>
      <c r="AK19" s="110"/>
    </row>
    <row r="20" spans="1:37">
      <c r="A20" s="17" t="s">
        <v>223</v>
      </c>
      <c r="B20" s="17" t="s">
        <v>7</v>
      </c>
      <c r="C20" s="115" t="s">
        <v>216</v>
      </c>
      <c r="D20" s="17" t="s">
        <v>224</v>
      </c>
      <c r="E20" s="50" t="s">
        <v>226</v>
      </c>
      <c r="F20" s="116">
        <v>100</v>
      </c>
      <c r="G20" s="116">
        <v>100</v>
      </c>
      <c r="H20" s="116">
        <v>40</v>
      </c>
      <c r="I20" s="116">
        <v>25</v>
      </c>
      <c r="J20" s="116">
        <v>150</v>
      </c>
      <c r="K20" s="116">
        <v>200</v>
      </c>
      <c r="L20" s="117">
        <v>1</v>
      </c>
      <c r="M20" s="117">
        <v>1</v>
      </c>
      <c r="N20" s="117">
        <v>0.4</v>
      </c>
      <c r="O20" s="117">
        <v>0.25</v>
      </c>
      <c r="P20" s="117">
        <v>1</v>
      </c>
      <c r="Q20" s="117">
        <v>1</v>
      </c>
      <c r="R20" s="118">
        <v>1</v>
      </c>
      <c r="S20" s="118">
        <v>5</v>
      </c>
      <c r="T20" s="118">
        <v>1</v>
      </c>
      <c r="U20" s="118">
        <v>1</v>
      </c>
      <c r="V20" s="118">
        <v>5</v>
      </c>
      <c r="W20" s="118">
        <v>3</v>
      </c>
      <c r="X20" s="52">
        <f t="shared" si="0"/>
        <v>100</v>
      </c>
      <c r="Y20" s="52">
        <f t="shared" si="1"/>
        <v>100</v>
      </c>
      <c r="Z20" s="52">
        <f t="shared" si="2"/>
        <v>100</v>
      </c>
      <c r="AA20" s="52">
        <f t="shared" si="3"/>
        <v>3</v>
      </c>
      <c r="AB20" s="76">
        <f t="shared" si="4"/>
        <v>80</v>
      </c>
      <c r="AC20" s="75">
        <f t="shared" si="5"/>
        <v>0.79999999999999993</v>
      </c>
      <c r="AD20" s="119">
        <f t="shared" si="6"/>
        <v>100.00000000000001</v>
      </c>
      <c r="AE20" s="52">
        <f t="shared" si="7"/>
        <v>2</v>
      </c>
      <c r="AF20" s="52">
        <f t="shared" si="8"/>
        <v>6</v>
      </c>
      <c r="AG20" s="76">
        <f t="shared" si="9"/>
        <v>102.5</v>
      </c>
      <c r="AH20" s="75">
        <f t="shared" si="10"/>
        <v>0.77500000000000002</v>
      </c>
      <c r="AI20" s="76">
        <f t="shared" si="11"/>
        <v>132.25806451612902</v>
      </c>
      <c r="AJ20" s="52">
        <f t="shared" si="12"/>
        <v>3</v>
      </c>
      <c r="AK20" s="110"/>
    </row>
    <row r="21" spans="1:37">
      <c r="A21" s="17" t="s">
        <v>227</v>
      </c>
      <c r="B21" s="17" t="s">
        <v>7</v>
      </c>
      <c r="C21" s="115" t="s">
        <v>216</v>
      </c>
      <c r="D21" s="17" t="s">
        <v>228</v>
      </c>
      <c r="E21" s="50" t="s">
        <v>117</v>
      </c>
      <c r="F21" s="116">
        <v>50</v>
      </c>
      <c r="G21" s="116">
        <v>20</v>
      </c>
      <c r="H21" s="116">
        <v>20</v>
      </c>
      <c r="I21" s="116">
        <v>20</v>
      </c>
      <c r="J21" s="116">
        <v>30</v>
      </c>
      <c r="K21" s="116">
        <v>30</v>
      </c>
      <c r="L21" s="117">
        <v>0.5</v>
      </c>
      <c r="M21" s="117">
        <v>1</v>
      </c>
      <c r="N21" s="117">
        <v>0.2</v>
      </c>
      <c r="O21" s="117">
        <v>0.2</v>
      </c>
      <c r="P21" s="117">
        <v>1.5</v>
      </c>
      <c r="Q21" s="117">
        <v>1</v>
      </c>
      <c r="R21" s="118">
        <v>1</v>
      </c>
      <c r="S21" s="118">
        <v>1</v>
      </c>
      <c r="T21" s="118">
        <v>1</v>
      </c>
      <c r="U21" s="118">
        <v>1</v>
      </c>
      <c r="V21" s="118">
        <v>1</v>
      </c>
      <c r="W21" s="118">
        <v>1</v>
      </c>
      <c r="X21" s="52">
        <f t="shared" si="0"/>
        <v>100</v>
      </c>
      <c r="Y21" s="52">
        <f t="shared" si="1"/>
        <v>20</v>
      </c>
      <c r="Z21" s="52">
        <f t="shared" si="2"/>
        <v>100</v>
      </c>
      <c r="AA21" s="52">
        <f t="shared" si="3"/>
        <v>3</v>
      </c>
      <c r="AB21" s="76">
        <f t="shared" si="4"/>
        <v>30</v>
      </c>
      <c r="AC21" s="75">
        <f t="shared" si="5"/>
        <v>0.56666666666666665</v>
      </c>
      <c r="AD21" s="119">
        <f t="shared" si="6"/>
        <v>52.941176470588239</v>
      </c>
      <c r="AE21" s="52">
        <f t="shared" si="7"/>
        <v>1</v>
      </c>
      <c r="AF21" s="52">
        <f t="shared" si="8"/>
        <v>6</v>
      </c>
      <c r="AG21" s="76">
        <f t="shared" si="9"/>
        <v>28.333333333333332</v>
      </c>
      <c r="AH21" s="75">
        <f t="shared" si="10"/>
        <v>0.73333333333333339</v>
      </c>
      <c r="AI21" s="76">
        <f t="shared" si="11"/>
        <v>38.636363636363633</v>
      </c>
      <c r="AJ21" s="52">
        <f t="shared" si="12"/>
        <v>1</v>
      </c>
      <c r="AK21" s="110"/>
    </row>
    <row r="22" spans="1:37">
      <c r="A22" s="17" t="s">
        <v>230</v>
      </c>
      <c r="B22" s="17" t="s">
        <v>7</v>
      </c>
      <c r="C22" s="115" t="s">
        <v>216</v>
      </c>
      <c r="D22" s="17" t="s">
        <v>231</v>
      </c>
      <c r="E22" s="50" t="s">
        <v>117</v>
      </c>
      <c r="F22" s="116">
        <v>50</v>
      </c>
      <c r="G22" s="116">
        <v>20</v>
      </c>
      <c r="H22" s="116">
        <v>20</v>
      </c>
      <c r="I22" s="116">
        <v>20</v>
      </c>
      <c r="J22" s="116">
        <v>30</v>
      </c>
      <c r="K22" s="116">
        <v>50</v>
      </c>
      <c r="L22" s="117">
        <v>0.5</v>
      </c>
      <c r="M22" s="117">
        <v>1</v>
      </c>
      <c r="N22" s="117">
        <v>0.2</v>
      </c>
      <c r="O22" s="117">
        <v>0.2</v>
      </c>
      <c r="P22" s="117">
        <v>0.1</v>
      </c>
      <c r="Q22" s="117">
        <v>0.1</v>
      </c>
      <c r="R22" s="118">
        <v>1</v>
      </c>
      <c r="S22" s="118">
        <v>1</v>
      </c>
      <c r="T22" s="118">
        <v>1</v>
      </c>
      <c r="U22" s="118">
        <v>1</v>
      </c>
      <c r="V22" s="118">
        <v>1</v>
      </c>
      <c r="W22" s="118">
        <v>2</v>
      </c>
      <c r="X22" s="52">
        <f t="shared" si="0"/>
        <v>100</v>
      </c>
      <c r="Y22" s="52">
        <f t="shared" si="1"/>
        <v>20</v>
      </c>
      <c r="Z22" s="52">
        <f t="shared" si="2"/>
        <v>100</v>
      </c>
      <c r="AA22" s="52">
        <f t="shared" si="3"/>
        <v>3</v>
      </c>
      <c r="AB22" s="76">
        <f t="shared" si="4"/>
        <v>30</v>
      </c>
      <c r="AC22" s="75">
        <f t="shared" si="5"/>
        <v>0.56666666666666665</v>
      </c>
      <c r="AD22" s="119">
        <f t="shared" si="6"/>
        <v>52.941176470588239</v>
      </c>
      <c r="AE22" s="52">
        <f t="shared" si="7"/>
        <v>1</v>
      </c>
      <c r="AF22" s="52">
        <f t="shared" si="8"/>
        <v>6</v>
      </c>
      <c r="AG22" s="76">
        <f t="shared" si="9"/>
        <v>31.666666666666668</v>
      </c>
      <c r="AH22" s="75">
        <f t="shared" si="10"/>
        <v>0.35000000000000003</v>
      </c>
      <c r="AI22" s="76">
        <f t="shared" si="11"/>
        <v>90.476190476190467</v>
      </c>
      <c r="AJ22" s="52">
        <f t="shared" si="12"/>
        <v>1</v>
      </c>
      <c r="AK22" s="110"/>
    </row>
    <row r="23" spans="1:37">
      <c r="A23" s="17" t="s">
        <v>233</v>
      </c>
      <c r="B23" s="17" t="s">
        <v>7</v>
      </c>
      <c r="C23" s="115" t="s">
        <v>216</v>
      </c>
      <c r="D23" s="17" t="s">
        <v>234</v>
      </c>
      <c r="E23" s="50" t="s">
        <v>236</v>
      </c>
      <c r="F23" s="116">
        <v>0.25</v>
      </c>
      <c r="G23" s="116">
        <v>0.5</v>
      </c>
      <c r="H23" s="116">
        <v>0.25</v>
      </c>
      <c r="I23" s="116">
        <v>0.5</v>
      </c>
      <c r="J23" s="116">
        <v>0.25</v>
      </c>
      <c r="K23" s="116">
        <v>0.5</v>
      </c>
      <c r="L23" s="117">
        <v>1.25E-3</v>
      </c>
      <c r="M23" s="117">
        <v>5.0000000000000001E-3</v>
      </c>
      <c r="N23" s="117">
        <v>1.25E-3</v>
      </c>
      <c r="O23" s="117">
        <v>2.5000000000000001E-3</v>
      </c>
      <c r="P23" s="117">
        <v>2.5000000000000001E-3</v>
      </c>
      <c r="Q23" s="117">
        <v>0.01</v>
      </c>
      <c r="R23" s="118">
        <v>1</v>
      </c>
      <c r="S23" s="118">
        <v>1</v>
      </c>
      <c r="T23" s="118">
        <v>1</v>
      </c>
      <c r="U23" s="118">
        <v>1</v>
      </c>
      <c r="V23" s="118">
        <v>1</v>
      </c>
      <c r="W23" s="118">
        <v>1</v>
      </c>
      <c r="X23" s="52">
        <f t="shared" si="0"/>
        <v>200</v>
      </c>
      <c r="Y23" s="52">
        <f t="shared" si="1"/>
        <v>100</v>
      </c>
      <c r="Z23" s="52">
        <f t="shared" si="2"/>
        <v>200</v>
      </c>
      <c r="AA23" s="52">
        <f t="shared" si="3"/>
        <v>3</v>
      </c>
      <c r="AB23" s="76">
        <f t="shared" si="4"/>
        <v>0.33333333333333331</v>
      </c>
      <c r="AC23" s="75">
        <f t="shared" si="5"/>
        <v>2.5000000000000001E-3</v>
      </c>
      <c r="AD23" s="119">
        <f t="shared" si="6"/>
        <v>133.33333333333331</v>
      </c>
      <c r="AE23" s="52">
        <f t="shared" si="7"/>
        <v>1</v>
      </c>
      <c r="AF23" s="52">
        <f t="shared" si="8"/>
        <v>6</v>
      </c>
      <c r="AG23" s="76">
        <f t="shared" si="9"/>
        <v>0.375</v>
      </c>
      <c r="AH23" s="75">
        <f t="shared" si="10"/>
        <v>3.7499999999999999E-3</v>
      </c>
      <c r="AI23" s="76">
        <f t="shared" si="11"/>
        <v>100</v>
      </c>
      <c r="AJ23" s="52">
        <f t="shared" si="12"/>
        <v>1</v>
      </c>
      <c r="AK23" s="110"/>
    </row>
    <row r="24" spans="1:37">
      <c r="A24" s="17" t="s">
        <v>237</v>
      </c>
      <c r="B24" s="17" t="s">
        <v>7</v>
      </c>
      <c r="C24" s="115" t="s">
        <v>240</v>
      </c>
      <c r="D24" s="17" t="s">
        <v>238</v>
      </c>
      <c r="E24" s="50" t="s">
        <v>117</v>
      </c>
      <c r="F24" s="116">
        <v>200</v>
      </c>
      <c r="G24" s="116">
        <v>150</v>
      </c>
      <c r="H24" s="116">
        <v>200</v>
      </c>
      <c r="I24" s="116">
        <v>300</v>
      </c>
      <c r="J24" s="116">
        <v>20</v>
      </c>
      <c r="K24" s="116">
        <v>50</v>
      </c>
      <c r="L24" s="117">
        <v>0.22222222222222199</v>
      </c>
      <c r="M24" s="117">
        <v>1</v>
      </c>
      <c r="N24" s="117">
        <v>0.22222222222222199</v>
      </c>
      <c r="O24" s="117">
        <v>0.33333333333333298</v>
      </c>
      <c r="P24" s="117">
        <v>0.1</v>
      </c>
      <c r="Q24" s="117">
        <v>0.25</v>
      </c>
      <c r="R24" s="118">
        <v>1</v>
      </c>
      <c r="S24" s="118">
        <v>3</v>
      </c>
      <c r="T24" s="118">
        <v>1</v>
      </c>
      <c r="U24" s="118">
        <v>1</v>
      </c>
      <c r="V24" s="118">
        <v>2</v>
      </c>
      <c r="W24" s="118">
        <v>2</v>
      </c>
      <c r="X24" s="52">
        <f t="shared" si="0"/>
        <v>900.00000000000091</v>
      </c>
      <c r="Y24" s="52">
        <f t="shared" si="1"/>
        <v>150</v>
      </c>
      <c r="Z24" s="52">
        <f t="shared" si="2"/>
        <v>900.00000000000091</v>
      </c>
      <c r="AA24" s="52">
        <f t="shared" si="3"/>
        <v>3</v>
      </c>
      <c r="AB24" s="76">
        <f t="shared" si="4"/>
        <v>183.33333333333334</v>
      </c>
      <c r="AC24" s="75">
        <f t="shared" si="5"/>
        <v>0.48148148148148123</v>
      </c>
      <c r="AD24" s="119">
        <f t="shared" si="6"/>
        <v>380.769230769231</v>
      </c>
      <c r="AE24" s="52">
        <f t="shared" si="7"/>
        <v>2</v>
      </c>
      <c r="AF24" s="52">
        <f t="shared" si="8"/>
        <v>6</v>
      </c>
      <c r="AG24" s="76">
        <f t="shared" si="9"/>
        <v>153.33333333333334</v>
      </c>
      <c r="AH24" s="75">
        <f t="shared" si="10"/>
        <v>0.35462962962962946</v>
      </c>
      <c r="AI24" s="76">
        <f t="shared" si="11"/>
        <v>432.37597911227175</v>
      </c>
      <c r="AJ24" s="52">
        <f t="shared" si="12"/>
        <v>2</v>
      </c>
      <c r="AK24" s="110"/>
    </row>
    <row r="25" spans="1:37">
      <c r="A25" s="17" t="s">
        <v>243</v>
      </c>
      <c r="B25" s="17" t="s">
        <v>7</v>
      </c>
      <c r="C25" s="115" t="s">
        <v>240</v>
      </c>
      <c r="D25" s="17" t="s">
        <v>244</v>
      </c>
      <c r="E25" s="50" t="s">
        <v>117</v>
      </c>
      <c r="F25" s="116">
        <v>200</v>
      </c>
      <c r="G25" s="116">
        <v>70</v>
      </c>
      <c r="H25" s="116">
        <v>200</v>
      </c>
      <c r="I25" s="116">
        <v>300</v>
      </c>
      <c r="J25" s="116">
        <v>20</v>
      </c>
      <c r="K25" s="116">
        <v>30</v>
      </c>
      <c r="L25" s="117">
        <v>0.5</v>
      </c>
      <c r="M25" s="117">
        <v>1</v>
      </c>
      <c r="N25" s="117">
        <v>0.5</v>
      </c>
      <c r="O25" s="117">
        <v>1</v>
      </c>
      <c r="P25" s="117">
        <v>0.2</v>
      </c>
      <c r="Q25" s="117">
        <v>0.3</v>
      </c>
      <c r="R25" s="118">
        <v>1</v>
      </c>
      <c r="S25" s="118">
        <v>4</v>
      </c>
      <c r="T25" s="118">
        <v>1</v>
      </c>
      <c r="U25" s="118">
        <v>1</v>
      </c>
      <c r="V25" s="118">
        <v>1</v>
      </c>
      <c r="W25" s="118">
        <v>1</v>
      </c>
      <c r="X25" s="52">
        <f t="shared" si="0"/>
        <v>400</v>
      </c>
      <c r="Y25" s="52">
        <f t="shared" si="1"/>
        <v>70</v>
      </c>
      <c r="Z25" s="52">
        <f t="shared" si="2"/>
        <v>400</v>
      </c>
      <c r="AA25" s="52">
        <f t="shared" si="3"/>
        <v>3</v>
      </c>
      <c r="AB25" s="76">
        <f t="shared" si="4"/>
        <v>156.66666666666666</v>
      </c>
      <c r="AC25" s="75">
        <f t="shared" si="5"/>
        <v>0.66666666666666663</v>
      </c>
      <c r="AD25" s="119">
        <f t="shared" si="6"/>
        <v>235</v>
      </c>
      <c r="AE25" s="52">
        <f t="shared" si="7"/>
        <v>2</v>
      </c>
      <c r="AF25" s="52">
        <f t="shared" si="8"/>
        <v>6</v>
      </c>
      <c r="AG25" s="76">
        <f t="shared" si="9"/>
        <v>136.66666666666666</v>
      </c>
      <c r="AH25" s="75">
        <f t="shared" si="10"/>
        <v>0.58333333333333337</v>
      </c>
      <c r="AI25" s="76">
        <f t="shared" si="11"/>
        <v>234.28571428571425</v>
      </c>
      <c r="AJ25" s="52">
        <f t="shared" si="12"/>
        <v>2</v>
      </c>
      <c r="AK25" s="110"/>
    </row>
    <row r="26" spans="1:37">
      <c r="A26" s="17" t="s">
        <v>246</v>
      </c>
      <c r="B26" s="17" t="s">
        <v>7</v>
      </c>
      <c r="C26" s="115" t="s">
        <v>240</v>
      </c>
      <c r="D26" s="17" t="s">
        <v>247</v>
      </c>
      <c r="E26" s="50" t="s">
        <v>117</v>
      </c>
      <c r="F26" s="116">
        <v>100</v>
      </c>
      <c r="G26" s="116">
        <v>150</v>
      </c>
      <c r="H26" s="116">
        <v>150</v>
      </c>
      <c r="I26" s="116">
        <v>120</v>
      </c>
      <c r="J26" s="116">
        <v>150</v>
      </c>
      <c r="K26" s="116">
        <v>250</v>
      </c>
      <c r="L26" s="117">
        <v>0.27777777777777801</v>
      </c>
      <c r="M26" s="117">
        <v>1</v>
      </c>
      <c r="N26" s="117">
        <v>0.41666666666666702</v>
      </c>
      <c r="O26" s="117">
        <v>0.33333333333333298</v>
      </c>
      <c r="P26" s="117">
        <v>1</v>
      </c>
      <c r="Q26" s="117">
        <v>1</v>
      </c>
      <c r="R26" s="118">
        <v>1</v>
      </c>
      <c r="S26" s="118">
        <v>1</v>
      </c>
      <c r="T26" s="118">
        <v>1</v>
      </c>
      <c r="U26" s="118">
        <v>1</v>
      </c>
      <c r="V26" s="118">
        <v>1</v>
      </c>
      <c r="W26" s="118">
        <v>1</v>
      </c>
      <c r="X26" s="52">
        <f t="shared" si="0"/>
        <v>359.99999999999972</v>
      </c>
      <c r="Y26" s="52">
        <f t="shared" si="1"/>
        <v>150</v>
      </c>
      <c r="Z26" s="52">
        <f t="shared" si="2"/>
        <v>359.99999999999972</v>
      </c>
      <c r="AA26" s="52">
        <f t="shared" si="3"/>
        <v>3</v>
      </c>
      <c r="AB26" s="76">
        <f t="shared" si="4"/>
        <v>133.33333333333334</v>
      </c>
      <c r="AC26" s="75">
        <f t="shared" si="5"/>
        <v>0.56481481481481499</v>
      </c>
      <c r="AD26" s="119">
        <f t="shared" si="6"/>
        <v>236.06557377049174</v>
      </c>
      <c r="AE26" s="52">
        <f t="shared" si="7"/>
        <v>1</v>
      </c>
      <c r="AF26" s="52">
        <f t="shared" si="8"/>
        <v>6</v>
      </c>
      <c r="AG26" s="76">
        <f t="shared" si="9"/>
        <v>153.33333333333334</v>
      </c>
      <c r="AH26" s="75">
        <f t="shared" si="10"/>
        <v>0.67129629629629639</v>
      </c>
      <c r="AI26" s="76">
        <f t="shared" si="11"/>
        <v>228.41379310344826</v>
      </c>
      <c r="AJ26" s="52">
        <f t="shared" si="12"/>
        <v>1</v>
      </c>
      <c r="AK26" s="110"/>
    </row>
    <row r="27" spans="1:37">
      <c r="A27" s="17" t="s">
        <v>249</v>
      </c>
      <c r="B27" s="17" t="s">
        <v>7</v>
      </c>
      <c r="C27" s="115" t="s">
        <v>240</v>
      </c>
      <c r="D27" s="17" t="s">
        <v>250</v>
      </c>
      <c r="E27" s="50" t="s">
        <v>117</v>
      </c>
      <c r="F27" s="116">
        <v>30</v>
      </c>
      <c r="G27" s="116">
        <v>30</v>
      </c>
      <c r="H27" s="116">
        <v>30</v>
      </c>
      <c r="I27" s="116">
        <v>30</v>
      </c>
      <c r="J27" s="116">
        <v>20</v>
      </c>
      <c r="K27" s="116">
        <v>25</v>
      </c>
      <c r="L27" s="117">
        <v>0.125</v>
      </c>
      <c r="M27" s="117">
        <v>0.5</v>
      </c>
      <c r="N27" s="117">
        <v>0.125</v>
      </c>
      <c r="O27" s="117">
        <v>0.125</v>
      </c>
      <c r="P27" s="117">
        <v>0.25</v>
      </c>
      <c r="Q27" s="117">
        <v>0.5</v>
      </c>
      <c r="R27" s="118">
        <v>1</v>
      </c>
      <c r="S27" s="118">
        <v>1</v>
      </c>
      <c r="T27" s="118">
        <v>1</v>
      </c>
      <c r="U27" s="118">
        <v>1</v>
      </c>
      <c r="V27" s="118">
        <v>1</v>
      </c>
      <c r="W27" s="118">
        <v>1</v>
      </c>
      <c r="X27" s="52">
        <f t="shared" si="0"/>
        <v>240</v>
      </c>
      <c r="Y27" s="52">
        <f t="shared" si="1"/>
        <v>60</v>
      </c>
      <c r="Z27" s="52">
        <f t="shared" si="2"/>
        <v>240</v>
      </c>
      <c r="AA27" s="52">
        <f t="shared" si="3"/>
        <v>3</v>
      </c>
      <c r="AB27" s="76">
        <f t="shared" si="4"/>
        <v>30</v>
      </c>
      <c r="AC27" s="75">
        <f t="shared" si="5"/>
        <v>0.25</v>
      </c>
      <c r="AD27" s="119">
        <f t="shared" si="6"/>
        <v>120</v>
      </c>
      <c r="AE27" s="52">
        <f t="shared" si="7"/>
        <v>1</v>
      </c>
      <c r="AF27" s="52">
        <f t="shared" si="8"/>
        <v>6</v>
      </c>
      <c r="AG27" s="76">
        <f t="shared" si="9"/>
        <v>27.5</v>
      </c>
      <c r="AH27" s="75">
        <f t="shared" si="10"/>
        <v>0.27083333333333331</v>
      </c>
      <c r="AI27" s="76">
        <f t="shared" si="11"/>
        <v>101.53846153846155</v>
      </c>
      <c r="AJ27" s="52">
        <f t="shared" si="12"/>
        <v>1</v>
      </c>
      <c r="AK27" s="110"/>
    </row>
    <row r="28" spans="1:37">
      <c r="A28" s="17" t="s">
        <v>252</v>
      </c>
      <c r="B28" s="17" t="s">
        <v>7</v>
      </c>
      <c r="C28" s="115" t="s">
        <v>240</v>
      </c>
      <c r="D28" s="17" t="s">
        <v>253</v>
      </c>
      <c r="E28" s="50" t="s">
        <v>117</v>
      </c>
      <c r="F28" s="116">
        <v>20</v>
      </c>
      <c r="G28" s="116">
        <v>25</v>
      </c>
      <c r="H28" s="116">
        <v>20</v>
      </c>
      <c r="I28" s="116">
        <v>25</v>
      </c>
      <c r="J28" s="116">
        <v>30</v>
      </c>
      <c r="K28" s="116">
        <v>50</v>
      </c>
      <c r="L28" s="117">
        <v>0.05</v>
      </c>
      <c r="M28" s="117">
        <v>0.5</v>
      </c>
      <c r="N28" s="117">
        <v>0.05</v>
      </c>
      <c r="O28" s="117">
        <v>6.25E-2</v>
      </c>
      <c r="P28" s="117">
        <v>0.5</v>
      </c>
      <c r="Q28" s="117">
        <v>1</v>
      </c>
      <c r="R28" s="118">
        <v>1</v>
      </c>
      <c r="S28" s="118">
        <v>1</v>
      </c>
      <c r="T28" s="118">
        <v>1</v>
      </c>
      <c r="U28" s="118">
        <v>1</v>
      </c>
      <c r="V28" s="118">
        <v>1</v>
      </c>
      <c r="W28" s="118">
        <v>1</v>
      </c>
      <c r="X28" s="52">
        <f t="shared" si="0"/>
        <v>400</v>
      </c>
      <c r="Y28" s="52">
        <f t="shared" si="1"/>
        <v>50</v>
      </c>
      <c r="Z28" s="52">
        <f t="shared" si="2"/>
        <v>400</v>
      </c>
      <c r="AA28" s="52">
        <f t="shared" si="3"/>
        <v>3</v>
      </c>
      <c r="AB28" s="76">
        <f t="shared" si="4"/>
        <v>21.666666666666668</v>
      </c>
      <c r="AC28" s="75">
        <f t="shared" si="5"/>
        <v>0.20000000000000004</v>
      </c>
      <c r="AD28" s="119">
        <f t="shared" si="6"/>
        <v>108.33333333333331</v>
      </c>
      <c r="AE28" s="52">
        <f t="shared" si="7"/>
        <v>1</v>
      </c>
      <c r="AF28" s="52">
        <f t="shared" si="8"/>
        <v>6</v>
      </c>
      <c r="AG28" s="76">
        <f t="shared" si="9"/>
        <v>28.333333333333332</v>
      </c>
      <c r="AH28" s="75">
        <f t="shared" si="10"/>
        <v>0.36041666666666666</v>
      </c>
      <c r="AI28" s="76">
        <f t="shared" si="11"/>
        <v>78.612716763005778</v>
      </c>
      <c r="AJ28" s="52">
        <f t="shared" si="12"/>
        <v>1</v>
      </c>
      <c r="AK28" s="110"/>
    </row>
    <row r="29" spans="1:37">
      <c r="A29" s="17" t="s">
        <v>255</v>
      </c>
      <c r="B29" s="17" t="s">
        <v>7</v>
      </c>
      <c r="C29" s="115" t="s">
        <v>240</v>
      </c>
      <c r="D29" s="17" t="s">
        <v>256</v>
      </c>
      <c r="E29" s="50" t="s">
        <v>117</v>
      </c>
      <c r="F29" s="116">
        <v>30</v>
      </c>
      <c r="G29" s="116">
        <v>35</v>
      </c>
      <c r="H29" s="116">
        <v>30</v>
      </c>
      <c r="I29" s="116">
        <v>40</v>
      </c>
      <c r="J29" s="116">
        <v>35</v>
      </c>
      <c r="K29" s="116">
        <v>40</v>
      </c>
      <c r="L29" s="117">
        <v>0.15</v>
      </c>
      <c r="M29" s="117">
        <v>0.5</v>
      </c>
      <c r="N29" s="117">
        <v>0.15</v>
      </c>
      <c r="O29" s="117">
        <v>0.2</v>
      </c>
      <c r="P29" s="117">
        <v>0.5</v>
      </c>
      <c r="Q29" s="117">
        <v>0.5</v>
      </c>
      <c r="R29" s="118">
        <v>1</v>
      </c>
      <c r="S29" s="118">
        <v>1</v>
      </c>
      <c r="T29" s="118">
        <v>1</v>
      </c>
      <c r="U29" s="118">
        <v>1</v>
      </c>
      <c r="V29" s="118">
        <v>1</v>
      </c>
      <c r="W29" s="118">
        <v>1</v>
      </c>
      <c r="X29" s="52">
        <f t="shared" si="0"/>
        <v>200</v>
      </c>
      <c r="Y29" s="52">
        <f t="shared" si="1"/>
        <v>70</v>
      </c>
      <c r="Z29" s="52">
        <f t="shared" si="2"/>
        <v>200</v>
      </c>
      <c r="AA29" s="52">
        <f t="shared" si="3"/>
        <v>3</v>
      </c>
      <c r="AB29" s="76">
        <f t="shared" si="4"/>
        <v>31.666666666666668</v>
      </c>
      <c r="AC29" s="75">
        <f t="shared" si="5"/>
        <v>0.26666666666666666</v>
      </c>
      <c r="AD29" s="119">
        <f t="shared" si="6"/>
        <v>118.75</v>
      </c>
      <c r="AE29" s="52">
        <f t="shared" si="7"/>
        <v>1</v>
      </c>
      <c r="AF29" s="52">
        <f t="shared" si="8"/>
        <v>6</v>
      </c>
      <c r="AG29" s="76">
        <f t="shared" si="9"/>
        <v>35</v>
      </c>
      <c r="AH29" s="75">
        <f t="shared" si="10"/>
        <v>0.33333333333333331</v>
      </c>
      <c r="AI29" s="76">
        <f t="shared" si="11"/>
        <v>105</v>
      </c>
      <c r="AJ29" s="52">
        <f t="shared" si="12"/>
        <v>1</v>
      </c>
      <c r="AK29" s="110"/>
    </row>
    <row r="30" spans="1:37">
      <c r="A30" s="17" t="s">
        <v>258</v>
      </c>
      <c r="B30" s="17" t="s">
        <v>7</v>
      </c>
      <c r="C30" s="115" t="s">
        <v>261</v>
      </c>
      <c r="D30" s="17" t="s">
        <v>259</v>
      </c>
      <c r="E30" s="50" t="s">
        <v>117</v>
      </c>
      <c r="F30" s="116">
        <v>30</v>
      </c>
      <c r="G30" s="116">
        <v>10</v>
      </c>
      <c r="H30" s="116">
        <v>10</v>
      </c>
      <c r="I30" s="116">
        <v>15</v>
      </c>
      <c r="J30" s="116">
        <v>15</v>
      </c>
      <c r="K30" s="116">
        <v>60</v>
      </c>
      <c r="L30" s="117">
        <v>0.3</v>
      </c>
      <c r="M30" s="117">
        <v>0.1</v>
      </c>
      <c r="N30" s="117">
        <v>0.1</v>
      </c>
      <c r="O30" s="117">
        <v>0.15</v>
      </c>
      <c r="P30" s="117">
        <v>0.15</v>
      </c>
      <c r="Q30" s="117">
        <v>0.5</v>
      </c>
      <c r="R30" s="118">
        <v>70</v>
      </c>
      <c r="S30" s="118">
        <v>70</v>
      </c>
      <c r="T30" s="118">
        <v>70</v>
      </c>
      <c r="U30" s="118">
        <v>70</v>
      </c>
      <c r="V30" s="118">
        <v>40</v>
      </c>
      <c r="W30" s="118">
        <v>90</v>
      </c>
      <c r="X30" s="52">
        <f t="shared" si="0"/>
        <v>100</v>
      </c>
      <c r="Y30" s="52">
        <f t="shared" si="1"/>
        <v>100</v>
      </c>
      <c r="Z30" s="52">
        <f t="shared" si="2"/>
        <v>100</v>
      </c>
      <c r="AA30" s="52">
        <f t="shared" si="3"/>
        <v>3</v>
      </c>
      <c r="AB30" s="76">
        <f t="shared" si="4"/>
        <v>16.666666666666668</v>
      </c>
      <c r="AC30" s="75">
        <f t="shared" si="5"/>
        <v>0.16666666666666666</v>
      </c>
      <c r="AD30" s="119">
        <f t="shared" si="6"/>
        <v>100.00000000000001</v>
      </c>
      <c r="AE30" s="52">
        <f t="shared" si="7"/>
        <v>70</v>
      </c>
      <c r="AF30" s="52">
        <f t="shared" si="8"/>
        <v>6</v>
      </c>
      <c r="AG30" s="76">
        <f t="shared" si="9"/>
        <v>23.333333333333332</v>
      </c>
      <c r="AH30" s="75">
        <f t="shared" si="10"/>
        <v>0.21666666666666667</v>
      </c>
      <c r="AI30" s="76">
        <f t="shared" si="11"/>
        <v>107.69230769230768</v>
      </c>
      <c r="AJ30" s="52">
        <f t="shared" si="12"/>
        <v>68</v>
      </c>
      <c r="AK30" s="110"/>
    </row>
    <row r="31" spans="1:37">
      <c r="A31" s="17" t="s">
        <v>262</v>
      </c>
      <c r="B31" s="17" t="s">
        <v>7</v>
      </c>
      <c r="C31" s="115" t="s">
        <v>261</v>
      </c>
      <c r="D31" s="17" t="s">
        <v>263</v>
      </c>
      <c r="E31" s="50" t="s">
        <v>117</v>
      </c>
      <c r="F31" s="116">
        <v>50</v>
      </c>
      <c r="G31" s="116">
        <v>40</v>
      </c>
      <c r="H31" s="116">
        <v>50</v>
      </c>
      <c r="I31" s="116">
        <v>50</v>
      </c>
      <c r="J31" s="116">
        <v>25</v>
      </c>
      <c r="K31" s="116">
        <v>50</v>
      </c>
      <c r="L31" s="117">
        <v>0.33333333333333298</v>
      </c>
      <c r="M31" s="117">
        <v>0.5</v>
      </c>
      <c r="N31" s="117">
        <v>0.33333333333333298</v>
      </c>
      <c r="O31" s="117">
        <v>0.33333333333333298</v>
      </c>
      <c r="P31" s="117">
        <v>0.5</v>
      </c>
      <c r="Q31" s="117">
        <v>1</v>
      </c>
      <c r="R31" s="118">
        <v>2</v>
      </c>
      <c r="S31" s="118">
        <v>3</v>
      </c>
      <c r="T31" s="118">
        <v>2</v>
      </c>
      <c r="U31" s="118">
        <v>2</v>
      </c>
      <c r="V31" s="118">
        <v>3</v>
      </c>
      <c r="W31" s="118">
        <v>3</v>
      </c>
      <c r="X31" s="52">
        <f t="shared" si="0"/>
        <v>150.00000000000017</v>
      </c>
      <c r="Y31" s="52">
        <f t="shared" si="1"/>
        <v>80</v>
      </c>
      <c r="Z31" s="52">
        <f t="shared" si="2"/>
        <v>150.00000000000017</v>
      </c>
      <c r="AA31" s="52">
        <f t="shared" si="3"/>
        <v>3</v>
      </c>
      <c r="AB31" s="76">
        <f t="shared" si="4"/>
        <v>46.666666666666664</v>
      </c>
      <c r="AC31" s="75">
        <f t="shared" si="5"/>
        <v>0.38888888888888867</v>
      </c>
      <c r="AD31" s="119">
        <f t="shared" si="6"/>
        <v>120.00000000000006</v>
      </c>
      <c r="AE31" s="52">
        <f t="shared" si="7"/>
        <v>2</v>
      </c>
      <c r="AF31" s="52">
        <f t="shared" si="8"/>
        <v>6</v>
      </c>
      <c r="AG31" s="76">
        <f t="shared" si="9"/>
        <v>44.166666666666664</v>
      </c>
      <c r="AH31" s="75">
        <f t="shared" si="10"/>
        <v>0.49999999999999983</v>
      </c>
      <c r="AI31" s="76">
        <f t="shared" si="11"/>
        <v>88.333333333333357</v>
      </c>
      <c r="AJ31" s="52">
        <f t="shared" si="12"/>
        <v>3</v>
      </c>
      <c r="AK31" s="110"/>
    </row>
    <row r="32" spans="1:37">
      <c r="A32" s="17" t="s">
        <v>265</v>
      </c>
      <c r="B32" s="17" t="s">
        <v>7</v>
      </c>
      <c r="C32" s="115" t="s">
        <v>261</v>
      </c>
      <c r="D32" s="17" t="s">
        <v>266</v>
      </c>
      <c r="E32" s="50" t="s">
        <v>117</v>
      </c>
      <c r="F32" s="116">
        <v>100</v>
      </c>
      <c r="G32" s="116">
        <v>40</v>
      </c>
      <c r="H32" s="116">
        <v>50</v>
      </c>
      <c r="I32" s="116">
        <v>100</v>
      </c>
      <c r="J32" s="116">
        <v>30</v>
      </c>
      <c r="K32" s="116">
        <v>50</v>
      </c>
      <c r="L32" s="117">
        <v>0.5</v>
      </c>
      <c r="M32" s="117">
        <v>0.5</v>
      </c>
      <c r="N32" s="117">
        <v>0.25</v>
      </c>
      <c r="O32" s="117">
        <v>0.5</v>
      </c>
      <c r="P32" s="117">
        <v>0.5</v>
      </c>
      <c r="Q32" s="117">
        <v>1</v>
      </c>
      <c r="R32" s="118">
        <v>1</v>
      </c>
      <c r="S32" s="118">
        <v>1</v>
      </c>
      <c r="T32" s="118">
        <v>1</v>
      </c>
      <c r="U32" s="118">
        <v>1</v>
      </c>
      <c r="V32" s="118">
        <v>1</v>
      </c>
      <c r="W32" s="118">
        <v>1</v>
      </c>
      <c r="X32" s="52">
        <f t="shared" si="0"/>
        <v>200</v>
      </c>
      <c r="Y32" s="52">
        <f t="shared" si="1"/>
        <v>80</v>
      </c>
      <c r="Z32" s="52">
        <f t="shared" si="2"/>
        <v>200</v>
      </c>
      <c r="AA32" s="52">
        <f t="shared" si="3"/>
        <v>3</v>
      </c>
      <c r="AB32" s="76">
        <f t="shared" si="4"/>
        <v>63.333333333333336</v>
      </c>
      <c r="AC32" s="75">
        <f t="shared" si="5"/>
        <v>0.41666666666666669</v>
      </c>
      <c r="AD32" s="119">
        <f t="shared" si="6"/>
        <v>152</v>
      </c>
      <c r="AE32" s="52">
        <f t="shared" si="7"/>
        <v>1</v>
      </c>
      <c r="AF32" s="52">
        <f t="shared" si="8"/>
        <v>6</v>
      </c>
      <c r="AG32" s="76">
        <f t="shared" si="9"/>
        <v>61.666666666666664</v>
      </c>
      <c r="AH32" s="75">
        <f t="shared" si="10"/>
        <v>0.54166666666666663</v>
      </c>
      <c r="AI32" s="76">
        <f t="shared" si="11"/>
        <v>113.84615384615385</v>
      </c>
      <c r="AJ32" s="52">
        <f t="shared" si="12"/>
        <v>1</v>
      </c>
      <c r="AK32" s="110"/>
    </row>
    <row r="33" spans="1:37">
      <c r="A33" s="17" t="s">
        <v>268</v>
      </c>
      <c r="B33" s="17" t="s">
        <v>7</v>
      </c>
      <c r="C33" s="115" t="s">
        <v>261</v>
      </c>
      <c r="D33" s="17" t="s">
        <v>269</v>
      </c>
      <c r="E33" s="50" t="s">
        <v>117</v>
      </c>
      <c r="F33" s="116"/>
      <c r="G33" s="116">
        <v>10</v>
      </c>
      <c r="H33" s="116"/>
      <c r="I33" s="116">
        <v>10</v>
      </c>
      <c r="J33" s="116">
        <v>10</v>
      </c>
      <c r="K33" s="116">
        <v>50</v>
      </c>
      <c r="L33" s="117"/>
      <c r="M33" s="117">
        <v>0.5</v>
      </c>
      <c r="N33" s="117"/>
      <c r="O33" s="117">
        <v>0.5</v>
      </c>
      <c r="P33" s="117">
        <v>0.5</v>
      </c>
      <c r="Q33" s="117">
        <v>0.5</v>
      </c>
      <c r="R33" s="118"/>
      <c r="S33" s="118">
        <v>1</v>
      </c>
      <c r="T33" s="118"/>
      <c r="U33" s="118">
        <v>1</v>
      </c>
      <c r="V33" s="118">
        <v>1</v>
      </c>
      <c r="W33" s="118">
        <v>1</v>
      </c>
      <c r="X33" s="52">
        <f t="shared" si="0"/>
        <v>0</v>
      </c>
      <c r="Y33" s="52">
        <f t="shared" si="1"/>
        <v>20</v>
      </c>
      <c r="Z33" s="52">
        <f t="shared" si="2"/>
        <v>0</v>
      </c>
      <c r="AA33" s="52">
        <f t="shared" si="3"/>
        <v>1</v>
      </c>
      <c r="AB33" s="76">
        <f t="shared" si="4"/>
        <v>10</v>
      </c>
      <c r="AC33" s="75">
        <f t="shared" si="5"/>
        <v>0.5</v>
      </c>
      <c r="AD33" s="119">
        <f t="shared" si="6"/>
        <v>20</v>
      </c>
      <c r="AE33" s="52">
        <f t="shared" si="7"/>
        <v>1</v>
      </c>
      <c r="AF33" s="52">
        <f t="shared" si="8"/>
        <v>4</v>
      </c>
      <c r="AG33" s="76">
        <f t="shared" si="9"/>
        <v>20</v>
      </c>
      <c r="AH33" s="75">
        <f t="shared" si="10"/>
        <v>0.5</v>
      </c>
      <c r="AI33" s="76">
        <f t="shared" si="11"/>
        <v>40</v>
      </c>
      <c r="AJ33" s="52">
        <f t="shared" si="12"/>
        <v>1</v>
      </c>
      <c r="AK33" s="110"/>
    </row>
    <row r="34" spans="1:37">
      <c r="A34" s="17" t="s">
        <v>271</v>
      </c>
      <c r="B34" s="17" t="s">
        <v>7</v>
      </c>
      <c r="C34" s="115" t="s">
        <v>261</v>
      </c>
      <c r="D34" s="17" t="s">
        <v>272</v>
      </c>
      <c r="E34" s="50" t="s">
        <v>117</v>
      </c>
      <c r="F34" s="116"/>
      <c r="G34" s="116">
        <v>60</v>
      </c>
      <c r="H34" s="116"/>
      <c r="I34" s="116">
        <v>60</v>
      </c>
      <c r="J34" s="116">
        <v>60</v>
      </c>
      <c r="K34" s="116">
        <v>100</v>
      </c>
      <c r="L34" s="117"/>
      <c r="M34" s="117">
        <v>0.5</v>
      </c>
      <c r="N34" s="117"/>
      <c r="O34" s="117">
        <v>0.33333333333333298</v>
      </c>
      <c r="P34" s="117">
        <v>0.5</v>
      </c>
      <c r="Q34" s="117">
        <v>0.5</v>
      </c>
      <c r="R34" s="118"/>
      <c r="S34" s="118">
        <v>1</v>
      </c>
      <c r="T34" s="118"/>
      <c r="U34" s="118">
        <v>1</v>
      </c>
      <c r="V34" s="118">
        <v>1</v>
      </c>
      <c r="W34" s="118">
        <v>1</v>
      </c>
      <c r="X34" s="52">
        <f t="shared" si="0"/>
        <v>0</v>
      </c>
      <c r="Y34" s="52">
        <f t="shared" si="1"/>
        <v>120</v>
      </c>
      <c r="Z34" s="52">
        <f t="shared" si="2"/>
        <v>0</v>
      </c>
      <c r="AA34" s="52">
        <f t="shared" si="3"/>
        <v>1</v>
      </c>
      <c r="AB34" s="76">
        <f t="shared" si="4"/>
        <v>60</v>
      </c>
      <c r="AC34" s="75">
        <f t="shared" si="5"/>
        <v>0.5</v>
      </c>
      <c r="AD34" s="119">
        <f t="shared" si="6"/>
        <v>120</v>
      </c>
      <c r="AE34" s="52">
        <f t="shared" si="7"/>
        <v>1</v>
      </c>
      <c r="AF34" s="52">
        <f t="shared" si="8"/>
        <v>4</v>
      </c>
      <c r="AG34" s="76">
        <f t="shared" si="9"/>
        <v>70</v>
      </c>
      <c r="AH34" s="75">
        <f t="shared" si="10"/>
        <v>0.45833333333333326</v>
      </c>
      <c r="AI34" s="76">
        <f t="shared" si="11"/>
        <v>152.72727272727275</v>
      </c>
      <c r="AJ34" s="52">
        <f t="shared" si="12"/>
        <v>1</v>
      </c>
      <c r="AK34" s="110"/>
    </row>
    <row r="35" spans="1:37">
      <c r="A35" s="17" t="s">
        <v>274</v>
      </c>
      <c r="B35" s="17" t="s">
        <v>7</v>
      </c>
      <c r="C35" s="115" t="s">
        <v>261</v>
      </c>
      <c r="D35" s="17" t="s">
        <v>275</v>
      </c>
      <c r="E35" s="50" t="s">
        <v>277</v>
      </c>
      <c r="F35" s="116"/>
      <c r="G35" s="116"/>
      <c r="H35" s="116"/>
      <c r="I35" s="116">
        <v>200</v>
      </c>
      <c r="J35" s="116"/>
      <c r="K35" s="116"/>
      <c r="L35" s="117"/>
      <c r="M35" s="117"/>
      <c r="N35" s="117"/>
      <c r="O35" s="117">
        <v>0.5</v>
      </c>
      <c r="P35" s="117"/>
      <c r="Q35" s="117"/>
      <c r="R35" s="118"/>
      <c r="S35" s="118"/>
      <c r="T35" s="118"/>
      <c r="U35" s="118">
        <v>2</v>
      </c>
      <c r="V35" s="118"/>
      <c r="W35" s="118"/>
      <c r="X35" s="52">
        <f t="shared" si="0"/>
        <v>0</v>
      </c>
      <c r="Y35" s="52">
        <f t="shared" si="1"/>
        <v>0</v>
      </c>
      <c r="Z35" s="52">
        <f t="shared" si="2"/>
        <v>0</v>
      </c>
      <c r="AA35" s="52">
        <f t="shared" si="3"/>
        <v>0</v>
      </c>
      <c r="AB35" s="76">
        <f t="shared" si="4"/>
        <v>0</v>
      </c>
      <c r="AC35" s="75">
        <f t="shared" si="5"/>
        <v>0</v>
      </c>
      <c r="AD35" s="119">
        <f t="shared" si="6"/>
        <v>0</v>
      </c>
      <c r="AE35" s="52">
        <f t="shared" si="7"/>
        <v>1</v>
      </c>
      <c r="AF35" s="52">
        <f t="shared" si="8"/>
        <v>1</v>
      </c>
      <c r="AG35" s="76">
        <f t="shared" si="9"/>
        <v>200</v>
      </c>
      <c r="AH35" s="75">
        <f t="shared" si="10"/>
        <v>0.5</v>
      </c>
      <c r="AI35" s="76">
        <f t="shared" si="11"/>
        <v>400</v>
      </c>
      <c r="AJ35" s="52">
        <f t="shared" si="12"/>
        <v>2</v>
      </c>
      <c r="AK35" s="110"/>
    </row>
    <row r="36" spans="1:37">
      <c r="A36" s="17" t="s">
        <v>278</v>
      </c>
      <c r="B36" s="17" t="s">
        <v>7</v>
      </c>
      <c r="C36" s="115" t="s">
        <v>261</v>
      </c>
      <c r="D36" s="17" t="s">
        <v>279</v>
      </c>
      <c r="E36" s="50" t="s">
        <v>236</v>
      </c>
      <c r="F36" s="116"/>
      <c r="G36" s="116">
        <v>0.5</v>
      </c>
      <c r="H36" s="116"/>
      <c r="I36" s="116"/>
      <c r="J36" s="116"/>
      <c r="K36" s="116"/>
      <c r="L36" s="117"/>
      <c r="M36" s="117">
        <v>0.01</v>
      </c>
      <c r="N36" s="117"/>
      <c r="O36" s="117"/>
      <c r="P36" s="117"/>
      <c r="Q36" s="117"/>
      <c r="R36" s="118"/>
      <c r="S36" s="118">
        <v>1</v>
      </c>
      <c r="T36" s="118"/>
      <c r="U36" s="118"/>
      <c r="V36" s="118"/>
      <c r="W36" s="118"/>
      <c r="X36" s="52">
        <f t="shared" si="0"/>
        <v>0</v>
      </c>
      <c r="Y36" s="52">
        <f t="shared" si="1"/>
        <v>50</v>
      </c>
      <c r="Z36" s="52">
        <f t="shared" si="2"/>
        <v>0</v>
      </c>
      <c r="AA36" s="52">
        <f t="shared" si="3"/>
        <v>1</v>
      </c>
      <c r="AB36" s="76">
        <f t="shared" si="4"/>
        <v>0.5</v>
      </c>
      <c r="AC36" s="75">
        <f t="shared" si="5"/>
        <v>0.01</v>
      </c>
      <c r="AD36" s="119">
        <f t="shared" si="6"/>
        <v>50</v>
      </c>
      <c r="AE36" s="52">
        <f t="shared" si="7"/>
        <v>1</v>
      </c>
      <c r="AF36" s="52">
        <f t="shared" si="8"/>
        <v>1</v>
      </c>
      <c r="AG36" s="76">
        <f t="shared" si="9"/>
        <v>0.5</v>
      </c>
      <c r="AH36" s="75">
        <f t="shared" si="10"/>
        <v>0.01</v>
      </c>
      <c r="AI36" s="76">
        <f t="shared" si="11"/>
        <v>50</v>
      </c>
      <c r="AJ36" s="52">
        <f t="shared" si="12"/>
        <v>1</v>
      </c>
      <c r="AK36" s="110"/>
    </row>
    <row r="37" spans="1:37">
      <c r="A37" s="17" t="s">
        <v>281</v>
      </c>
      <c r="B37" s="17" t="s">
        <v>7</v>
      </c>
      <c r="C37" s="115" t="s">
        <v>284</v>
      </c>
      <c r="D37" s="17" t="s">
        <v>282</v>
      </c>
      <c r="E37" s="50" t="s">
        <v>112</v>
      </c>
      <c r="F37" s="116">
        <v>3000</v>
      </c>
      <c r="G37" s="116"/>
      <c r="H37" s="116"/>
      <c r="I37" s="116"/>
      <c r="J37" s="116"/>
      <c r="K37" s="116"/>
      <c r="L37" s="117">
        <v>2</v>
      </c>
      <c r="M37" s="117"/>
      <c r="N37" s="117"/>
      <c r="O37" s="117"/>
      <c r="P37" s="117"/>
      <c r="Q37" s="117"/>
      <c r="R37" s="118">
        <v>1</v>
      </c>
      <c r="S37" s="118"/>
      <c r="T37" s="118"/>
      <c r="U37" s="118"/>
      <c r="V37" s="118"/>
      <c r="W37" s="118"/>
      <c r="X37" s="52">
        <f t="shared" si="0"/>
        <v>1500</v>
      </c>
      <c r="Y37" s="52">
        <f t="shared" si="1"/>
        <v>0</v>
      </c>
      <c r="Z37" s="52">
        <f t="shared" si="2"/>
        <v>0</v>
      </c>
      <c r="AA37" s="52">
        <f t="shared" si="3"/>
        <v>1</v>
      </c>
      <c r="AB37" s="76">
        <f t="shared" si="4"/>
        <v>3000</v>
      </c>
      <c r="AC37" s="75">
        <f t="shared" si="5"/>
        <v>2</v>
      </c>
      <c r="AD37" s="119">
        <f t="shared" si="6"/>
        <v>1500</v>
      </c>
      <c r="AE37" s="52">
        <f t="shared" si="7"/>
        <v>1</v>
      </c>
      <c r="AF37" s="52">
        <f t="shared" si="8"/>
        <v>1</v>
      </c>
      <c r="AG37" s="76">
        <f t="shared" si="9"/>
        <v>3000</v>
      </c>
      <c r="AH37" s="75">
        <f t="shared" si="10"/>
        <v>2</v>
      </c>
      <c r="AI37" s="76">
        <f t="shared" si="11"/>
        <v>1500</v>
      </c>
      <c r="AJ37" s="52">
        <f t="shared" si="12"/>
        <v>1</v>
      </c>
      <c r="AK37" s="110"/>
    </row>
    <row r="38" spans="1:37">
      <c r="A38" s="17" t="s">
        <v>287</v>
      </c>
      <c r="B38" s="17" t="s">
        <v>7</v>
      </c>
      <c r="C38" s="115" t="s">
        <v>284</v>
      </c>
      <c r="D38" s="17" t="s">
        <v>288</v>
      </c>
      <c r="E38" s="50" t="s">
        <v>277</v>
      </c>
      <c r="F38" s="116"/>
      <c r="G38" s="116">
        <v>50</v>
      </c>
      <c r="H38" s="116"/>
      <c r="I38" s="116"/>
      <c r="J38" s="116">
        <v>100</v>
      </c>
      <c r="K38" s="116">
        <v>200</v>
      </c>
      <c r="L38" s="117"/>
      <c r="M38" s="117">
        <v>1</v>
      </c>
      <c r="N38" s="117"/>
      <c r="O38" s="117"/>
      <c r="P38" s="117">
        <v>1</v>
      </c>
      <c r="Q38" s="117">
        <v>1</v>
      </c>
      <c r="R38" s="118"/>
      <c r="S38" s="118">
        <v>120</v>
      </c>
      <c r="T38" s="118"/>
      <c r="U38" s="118"/>
      <c r="V38" s="118">
        <v>120</v>
      </c>
      <c r="W38" s="118">
        <v>3</v>
      </c>
      <c r="X38" s="52">
        <f t="shared" si="0"/>
        <v>0</v>
      </c>
      <c r="Y38" s="52">
        <f t="shared" si="1"/>
        <v>50</v>
      </c>
      <c r="Z38" s="52">
        <f t="shared" si="2"/>
        <v>0</v>
      </c>
      <c r="AA38" s="52">
        <f t="shared" si="3"/>
        <v>1</v>
      </c>
      <c r="AB38" s="76">
        <f t="shared" si="4"/>
        <v>50</v>
      </c>
      <c r="AC38" s="75">
        <f t="shared" si="5"/>
        <v>1</v>
      </c>
      <c r="AD38" s="119">
        <f t="shared" si="6"/>
        <v>50</v>
      </c>
      <c r="AE38" s="52">
        <f t="shared" si="7"/>
        <v>120</v>
      </c>
      <c r="AF38" s="52">
        <f t="shared" si="8"/>
        <v>3</v>
      </c>
      <c r="AG38" s="76">
        <f t="shared" si="9"/>
        <v>116.66666666666667</v>
      </c>
      <c r="AH38" s="75">
        <f t="shared" si="10"/>
        <v>1</v>
      </c>
      <c r="AI38" s="76">
        <f t="shared" si="11"/>
        <v>116.66666666666667</v>
      </c>
      <c r="AJ38" s="52">
        <f t="shared" si="12"/>
        <v>81</v>
      </c>
      <c r="AK38" s="110"/>
    </row>
    <row r="39" spans="1:37">
      <c r="A39" s="17" t="s">
        <v>290</v>
      </c>
      <c r="B39" s="17" t="s">
        <v>7</v>
      </c>
      <c r="C39" s="115" t="s">
        <v>292</v>
      </c>
      <c r="D39" s="17" t="s">
        <v>291</v>
      </c>
      <c r="E39" s="50" t="s">
        <v>117</v>
      </c>
      <c r="F39" s="116"/>
      <c r="G39" s="116"/>
      <c r="H39" s="116"/>
      <c r="I39" s="116"/>
      <c r="J39" s="116"/>
      <c r="K39" s="116"/>
      <c r="L39" s="117"/>
      <c r="M39" s="117"/>
      <c r="N39" s="117"/>
      <c r="O39" s="117"/>
      <c r="P39" s="117"/>
      <c r="Q39" s="117"/>
      <c r="R39" s="118"/>
      <c r="S39" s="118"/>
      <c r="T39" s="118"/>
      <c r="U39" s="118"/>
      <c r="V39" s="118"/>
      <c r="W39" s="118"/>
      <c r="X39" s="52">
        <f t="shared" ref="X39:X70" si="13">IFERROR(F39/L39,0)</f>
        <v>0</v>
      </c>
      <c r="Y39" s="52">
        <f t="shared" ref="Y39:Y70" si="14">IFERROR(G39/M39,0)</f>
        <v>0</v>
      </c>
      <c r="Z39" s="52">
        <f t="shared" ref="Z39:Z70" si="15">IFERROR(H39/N39,0)</f>
        <v>0</v>
      </c>
      <c r="AA39" s="52">
        <f t="shared" ref="AA39:AA70" si="16">COUNTIF(F39:H39,"&gt;0")</f>
        <v>0</v>
      </c>
      <c r="AB39" s="76">
        <f t="shared" ref="AB39:AB70" si="17">IFERROR(AVERAGEIF(F39:H39,"&gt;0"),0)</f>
        <v>0</v>
      </c>
      <c r="AC39" s="75">
        <f t="shared" ref="AC39:AC70" si="18">IFERROR(AVERAGEIF(L39:N39,"&gt;0"),0)</f>
        <v>0</v>
      </c>
      <c r="AD39" s="119">
        <f t="shared" ref="AD39:AD70" si="19">IF(AC39&gt;0,AB39/AC39,0)</f>
        <v>0</v>
      </c>
      <c r="AE39" s="52">
        <f t="shared" ref="AE39:AE70" si="20">IFERROR(MAX(1,ROUND(AVERAGEIF(R39:T39,"&gt;0"),0)),1)</f>
        <v>1</v>
      </c>
      <c r="AF39" s="52">
        <f t="shared" ref="AF39:AF70" si="21">COUNTIF(F39:K39,"&gt;0")</f>
        <v>0</v>
      </c>
      <c r="AG39" s="76">
        <f t="shared" ref="AG39:AG70" si="22">IFERROR(AVERAGEIF(F39:K39,"&gt;0"),0)</f>
        <v>0</v>
      </c>
      <c r="AH39" s="75">
        <f t="shared" ref="AH39:AH70" si="23">IFERROR(AVERAGEIF(L39:Q39,"&gt;0"),0)</f>
        <v>0</v>
      </c>
      <c r="AI39" s="76">
        <f t="shared" ref="AI39:AI70" si="24">IF(AH39&gt;0,AG39/AH39,0)</f>
        <v>0</v>
      </c>
      <c r="AJ39" s="52">
        <f t="shared" ref="AJ39:AJ70" si="25">IFERROR(MAX(1,ROUND(AVERAGEIF(R39:W39,"&gt;0"),0)),1)</f>
        <v>1</v>
      </c>
      <c r="AK39" s="110" t="s">
        <v>690</v>
      </c>
    </row>
    <row r="40" spans="1:37">
      <c r="A40" s="17" t="s">
        <v>301</v>
      </c>
      <c r="B40" s="17" t="s">
        <v>66</v>
      </c>
      <c r="C40" s="115" t="s">
        <v>304</v>
      </c>
      <c r="D40" s="17" t="s">
        <v>302</v>
      </c>
      <c r="E40" s="50" t="s">
        <v>109</v>
      </c>
      <c r="F40" s="116"/>
      <c r="G40" s="116"/>
      <c r="H40" s="116">
        <v>4000</v>
      </c>
      <c r="I40" s="116">
        <v>3000</v>
      </c>
      <c r="J40" s="116"/>
      <c r="K40" s="116"/>
      <c r="L40" s="117"/>
      <c r="M40" s="117"/>
      <c r="N40" s="117">
        <v>20</v>
      </c>
      <c r="O40" s="117">
        <v>20</v>
      </c>
      <c r="P40" s="117"/>
      <c r="Q40" s="117"/>
      <c r="R40" s="118"/>
      <c r="S40" s="118"/>
      <c r="T40" s="118">
        <v>4</v>
      </c>
      <c r="U40" s="118">
        <v>4</v>
      </c>
      <c r="V40" s="118"/>
      <c r="W40" s="118"/>
      <c r="X40" s="52">
        <f t="shared" si="13"/>
        <v>0</v>
      </c>
      <c r="Y40" s="52">
        <f t="shared" si="14"/>
        <v>0</v>
      </c>
      <c r="Z40" s="52">
        <f t="shared" si="15"/>
        <v>200</v>
      </c>
      <c r="AA40" s="52">
        <f t="shared" si="16"/>
        <v>1</v>
      </c>
      <c r="AB40" s="76">
        <f t="shared" si="17"/>
        <v>4000</v>
      </c>
      <c r="AC40" s="75">
        <f t="shared" si="18"/>
        <v>20</v>
      </c>
      <c r="AD40" s="119">
        <f t="shared" si="19"/>
        <v>200</v>
      </c>
      <c r="AE40" s="52">
        <f t="shared" si="20"/>
        <v>4</v>
      </c>
      <c r="AF40" s="52">
        <f t="shared" si="21"/>
        <v>2</v>
      </c>
      <c r="AG40" s="76">
        <f t="shared" si="22"/>
        <v>3500</v>
      </c>
      <c r="AH40" s="75">
        <f t="shared" si="23"/>
        <v>20</v>
      </c>
      <c r="AI40" s="76">
        <f t="shared" si="24"/>
        <v>175</v>
      </c>
      <c r="AJ40" s="52">
        <f t="shared" si="25"/>
        <v>4</v>
      </c>
      <c r="AK40" s="110"/>
    </row>
    <row r="41" spans="1:37">
      <c r="A41" s="17" t="s">
        <v>305</v>
      </c>
      <c r="B41" s="17" t="s">
        <v>66</v>
      </c>
      <c r="C41" s="115" t="s">
        <v>304</v>
      </c>
      <c r="D41" s="17" t="s">
        <v>306</v>
      </c>
      <c r="E41" s="50" t="s">
        <v>308</v>
      </c>
      <c r="F41" s="116">
        <v>3</v>
      </c>
      <c r="G41" s="116">
        <v>0.9</v>
      </c>
      <c r="H41" s="116">
        <v>1</v>
      </c>
      <c r="I41" s="116">
        <v>1</v>
      </c>
      <c r="J41" s="116">
        <v>0.9</v>
      </c>
      <c r="K41" s="116">
        <v>4</v>
      </c>
      <c r="L41" s="117">
        <v>0.01</v>
      </c>
      <c r="M41" s="117">
        <v>8.9999999999999993E-3</v>
      </c>
      <c r="N41" s="117">
        <v>0.01</v>
      </c>
      <c r="O41" s="117">
        <v>0.01</v>
      </c>
      <c r="P41" s="117">
        <v>0.01</v>
      </c>
      <c r="Q41" s="117">
        <v>0.04</v>
      </c>
      <c r="R41" s="118">
        <v>1</v>
      </c>
      <c r="S41" s="118">
        <v>1</v>
      </c>
      <c r="T41" s="118">
        <v>2</v>
      </c>
      <c r="U41" s="118">
        <v>2</v>
      </c>
      <c r="V41" s="118">
        <v>1</v>
      </c>
      <c r="W41" s="118">
        <v>1</v>
      </c>
      <c r="X41" s="52">
        <f t="shared" si="13"/>
        <v>300</v>
      </c>
      <c r="Y41" s="52">
        <f t="shared" si="14"/>
        <v>100.00000000000001</v>
      </c>
      <c r="Z41" s="52">
        <f t="shared" si="15"/>
        <v>100</v>
      </c>
      <c r="AA41" s="52">
        <f t="shared" si="16"/>
        <v>3</v>
      </c>
      <c r="AB41" s="76">
        <f t="shared" si="17"/>
        <v>1.6333333333333335</v>
      </c>
      <c r="AC41" s="75">
        <f t="shared" si="18"/>
        <v>9.6666666666666654E-3</v>
      </c>
      <c r="AD41" s="119">
        <f t="shared" si="19"/>
        <v>168.96551724137936</v>
      </c>
      <c r="AE41" s="52">
        <f t="shared" si="20"/>
        <v>1</v>
      </c>
      <c r="AF41" s="52">
        <f t="shared" si="21"/>
        <v>6</v>
      </c>
      <c r="AG41" s="76">
        <f t="shared" si="22"/>
        <v>1.8</v>
      </c>
      <c r="AH41" s="75">
        <f t="shared" si="23"/>
        <v>1.4833333333333332E-2</v>
      </c>
      <c r="AI41" s="76">
        <f t="shared" si="24"/>
        <v>121.34831460674158</v>
      </c>
      <c r="AJ41" s="52">
        <f t="shared" si="25"/>
        <v>1</v>
      </c>
      <c r="AK41" s="110"/>
    </row>
    <row r="42" spans="1:37">
      <c r="A42" s="17" t="s">
        <v>309</v>
      </c>
      <c r="B42" s="17" t="s">
        <v>66</v>
      </c>
      <c r="C42" s="115" t="s">
        <v>304</v>
      </c>
      <c r="D42" s="17" t="s">
        <v>310</v>
      </c>
      <c r="E42" s="50" t="s">
        <v>308</v>
      </c>
      <c r="F42" s="116">
        <v>2</v>
      </c>
      <c r="G42" s="116">
        <v>0.9</v>
      </c>
      <c r="H42" s="116">
        <v>1</v>
      </c>
      <c r="I42" s="116">
        <v>1</v>
      </c>
      <c r="J42" s="116">
        <v>0.7</v>
      </c>
      <c r="K42" s="116"/>
      <c r="L42" s="117">
        <v>0.01</v>
      </c>
      <c r="M42" s="117">
        <v>8.9999999999999993E-3</v>
      </c>
      <c r="N42" s="117">
        <v>0.01</v>
      </c>
      <c r="O42" s="117">
        <v>0.01</v>
      </c>
      <c r="P42" s="117">
        <v>0.01</v>
      </c>
      <c r="Q42" s="117"/>
      <c r="R42" s="118">
        <v>2</v>
      </c>
      <c r="S42" s="118">
        <v>1</v>
      </c>
      <c r="T42" s="118">
        <v>2</v>
      </c>
      <c r="U42" s="118">
        <v>1</v>
      </c>
      <c r="V42" s="118">
        <v>1</v>
      </c>
      <c r="W42" s="118"/>
      <c r="X42" s="52">
        <f t="shared" si="13"/>
        <v>200</v>
      </c>
      <c r="Y42" s="52">
        <f t="shared" si="14"/>
        <v>100.00000000000001</v>
      </c>
      <c r="Z42" s="52">
        <f t="shared" si="15"/>
        <v>100</v>
      </c>
      <c r="AA42" s="52">
        <f t="shared" si="16"/>
        <v>3</v>
      </c>
      <c r="AB42" s="76">
        <f t="shared" si="17"/>
        <v>1.3</v>
      </c>
      <c r="AC42" s="75">
        <f t="shared" si="18"/>
        <v>9.6666666666666654E-3</v>
      </c>
      <c r="AD42" s="119">
        <f t="shared" si="19"/>
        <v>134.48275862068968</v>
      </c>
      <c r="AE42" s="52">
        <f t="shared" si="20"/>
        <v>2</v>
      </c>
      <c r="AF42" s="52">
        <f t="shared" si="21"/>
        <v>5</v>
      </c>
      <c r="AG42" s="76">
        <f t="shared" si="22"/>
        <v>1.1200000000000001</v>
      </c>
      <c r="AH42" s="75">
        <f t="shared" si="23"/>
        <v>9.7999999999999997E-3</v>
      </c>
      <c r="AI42" s="76">
        <f t="shared" si="24"/>
        <v>114.28571428571431</v>
      </c>
      <c r="AJ42" s="52">
        <f t="shared" si="25"/>
        <v>1</v>
      </c>
      <c r="AK42" s="110"/>
    </row>
    <row r="43" spans="1:37">
      <c r="A43" s="17" t="s">
        <v>312</v>
      </c>
      <c r="B43" s="17" t="s">
        <v>66</v>
      </c>
      <c r="C43" s="115" t="s">
        <v>304</v>
      </c>
      <c r="D43" s="17" t="s">
        <v>228</v>
      </c>
      <c r="E43" s="50" t="s">
        <v>308</v>
      </c>
      <c r="F43" s="116"/>
      <c r="G43" s="116">
        <v>1.2</v>
      </c>
      <c r="H43" s="116"/>
      <c r="I43" s="116"/>
      <c r="J43" s="116"/>
      <c r="K43" s="116">
        <v>4</v>
      </c>
      <c r="L43" s="117"/>
      <c r="M43" s="117">
        <v>0.01</v>
      </c>
      <c r="N43" s="117"/>
      <c r="O43" s="117"/>
      <c r="P43" s="117"/>
      <c r="Q43" s="117">
        <v>0.04</v>
      </c>
      <c r="R43" s="118"/>
      <c r="S43" s="118">
        <v>1</v>
      </c>
      <c r="T43" s="118"/>
      <c r="U43" s="118"/>
      <c r="V43" s="118"/>
      <c r="W43" s="118">
        <v>1</v>
      </c>
      <c r="X43" s="52">
        <f t="shared" si="13"/>
        <v>0</v>
      </c>
      <c r="Y43" s="52">
        <f t="shared" si="14"/>
        <v>120</v>
      </c>
      <c r="Z43" s="52">
        <f t="shared" si="15"/>
        <v>0</v>
      </c>
      <c r="AA43" s="52">
        <f t="shared" si="16"/>
        <v>1</v>
      </c>
      <c r="AB43" s="76">
        <f t="shared" si="17"/>
        <v>1.2</v>
      </c>
      <c r="AC43" s="75">
        <f t="shared" si="18"/>
        <v>0.01</v>
      </c>
      <c r="AD43" s="119">
        <f t="shared" si="19"/>
        <v>120</v>
      </c>
      <c r="AE43" s="52">
        <f t="shared" si="20"/>
        <v>1</v>
      </c>
      <c r="AF43" s="52">
        <f t="shared" si="21"/>
        <v>2</v>
      </c>
      <c r="AG43" s="76">
        <f t="shared" si="22"/>
        <v>2.6</v>
      </c>
      <c r="AH43" s="75">
        <f t="shared" si="23"/>
        <v>2.5000000000000001E-2</v>
      </c>
      <c r="AI43" s="76">
        <f t="shared" si="24"/>
        <v>104</v>
      </c>
      <c r="AJ43" s="52">
        <f t="shared" si="25"/>
        <v>1</v>
      </c>
      <c r="AK43" s="110"/>
    </row>
    <row r="44" spans="1:37">
      <c r="A44" s="17" t="s">
        <v>314</v>
      </c>
      <c r="B44" s="17" t="s">
        <v>66</v>
      </c>
      <c r="C44" s="115" t="s">
        <v>304</v>
      </c>
      <c r="D44" s="17" t="s">
        <v>315</v>
      </c>
      <c r="E44" s="50" t="s">
        <v>109</v>
      </c>
      <c r="F44" s="116"/>
      <c r="G44" s="116"/>
      <c r="H44" s="116"/>
      <c r="I44" s="116"/>
      <c r="J44" s="116"/>
      <c r="K44" s="116">
        <v>8000</v>
      </c>
      <c r="L44" s="117"/>
      <c r="M44" s="117"/>
      <c r="N44" s="117"/>
      <c r="O44" s="117"/>
      <c r="P44" s="117"/>
      <c r="Q44" s="117">
        <v>10</v>
      </c>
      <c r="R44" s="118"/>
      <c r="S44" s="118"/>
      <c r="T44" s="118"/>
      <c r="U44" s="118"/>
      <c r="V44" s="118"/>
      <c r="W44" s="118">
        <v>1</v>
      </c>
      <c r="X44" s="52">
        <f t="shared" si="13"/>
        <v>0</v>
      </c>
      <c r="Y44" s="52">
        <f t="shared" si="14"/>
        <v>0</v>
      </c>
      <c r="Z44" s="52">
        <f t="shared" si="15"/>
        <v>0</v>
      </c>
      <c r="AA44" s="52">
        <f t="shared" si="16"/>
        <v>0</v>
      </c>
      <c r="AB44" s="76">
        <f t="shared" si="17"/>
        <v>0</v>
      </c>
      <c r="AC44" s="75">
        <f t="shared" si="18"/>
        <v>0</v>
      </c>
      <c r="AD44" s="119">
        <f t="shared" si="19"/>
        <v>0</v>
      </c>
      <c r="AE44" s="52">
        <f t="shared" si="20"/>
        <v>1</v>
      </c>
      <c r="AF44" s="52">
        <f t="shared" si="21"/>
        <v>1</v>
      </c>
      <c r="AG44" s="76">
        <f t="shared" si="22"/>
        <v>8000</v>
      </c>
      <c r="AH44" s="75">
        <f t="shared" si="23"/>
        <v>10</v>
      </c>
      <c r="AI44" s="76">
        <f t="shared" si="24"/>
        <v>800</v>
      </c>
      <c r="AJ44" s="52">
        <f t="shared" si="25"/>
        <v>1</v>
      </c>
      <c r="AK44" s="110"/>
    </row>
    <row r="45" spans="1:37">
      <c r="A45" s="17" t="s">
        <v>317</v>
      </c>
      <c r="B45" s="17" t="s">
        <v>66</v>
      </c>
      <c r="C45" s="115" t="s">
        <v>320</v>
      </c>
      <c r="D45" s="17" t="s">
        <v>318</v>
      </c>
      <c r="E45" s="50" t="s">
        <v>308</v>
      </c>
      <c r="F45" s="116"/>
      <c r="G45" s="116">
        <v>0.9</v>
      </c>
      <c r="H45" s="116">
        <v>1</v>
      </c>
      <c r="I45" s="116">
        <v>1</v>
      </c>
      <c r="J45" s="116">
        <v>0.9</v>
      </c>
      <c r="K45" s="116">
        <v>2</v>
      </c>
      <c r="L45" s="117"/>
      <c r="M45" s="117">
        <v>8.9999999999999993E-3</v>
      </c>
      <c r="N45" s="117">
        <v>0.01</v>
      </c>
      <c r="O45" s="117">
        <v>0.01</v>
      </c>
      <c r="P45" s="117">
        <v>0.01</v>
      </c>
      <c r="Q45" s="117">
        <v>0.02</v>
      </c>
      <c r="R45" s="118"/>
      <c r="S45" s="118">
        <v>1</v>
      </c>
      <c r="T45" s="118">
        <v>1</v>
      </c>
      <c r="U45" s="118">
        <v>1</v>
      </c>
      <c r="V45" s="118">
        <v>1</v>
      </c>
      <c r="W45" s="118">
        <v>1</v>
      </c>
      <c r="X45" s="52">
        <f t="shared" si="13"/>
        <v>0</v>
      </c>
      <c r="Y45" s="52">
        <f t="shared" si="14"/>
        <v>100.00000000000001</v>
      </c>
      <c r="Z45" s="52">
        <f t="shared" si="15"/>
        <v>100</v>
      </c>
      <c r="AA45" s="52">
        <f t="shared" si="16"/>
        <v>2</v>
      </c>
      <c r="AB45" s="76">
        <f t="shared" si="17"/>
        <v>0.95</v>
      </c>
      <c r="AC45" s="75">
        <f t="shared" si="18"/>
        <v>9.4999999999999998E-3</v>
      </c>
      <c r="AD45" s="119">
        <f t="shared" si="19"/>
        <v>100</v>
      </c>
      <c r="AE45" s="52">
        <f t="shared" si="20"/>
        <v>1</v>
      </c>
      <c r="AF45" s="52">
        <f t="shared" si="21"/>
        <v>5</v>
      </c>
      <c r="AG45" s="76">
        <f t="shared" si="22"/>
        <v>1.1599999999999999</v>
      </c>
      <c r="AH45" s="75">
        <f t="shared" si="23"/>
        <v>1.18E-2</v>
      </c>
      <c r="AI45" s="76">
        <f t="shared" si="24"/>
        <v>98.305084745762713</v>
      </c>
      <c r="AJ45" s="52">
        <f t="shared" si="25"/>
        <v>1</v>
      </c>
      <c r="AK45" s="110"/>
    </row>
    <row r="46" spans="1:37">
      <c r="A46" s="17" t="s">
        <v>321</v>
      </c>
      <c r="B46" s="17" t="s">
        <v>66</v>
      </c>
      <c r="C46" s="115" t="s">
        <v>320</v>
      </c>
      <c r="D46" s="17" t="s">
        <v>322</v>
      </c>
      <c r="E46" s="50" t="s">
        <v>195</v>
      </c>
      <c r="F46" s="116">
        <v>500</v>
      </c>
      <c r="G46" s="116">
        <v>20</v>
      </c>
      <c r="H46" s="116">
        <v>20</v>
      </c>
      <c r="I46" s="116">
        <v>20</v>
      </c>
      <c r="J46" s="116"/>
      <c r="K46" s="116"/>
      <c r="L46" s="117">
        <v>0.83333333333333304</v>
      </c>
      <c r="M46" s="117">
        <v>0.2</v>
      </c>
      <c r="N46" s="117">
        <v>0.2</v>
      </c>
      <c r="O46" s="117">
        <v>0.2</v>
      </c>
      <c r="P46" s="117"/>
      <c r="Q46" s="117"/>
      <c r="R46" s="118">
        <v>1</v>
      </c>
      <c r="S46" s="118">
        <v>1</v>
      </c>
      <c r="T46" s="118">
        <v>1</v>
      </c>
      <c r="U46" s="118">
        <v>1</v>
      </c>
      <c r="V46" s="118"/>
      <c r="W46" s="118"/>
      <c r="X46" s="52">
        <f t="shared" si="13"/>
        <v>600.00000000000023</v>
      </c>
      <c r="Y46" s="52">
        <f t="shared" si="14"/>
        <v>100</v>
      </c>
      <c r="Z46" s="52">
        <f t="shared" si="15"/>
        <v>100</v>
      </c>
      <c r="AA46" s="52">
        <f t="shared" si="16"/>
        <v>3</v>
      </c>
      <c r="AB46" s="76">
        <f t="shared" si="17"/>
        <v>180</v>
      </c>
      <c r="AC46" s="75">
        <f t="shared" si="18"/>
        <v>0.41111111111111098</v>
      </c>
      <c r="AD46" s="119">
        <f t="shared" si="19"/>
        <v>437.83783783783798</v>
      </c>
      <c r="AE46" s="52">
        <f t="shared" si="20"/>
        <v>1</v>
      </c>
      <c r="AF46" s="52">
        <f t="shared" si="21"/>
        <v>4</v>
      </c>
      <c r="AG46" s="76">
        <f t="shared" si="22"/>
        <v>140</v>
      </c>
      <c r="AH46" s="75">
        <f t="shared" si="23"/>
        <v>0.35833333333333323</v>
      </c>
      <c r="AI46" s="76">
        <f t="shared" si="24"/>
        <v>390.69767441860478</v>
      </c>
      <c r="AJ46" s="52">
        <f t="shared" si="25"/>
        <v>1</v>
      </c>
      <c r="AK46" s="110"/>
    </row>
    <row r="47" spans="1:37">
      <c r="A47" s="17" t="s">
        <v>324</v>
      </c>
      <c r="B47" s="17" t="s">
        <v>66</v>
      </c>
      <c r="C47" s="115" t="s">
        <v>320</v>
      </c>
      <c r="D47" s="17" t="s">
        <v>325</v>
      </c>
      <c r="E47" s="50" t="s">
        <v>308</v>
      </c>
      <c r="F47" s="116">
        <v>2</v>
      </c>
      <c r="G47" s="116"/>
      <c r="H47" s="116"/>
      <c r="I47" s="116"/>
      <c r="J47" s="116"/>
      <c r="K47" s="116"/>
      <c r="L47" s="117">
        <v>0.01</v>
      </c>
      <c r="M47" s="117"/>
      <c r="N47" s="117"/>
      <c r="O47" s="117"/>
      <c r="P47" s="117"/>
      <c r="Q47" s="117"/>
      <c r="R47" s="118">
        <v>1</v>
      </c>
      <c r="S47" s="118"/>
      <c r="T47" s="118"/>
      <c r="U47" s="118"/>
      <c r="V47" s="118"/>
      <c r="W47" s="118"/>
      <c r="X47" s="52">
        <f t="shared" si="13"/>
        <v>200</v>
      </c>
      <c r="Y47" s="52">
        <f t="shared" si="14"/>
        <v>0</v>
      </c>
      <c r="Z47" s="52">
        <f t="shared" si="15"/>
        <v>0</v>
      </c>
      <c r="AA47" s="52">
        <f t="shared" si="16"/>
        <v>1</v>
      </c>
      <c r="AB47" s="76">
        <f t="shared" si="17"/>
        <v>2</v>
      </c>
      <c r="AC47" s="75">
        <f t="shared" si="18"/>
        <v>0.01</v>
      </c>
      <c r="AD47" s="119">
        <f t="shared" si="19"/>
        <v>200</v>
      </c>
      <c r="AE47" s="52">
        <f t="shared" si="20"/>
        <v>1</v>
      </c>
      <c r="AF47" s="52">
        <f t="shared" si="21"/>
        <v>1</v>
      </c>
      <c r="AG47" s="76">
        <f t="shared" si="22"/>
        <v>2</v>
      </c>
      <c r="AH47" s="75">
        <f t="shared" si="23"/>
        <v>0.01</v>
      </c>
      <c r="AI47" s="76">
        <f t="shared" si="24"/>
        <v>200</v>
      </c>
      <c r="AJ47" s="52">
        <f t="shared" si="25"/>
        <v>1</v>
      </c>
      <c r="AK47" s="110"/>
    </row>
    <row r="48" spans="1:37">
      <c r="A48" s="17" t="s">
        <v>327</v>
      </c>
      <c r="B48" s="17" t="s">
        <v>66</v>
      </c>
      <c r="C48" s="115" t="s">
        <v>330</v>
      </c>
      <c r="D48" s="17" t="s">
        <v>328</v>
      </c>
      <c r="E48" s="50" t="s">
        <v>308</v>
      </c>
      <c r="F48" s="116">
        <v>1</v>
      </c>
      <c r="G48" s="116"/>
      <c r="H48" s="116"/>
      <c r="I48" s="116"/>
      <c r="J48" s="116"/>
      <c r="K48" s="116"/>
      <c r="L48" s="117">
        <v>0.01</v>
      </c>
      <c r="M48" s="117"/>
      <c r="N48" s="117"/>
      <c r="O48" s="117"/>
      <c r="P48" s="117"/>
      <c r="Q48" s="117"/>
      <c r="R48" s="118">
        <v>1</v>
      </c>
      <c r="S48" s="118"/>
      <c r="T48" s="118"/>
      <c r="U48" s="118"/>
      <c r="V48" s="118"/>
      <c r="W48" s="118"/>
      <c r="X48" s="52">
        <f t="shared" si="13"/>
        <v>100</v>
      </c>
      <c r="Y48" s="52">
        <f t="shared" si="14"/>
        <v>0</v>
      </c>
      <c r="Z48" s="52">
        <f t="shared" si="15"/>
        <v>0</v>
      </c>
      <c r="AA48" s="52">
        <f t="shared" si="16"/>
        <v>1</v>
      </c>
      <c r="AB48" s="76">
        <f t="shared" si="17"/>
        <v>1</v>
      </c>
      <c r="AC48" s="75">
        <f t="shared" si="18"/>
        <v>0.01</v>
      </c>
      <c r="AD48" s="119">
        <f t="shared" si="19"/>
        <v>100</v>
      </c>
      <c r="AE48" s="52">
        <f t="shared" si="20"/>
        <v>1</v>
      </c>
      <c r="AF48" s="52">
        <f t="shared" si="21"/>
        <v>1</v>
      </c>
      <c r="AG48" s="76">
        <f t="shared" si="22"/>
        <v>1</v>
      </c>
      <c r="AH48" s="75">
        <f t="shared" si="23"/>
        <v>0.01</v>
      </c>
      <c r="AI48" s="76">
        <f t="shared" si="24"/>
        <v>100</v>
      </c>
      <c r="AJ48" s="52">
        <f t="shared" si="25"/>
        <v>1</v>
      </c>
      <c r="AK48" s="110"/>
    </row>
    <row r="49" spans="1:37">
      <c r="A49" s="17" t="s">
        <v>331</v>
      </c>
      <c r="B49" s="17" t="s">
        <v>66</v>
      </c>
      <c r="C49" s="115" t="s">
        <v>330</v>
      </c>
      <c r="D49" s="17" t="s">
        <v>332</v>
      </c>
      <c r="E49" s="50" t="s">
        <v>109</v>
      </c>
      <c r="F49" s="116">
        <v>2000</v>
      </c>
      <c r="G49" s="116"/>
      <c r="H49" s="116">
        <v>3000</v>
      </c>
      <c r="I49" s="116">
        <v>3000</v>
      </c>
      <c r="J49" s="116">
        <v>1500</v>
      </c>
      <c r="K49" s="116">
        <v>1500</v>
      </c>
      <c r="L49" s="117">
        <v>20</v>
      </c>
      <c r="M49" s="117"/>
      <c r="N49" s="117">
        <v>2</v>
      </c>
      <c r="O49" s="117">
        <v>2</v>
      </c>
      <c r="P49" s="117">
        <v>10</v>
      </c>
      <c r="Q49" s="117">
        <v>10</v>
      </c>
      <c r="R49" s="118">
        <v>1</v>
      </c>
      <c r="S49" s="118"/>
      <c r="T49" s="118">
        <v>1</v>
      </c>
      <c r="U49" s="118">
        <v>1</v>
      </c>
      <c r="V49" s="118">
        <v>1</v>
      </c>
      <c r="W49" s="118">
        <v>1</v>
      </c>
      <c r="X49" s="52">
        <f t="shared" si="13"/>
        <v>100</v>
      </c>
      <c r="Y49" s="52">
        <f t="shared" si="14"/>
        <v>0</v>
      </c>
      <c r="Z49" s="52">
        <f t="shared" si="15"/>
        <v>1500</v>
      </c>
      <c r="AA49" s="52">
        <f t="shared" si="16"/>
        <v>2</v>
      </c>
      <c r="AB49" s="76">
        <f t="shared" si="17"/>
        <v>2500</v>
      </c>
      <c r="AC49" s="75">
        <f t="shared" si="18"/>
        <v>11</v>
      </c>
      <c r="AD49" s="119">
        <f t="shared" si="19"/>
        <v>227.27272727272728</v>
      </c>
      <c r="AE49" s="52">
        <f t="shared" si="20"/>
        <v>1</v>
      </c>
      <c r="AF49" s="52">
        <f t="shared" si="21"/>
        <v>5</v>
      </c>
      <c r="AG49" s="76">
        <f t="shared" si="22"/>
        <v>2200</v>
      </c>
      <c r="AH49" s="75">
        <f t="shared" si="23"/>
        <v>8.8000000000000007</v>
      </c>
      <c r="AI49" s="76">
        <f t="shared" si="24"/>
        <v>249.99999999999997</v>
      </c>
      <c r="AJ49" s="52">
        <f t="shared" si="25"/>
        <v>1</v>
      </c>
      <c r="AK49" s="110"/>
    </row>
    <row r="50" spans="1:37">
      <c r="A50" s="17" t="s">
        <v>334</v>
      </c>
      <c r="B50" s="17" t="s">
        <v>66</v>
      </c>
      <c r="C50" s="115" t="s">
        <v>337</v>
      </c>
      <c r="D50" s="17" t="s">
        <v>335</v>
      </c>
      <c r="E50" s="50" t="s">
        <v>338</v>
      </c>
      <c r="F50" s="116">
        <v>5</v>
      </c>
      <c r="G50" s="116">
        <v>10</v>
      </c>
      <c r="H50" s="116">
        <v>40</v>
      </c>
      <c r="I50" s="116"/>
      <c r="J50" s="116">
        <v>8</v>
      </c>
      <c r="K50" s="116"/>
      <c r="L50" s="117">
        <v>0.01</v>
      </c>
      <c r="M50" s="117">
        <v>0.1</v>
      </c>
      <c r="N50" s="117">
        <v>0.33333333333333298</v>
      </c>
      <c r="O50" s="117"/>
      <c r="P50" s="117">
        <v>0.1</v>
      </c>
      <c r="Q50" s="117"/>
      <c r="R50" s="118">
        <v>1</v>
      </c>
      <c r="S50" s="118">
        <v>1</v>
      </c>
      <c r="T50" s="118">
        <v>1</v>
      </c>
      <c r="U50" s="118"/>
      <c r="V50" s="118">
        <v>1</v>
      </c>
      <c r="W50" s="118"/>
      <c r="X50" s="52">
        <f t="shared" si="13"/>
        <v>500</v>
      </c>
      <c r="Y50" s="52">
        <f t="shared" si="14"/>
        <v>100</v>
      </c>
      <c r="Z50" s="52">
        <f t="shared" si="15"/>
        <v>120.00000000000013</v>
      </c>
      <c r="AA50" s="52">
        <f t="shared" si="16"/>
        <v>3</v>
      </c>
      <c r="AB50" s="76">
        <f t="shared" si="17"/>
        <v>18.333333333333332</v>
      </c>
      <c r="AC50" s="75">
        <f t="shared" si="18"/>
        <v>0.14777777777777765</v>
      </c>
      <c r="AD50" s="119">
        <f t="shared" si="19"/>
        <v>124.06015037593995</v>
      </c>
      <c r="AE50" s="52">
        <f t="shared" si="20"/>
        <v>1</v>
      </c>
      <c r="AF50" s="52">
        <f t="shared" si="21"/>
        <v>4</v>
      </c>
      <c r="AG50" s="76">
        <f t="shared" si="22"/>
        <v>15.75</v>
      </c>
      <c r="AH50" s="75">
        <f t="shared" si="23"/>
        <v>0.13583333333333325</v>
      </c>
      <c r="AI50" s="76">
        <f t="shared" si="24"/>
        <v>115.95092024539885</v>
      </c>
      <c r="AJ50" s="52">
        <f t="shared" si="25"/>
        <v>1</v>
      </c>
      <c r="AK50" s="110"/>
    </row>
    <row r="51" spans="1:37">
      <c r="A51" s="17" t="s">
        <v>339</v>
      </c>
      <c r="B51" s="17" t="s">
        <v>66</v>
      </c>
      <c r="C51" s="115" t="s">
        <v>337</v>
      </c>
      <c r="D51" s="17" t="s">
        <v>340</v>
      </c>
      <c r="E51" s="50" t="s">
        <v>338</v>
      </c>
      <c r="F51" s="116">
        <v>2.5</v>
      </c>
      <c r="G51" s="116">
        <v>5</v>
      </c>
      <c r="H51" s="116">
        <v>15</v>
      </c>
      <c r="I51" s="116"/>
      <c r="J51" s="116">
        <v>5</v>
      </c>
      <c r="K51" s="116"/>
      <c r="L51" s="117">
        <v>0.01</v>
      </c>
      <c r="M51" s="117">
        <v>0.05</v>
      </c>
      <c r="N51" s="117">
        <v>0.125</v>
      </c>
      <c r="O51" s="117"/>
      <c r="P51" s="117">
        <v>0.05</v>
      </c>
      <c r="Q51" s="117"/>
      <c r="R51" s="118">
        <v>1</v>
      </c>
      <c r="S51" s="118">
        <v>1</v>
      </c>
      <c r="T51" s="118">
        <v>1</v>
      </c>
      <c r="U51" s="118"/>
      <c r="V51" s="118">
        <v>1</v>
      </c>
      <c r="W51" s="118"/>
      <c r="X51" s="52">
        <f t="shared" si="13"/>
        <v>250</v>
      </c>
      <c r="Y51" s="52">
        <f t="shared" si="14"/>
        <v>100</v>
      </c>
      <c r="Z51" s="52">
        <f t="shared" si="15"/>
        <v>120</v>
      </c>
      <c r="AA51" s="52">
        <f t="shared" si="16"/>
        <v>3</v>
      </c>
      <c r="AB51" s="76">
        <f t="shared" si="17"/>
        <v>7.5</v>
      </c>
      <c r="AC51" s="75">
        <f t="shared" si="18"/>
        <v>6.1666666666666668E-2</v>
      </c>
      <c r="AD51" s="119">
        <f t="shared" si="19"/>
        <v>121.62162162162161</v>
      </c>
      <c r="AE51" s="52">
        <f t="shared" si="20"/>
        <v>1</v>
      </c>
      <c r="AF51" s="52">
        <f t="shared" si="21"/>
        <v>4</v>
      </c>
      <c r="AG51" s="76">
        <f t="shared" si="22"/>
        <v>6.875</v>
      </c>
      <c r="AH51" s="75">
        <f t="shared" si="23"/>
        <v>5.8749999999999997E-2</v>
      </c>
      <c r="AI51" s="76">
        <f t="shared" si="24"/>
        <v>117.02127659574468</v>
      </c>
      <c r="AJ51" s="52">
        <f t="shared" si="25"/>
        <v>1</v>
      </c>
      <c r="AK51" s="110"/>
    </row>
    <row r="52" spans="1:37">
      <c r="A52" s="17" t="s">
        <v>342</v>
      </c>
      <c r="B52" s="17" t="s">
        <v>66</v>
      </c>
      <c r="C52" s="115" t="s">
        <v>337</v>
      </c>
      <c r="D52" s="17" t="s">
        <v>343</v>
      </c>
      <c r="E52" s="50" t="s">
        <v>338</v>
      </c>
      <c r="F52" s="116"/>
      <c r="G52" s="116"/>
      <c r="H52" s="116"/>
      <c r="I52" s="116"/>
      <c r="J52" s="116">
        <v>5</v>
      </c>
      <c r="K52" s="116"/>
      <c r="L52" s="117"/>
      <c r="M52" s="117"/>
      <c r="N52" s="117"/>
      <c r="O52" s="117"/>
      <c r="P52" s="117">
        <v>0.05</v>
      </c>
      <c r="Q52" s="117"/>
      <c r="R52" s="118"/>
      <c r="S52" s="118"/>
      <c r="T52" s="118"/>
      <c r="U52" s="118"/>
      <c r="V52" s="118">
        <v>1</v>
      </c>
      <c r="W52" s="118"/>
      <c r="X52" s="52">
        <f t="shared" si="13"/>
        <v>0</v>
      </c>
      <c r="Y52" s="52">
        <f t="shared" si="14"/>
        <v>0</v>
      </c>
      <c r="Z52" s="52">
        <f t="shared" si="15"/>
        <v>0</v>
      </c>
      <c r="AA52" s="52">
        <f t="shared" si="16"/>
        <v>0</v>
      </c>
      <c r="AB52" s="76">
        <f t="shared" si="17"/>
        <v>0</v>
      </c>
      <c r="AC52" s="75">
        <f t="shared" si="18"/>
        <v>0</v>
      </c>
      <c r="AD52" s="119">
        <f t="shared" si="19"/>
        <v>0</v>
      </c>
      <c r="AE52" s="52">
        <f t="shared" si="20"/>
        <v>1</v>
      </c>
      <c r="AF52" s="52">
        <f t="shared" si="21"/>
        <v>1</v>
      </c>
      <c r="AG52" s="76">
        <f t="shared" si="22"/>
        <v>5</v>
      </c>
      <c r="AH52" s="75">
        <f t="shared" si="23"/>
        <v>0.05</v>
      </c>
      <c r="AI52" s="76">
        <f t="shared" si="24"/>
        <v>100</v>
      </c>
      <c r="AJ52" s="52">
        <f t="shared" si="25"/>
        <v>1</v>
      </c>
      <c r="AK52" s="110"/>
    </row>
    <row r="53" spans="1:37">
      <c r="A53" s="17" t="s">
        <v>345</v>
      </c>
      <c r="B53" s="17" t="s">
        <v>66</v>
      </c>
      <c r="C53" s="115" t="s">
        <v>337</v>
      </c>
      <c r="D53" s="17" t="s">
        <v>346</v>
      </c>
      <c r="E53" s="50" t="s">
        <v>338</v>
      </c>
      <c r="F53" s="116"/>
      <c r="G53" s="116"/>
      <c r="H53" s="116"/>
      <c r="I53" s="116"/>
      <c r="J53" s="116"/>
      <c r="K53" s="116"/>
      <c r="L53" s="117"/>
      <c r="M53" s="117"/>
      <c r="N53" s="117"/>
      <c r="O53" s="117"/>
      <c r="P53" s="117"/>
      <c r="Q53" s="117"/>
      <c r="R53" s="118"/>
      <c r="S53" s="118"/>
      <c r="T53" s="118"/>
      <c r="U53" s="118"/>
      <c r="V53" s="118"/>
      <c r="W53" s="118"/>
      <c r="X53" s="52">
        <f t="shared" si="13"/>
        <v>0</v>
      </c>
      <c r="Y53" s="52">
        <f t="shared" si="14"/>
        <v>0</v>
      </c>
      <c r="Z53" s="52">
        <f t="shared" si="15"/>
        <v>0</v>
      </c>
      <c r="AA53" s="52">
        <f t="shared" si="16"/>
        <v>0</v>
      </c>
      <c r="AB53" s="76">
        <f t="shared" si="17"/>
        <v>0</v>
      </c>
      <c r="AC53" s="75">
        <f t="shared" si="18"/>
        <v>0</v>
      </c>
      <c r="AD53" s="119">
        <f t="shared" si="19"/>
        <v>0</v>
      </c>
      <c r="AE53" s="52">
        <f t="shared" si="20"/>
        <v>1</v>
      </c>
      <c r="AF53" s="52">
        <f t="shared" si="21"/>
        <v>0</v>
      </c>
      <c r="AG53" s="76">
        <f t="shared" si="22"/>
        <v>0</v>
      </c>
      <c r="AH53" s="75">
        <f t="shared" si="23"/>
        <v>0</v>
      </c>
      <c r="AI53" s="76">
        <f t="shared" si="24"/>
        <v>0</v>
      </c>
      <c r="AJ53" s="52">
        <f t="shared" si="25"/>
        <v>1</v>
      </c>
      <c r="AK53" s="110"/>
    </row>
    <row r="54" spans="1:37">
      <c r="A54" s="17" t="s">
        <v>348</v>
      </c>
      <c r="B54" s="17" t="s">
        <v>66</v>
      </c>
      <c r="C54" s="115" t="s">
        <v>292</v>
      </c>
      <c r="D54" s="17" t="s">
        <v>349</v>
      </c>
      <c r="E54" s="50" t="s">
        <v>308</v>
      </c>
      <c r="F54" s="116"/>
      <c r="G54" s="116"/>
      <c r="H54" s="116"/>
      <c r="I54" s="116"/>
      <c r="J54" s="116"/>
      <c r="K54" s="116"/>
      <c r="L54" s="117"/>
      <c r="M54" s="117"/>
      <c r="N54" s="117"/>
      <c r="O54" s="117"/>
      <c r="P54" s="117"/>
      <c r="Q54" s="117"/>
      <c r="R54" s="118"/>
      <c r="S54" s="118"/>
      <c r="T54" s="118"/>
      <c r="U54" s="118"/>
      <c r="V54" s="118"/>
      <c r="W54" s="118"/>
      <c r="X54" s="52">
        <f t="shared" si="13"/>
        <v>0</v>
      </c>
      <c r="Y54" s="52">
        <f t="shared" si="14"/>
        <v>0</v>
      </c>
      <c r="Z54" s="52">
        <f t="shared" si="15"/>
        <v>0</v>
      </c>
      <c r="AA54" s="52">
        <f t="shared" si="16"/>
        <v>0</v>
      </c>
      <c r="AB54" s="76">
        <f t="shared" si="17"/>
        <v>0</v>
      </c>
      <c r="AC54" s="75">
        <f t="shared" si="18"/>
        <v>0</v>
      </c>
      <c r="AD54" s="119">
        <f t="shared" si="19"/>
        <v>0</v>
      </c>
      <c r="AE54" s="52">
        <f t="shared" si="20"/>
        <v>1</v>
      </c>
      <c r="AF54" s="52">
        <f t="shared" si="21"/>
        <v>0</v>
      </c>
      <c r="AG54" s="76">
        <f t="shared" si="22"/>
        <v>0</v>
      </c>
      <c r="AH54" s="75">
        <f t="shared" si="23"/>
        <v>0</v>
      </c>
      <c r="AI54" s="76">
        <f t="shared" si="24"/>
        <v>0</v>
      </c>
      <c r="AJ54" s="52">
        <f t="shared" si="25"/>
        <v>1</v>
      </c>
      <c r="AK54" s="110" t="s">
        <v>690</v>
      </c>
    </row>
    <row r="55" spans="1:37">
      <c r="A55" s="17" t="s">
        <v>357</v>
      </c>
      <c r="B55" s="17" t="s">
        <v>67</v>
      </c>
      <c r="C55" s="115" t="s">
        <v>358</v>
      </c>
      <c r="D55" s="17" t="s">
        <v>302</v>
      </c>
      <c r="E55" s="50" t="s">
        <v>109</v>
      </c>
      <c r="F55" s="116">
        <v>4000</v>
      </c>
      <c r="G55" s="116">
        <v>4000</v>
      </c>
      <c r="H55" s="116">
        <v>4000</v>
      </c>
      <c r="I55" s="116">
        <v>3000</v>
      </c>
      <c r="J55" s="116">
        <v>3000</v>
      </c>
      <c r="K55" s="116">
        <v>4000</v>
      </c>
      <c r="L55" s="117">
        <v>20</v>
      </c>
      <c r="M55" s="117">
        <v>20</v>
      </c>
      <c r="N55" s="117">
        <v>20</v>
      </c>
      <c r="O55" s="117">
        <v>20</v>
      </c>
      <c r="P55" s="117">
        <v>20</v>
      </c>
      <c r="Q55" s="117">
        <v>20</v>
      </c>
      <c r="R55" s="118">
        <v>3</v>
      </c>
      <c r="S55" s="118">
        <v>3</v>
      </c>
      <c r="T55" s="118">
        <v>3</v>
      </c>
      <c r="U55" s="118">
        <v>3</v>
      </c>
      <c r="V55" s="118">
        <v>3</v>
      </c>
      <c r="W55" s="118">
        <v>3</v>
      </c>
      <c r="X55" s="52">
        <f t="shared" si="13"/>
        <v>200</v>
      </c>
      <c r="Y55" s="52">
        <f t="shared" si="14"/>
        <v>200</v>
      </c>
      <c r="Z55" s="52">
        <f t="shared" si="15"/>
        <v>200</v>
      </c>
      <c r="AA55" s="52">
        <f t="shared" si="16"/>
        <v>3</v>
      </c>
      <c r="AB55" s="76">
        <f t="shared" si="17"/>
        <v>4000</v>
      </c>
      <c r="AC55" s="75">
        <f t="shared" si="18"/>
        <v>20</v>
      </c>
      <c r="AD55" s="119">
        <f t="shared" si="19"/>
        <v>200</v>
      </c>
      <c r="AE55" s="52">
        <f t="shared" si="20"/>
        <v>3</v>
      </c>
      <c r="AF55" s="52">
        <f t="shared" si="21"/>
        <v>6</v>
      </c>
      <c r="AG55" s="76">
        <f t="shared" si="22"/>
        <v>3666.6666666666665</v>
      </c>
      <c r="AH55" s="75">
        <f t="shared" si="23"/>
        <v>20</v>
      </c>
      <c r="AI55" s="76">
        <f t="shared" si="24"/>
        <v>183.33333333333331</v>
      </c>
      <c r="AJ55" s="52">
        <f t="shared" si="25"/>
        <v>3</v>
      </c>
      <c r="AK55" s="110"/>
    </row>
    <row r="56" spans="1:37">
      <c r="A56" s="17" t="s">
        <v>359</v>
      </c>
      <c r="B56" s="17" t="s">
        <v>67</v>
      </c>
      <c r="C56" s="115" t="s">
        <v>358</v>
      </c>
      <c r="D56" s="17" t="s">
        <v>360</v>
      </c>
      <c r="E56" s="50" t="s">
        <v>109</v>
      </c>
      <c r="F56" s="116">
        <v>1000</v>
      </c>
      <c r="G56" s="116">
        <v>480</v>
      </c>
      <c r="H56" s="116">
        <v>1000</v>
      </c>
      <c r="I56" s="116">
        <v>480</v>
      </c>
      <c r="J56" s="116">
        <v>480</v>
      </c>
      <c r="K56" s="116">
        <v>1200</v>
      </c>
      <c r="L56" s="117">
        <v>4.1666666666666696</v>
      </c>
      <c r="M56" s="117">
        <v>2</v>
      </c>
      <c r="N56" s="117">
        <v>4.1666666666666696</v>
      </c>
      <c r="O56" s="117">
        <v>2</v>
      </c>
      <c r="P56" s="117">
        <v>2</v>
      </c>
      <c r="Q56" s="117">
        <v>5</v>
      </c>
      <c r="R56" s="118">
        <v>2</v>
      </c>
      <c r="S56" s="118">
        <v>2</v>
      </c>
      <c r="T56" s="118">
        <v>2</v>
      </c>
      <c r="U56" s="118">
        <v>2</v>
      </c>
      <c r="V56" s="118">
        <v>3</v>
      </c>
      <c r="W56" s="118">
        <v>2</v>
      </c>
      <c r="X56" s="52">
        <f t="shared" si="13"/>
        <v>239.99999999999983</v>
      </c>
      <c r="Y56" s="52">
        <f t="shared" si="14"/>
        <v>240</v>
      </c>
      <c r="Z56" s="52">
        <f t="shared" si="15"/>
        <v>239.99999999999983</v>
      </c>
      <c r="AA56" s="52">
        <f t="shared" si="16"/>
        <v>3</v>
      </c>
      <c r="AB56" s="76">
        <f t="shared" si="17"/>
        <v>826.66666666666663</v>
      </c>
      <c r="AC56" s="75">
        <f t="shared" si="18"/>
        <v>3.4444444444444464</v>
      </c>
      <c r="AD56" s="119">
        <f t="shared" si="19"/>
        <v>239.99999999999986</v>
      </c>
      <c r="AE56" s="52">
        <f t="shared" si="20"/>
        <v>2</v>
      </c>
      <c r="AF56" s="52">
        <f t="shared" si="21"/>
        <v>6</v>
      </c>
      <c r="AG56" s="76">
        <f t="shared" si="22"/>
        <v>773.33333333333337</v>
      </c>
      <c r="AH56" s="75">
        <f t="shared" si="23"/>
        <v>3.2222222222222232</v>
      </c>
      <c r="AI56" s="76">
        <f t="shared" si="24"/>
        <v>239.99999999999994</v>
      </c>
      <c r="AJ56" s="52">
        <f t="shared" si="25"/>
        <v>2</v>
      </c>
      <c r="AK56" s="110"/>
    </row>
    <row r="57" spans="1:37">
      <c r="A57" s="17" t="s">
        <v>364</v>
      </c>
      <c r="B57" s="17" t="s">
        <v>67</v>
      </c>
      <c r="C57" s="115" t="s">
        <v>358</v>
      </c>
      <c r="D57" s="17" t="s">
        <v>365</v>
      </c>
      <c r="E57" s="50" t="s">
        <v>367</v>
      </c>
      <c r="F57" s="116">
        <v>30</v>
      </c>
      <c r="G57" s="116">
        <v>20</v>
      </c>
      <c r="H57" s="116">
        <v>30</v>
      </c>
      <c r="I57" s="116">
        <v>20</v>
      </c>
      <c r="J57" s="116">
        <v>20</v>
      </c>
      <c r="K57" s="116">
        <v>50</v>
      </c>
      <c r="L57" s="117">
        <v>0.25</v>
      </c>
      <c r="M57" s="117">
        <v>0.16666666666666699</v>
      </c>
      <c r="N57" s="117">
        <v>0.25</v>
      </c>
      <c r="O57" s="117">
        <v>0.16666666666666699</v>
      </c>
      <c r="P57" s="117">
        <v>0.16666666666666699</v>
      </c>
      <c r="Q57" s="117">
        <v>0.5</v>
      </c>
      <c r="R57" s="118">
        <v>2</v>
      </c>
      <c r="S57" s="118">
        <v>2</v>
      </c>
      <c r="T57" s="118">
        <v>2</v>
      </c>
      <c r="U57" s="118">
        <v>2</v>
      </c>
      <c r="V57" s="118">
        <v>3</v>
      </c>
      <c r="W57" s="118">
        <v>2</v>
      </c>
      <c r="X57" s="52">
        <f t="shared" si="13"/>
        <v>120</v>
      </c>
      <c r="Y57" s="52">
        <f t="shared" si="14"/>
        <v>119.99999999999977</v>
      </c>
      <c r="Z57" s="52">
        <f t="shared" si="15"/>
        <v>120</v>
      </c>
      <c r="AA57" s="52">
        <f t="shared" si="16"/>
        <v>3</v>
      </c>
      <c r="AB57" s="76">
        <f t="shared" si="17"/>
        <v>26.666666666666668</v>
      </c>
      <c r="AC57" s="75">
        <f t="shared" si="18"/>
        <v>0.22222222222222232</v>
      </c>
      <c r="AD57" s="119">
        <f t="shared" si="19"/>
        <v>119.99999999999996</v>
      </c>
      <c r="AE57" s="52">
        <f t="shared" si="20"/>
        <v>2</v>
      </c>
      <c r="AF57" s="52">
        <f t="shared" si="21"/>
        <v>6</v>
      </c>
      <c r="AG57" s="76">
        <f t="shared" si="22"/>
        <v>28.333333333333332</v>
      </c>
      <c r="AH57" s="75">
        <f t="shared" si="23"/>
        <v>0.25000000000000017</v>
      </c>
      <c r="AI57" s="76">
        <f t="shared" si="24"/>
        <v>113.33333333333326</v>
      </c>
      <c r="AJ57" s="52">
        <f t="shared" si="25"/>
        <v>2</v>
      </c>
      <c r="AK57" s="110"/>
    </row>
    <row r="58" spans="1:37">
      <c r="A58" s="17" t="s">
        <v>370</v>
      </c>
      <c r="B58" s="17" t="s">
        <v>67</v>
      </c>
      <c r="C58" s="115" t="s">
        <v>320</v>
      </c>
      <c r="D58" s="17" t="s">
        <v>371</v>
      </c>
      <c r="E58" s="50" t="s">
        <v>308</v>
      </c>
      <c r="F58" s="116">
        <v>1</v>
      </c>
      <c r="G58" s="116">
        <v>1</v>
      </c>
      <c r="H58" s="116">
        <v>1</v>
      </c>
      <c r="I58" s="116"/>
      <c r="J58" s="116">
        <v>1</v>
      </c>
      <c r="K58" s="116"/>
      <c r="L58" s="117">
        <v>0.01</v>
      </c>
      <c r="M58" s="117">
        <v>0.01</v>
      </c>
      <c r="N58" s="117">
        <v>0.01</v>
      </c>
      <c r="O58" s="117"/>
      <c r="P58" s="117">
        <v>0.01</v>
      </c>
      <c r="Q58" s="117"/>
      <c r="R58" s="118">
        <v>1</v>
      </c>
      <c r="S58" s="118">
        <v>1</v>
      </c>
      <c r="T58" s="118">
        <v>1</v>
      </c>
      <c r="U58" s="118"/>
      <c r="V58" s="118">
        <v>1</v>
      </c>
      <c r="W58" s="118"/>
      <c r="X58" s="52">
        <f t="shared" si="13"/>
        <v>100</v>
      </c>
      <c r="Y58" s="52">
        <f t="shared" si="14"/>
        <v>100</v>
      </c>
      <c r="Z58" s="52">
        <f t="shared" si="15"/>
        <v>100</v>
      </c>
      <c r="AA58" s="52">
        <f t="shared" si="16"/>
        <v>3</v>
      </c>
      <c r="AB58" s="76">
        <f t="shared" si="17"/>
        <v>1</v>
      </c>
      <c r="AC58" s="75">
        <f t="shared" si="18"/>
        <v>0.01</v>
      </c>
      <c r="AD58" s="119">
        <f t="shared" si="19"/>
        <v>100</v>
      </c>
      <c r="AE58" s="52">
        <f t="shared" si="20"/>
        <v>1</v>
      </c>
      <c r="AF58" s="52">
        <f t="shared" si="21"/>
        <v>4</v>
      </c>
      <c r="AG58" s="76">
        <f t="shared" si="22"/>
        <v>1</v>
      </c>
      <c r="AH58" s="75">
        <f t="shared" si="23"/>
        <v>0.01</v>
      </c>
      <c r="AI58" s="76">
        <f t="shared" si="24"/>
        <v>100</v>
      </c>
      <c r="AJ58" s="52">
        <f t="shared" si="25"/>
        <v>1</v>
      </c>
      <c r="AK58" s="110"/>
    </row>
    <row r="59" spans="1:37">
      <c r="A59" s="17" t="s">
        <v>373</v>
      </c>
      <c r="B59" s="17" t="s">
        <v>67</v>
      </c>
      <c r="C59" s="115" t="s">
        <v>320</v>
      </c>
      <c r="D59" s="17" t="s">
        <v>318</v>
      </c>
      <c r="E59" s="50" t="s">
        <v>308</v>
      </c>
      <c r="F59" s="116">
        <v>1</v>
      </c>
      <c r="G59" s="116">
        <v>0.9</v>
      </c>
      <c r="H59" s="116">
        <v>1</v>
      </c>
      <c r="I59" s="116"/>
      <c r="J59" s="116">
        <v>0.9</v>
      </c>
      <c r="K59" s="116"/>
      <c r="L59" s="117">
        <v>0.01</v>
      </c>
      <c r="M59" s="117">
        <v>0.01</v>
      </c>
      <c r="N59" s="117">
        <v>0.01</v>
      </c>
      <c r="O59" s="117"/>
      <c r="P59" s="117">
        <v>0.01</v>
      </c>
      <c r="Q59" s="117"/>
      <c r="R59" s="118">
        <v>1</v>
      </c>
      <c r="S59" s="118">
        <v>1</v>
      </c>
      <c r="T59" s="118">
        <v>1</v>
      </c>
      <c r="U59" s="118"/>
      <c r="V59" s="118">
        <v>1</v>
      </c>
      <c r="W59" s="118"/>
      <c r="X59" s="52">
        <f t="shared" si="13"/>
        <v>100</v>
      </c>
      <c r="Y59" s="52">
        <f t="shared" si="14"/>
        <v>90</v>
      </c>
      <c r="Z59" s="52">
        <f t="shared" si="15"/>
        <v>100</v>
      </c>
      <c r="AA59" s="52">
        <f t="shared" si="16"/>
        <v>3</v>
      </c>
      <c r="AB59" s="76">
        <f t="shared" si="17"/>
        <v>0.96666666666666667</v>
      </c>
      <c r="AC59" s="75">
        <f t="shared" si="18"/>
        <v>0.01</v>
      </c>
      <c r="AD59" s="119">
        <f t="shared" si="19"/>
        <v>96.666666666666671</v>
      </c>
      <c r="AE59" s="52">
        <f t="shared" si="20"/>
        <v>1</v>
      </c>
      <c r="AF59" s="52">
        <f t="shared" si="21"/>
        <v>4</v>
      </c>
      <c r="AG59" s="76">
        <f t="shared" si="22"/>
        <v>0.95</v>
      </c>
      <c r="AH59" s="75">
        <f t="shared" si="23"/>
        <v>0.01</v>
      </c>
      <c r="AI59" s="76">
        <f t="shared" si="24"/>
        <v>95</v>
      </c>
      <c r="AJ59" s="52">
        <f t="shared" si="25"/>
        <v>1</v>
      </c>
      <c r="AK59" s="110"/>
    </row>
    <row r="60" spans="1:37">
      <c r="A60" s="17" t="s">
        <v>374</v>
      </c>
      <c r="B60" s="17" t="s">
        <v>67</v>
      </c>
      <c r="C60" s="115" t="s">
        <v>320</v>
      </c>
      <c r="D60" s="17" t="s">
        <v>375</v>
      </c>
      <c r="E60" s="50" t="s">
        <v>367</v>
      </c>
      <c r="F60" s="116">
        <v>30</v>
      </c>
      <c r="G60" s="116">
        <v>25</v>
      </c>
      <c r="H60" s="116"/>
      <c r="I60" s="116"/>
      <c r="J60" s="116">
        <v>25</v>
      </c>
      <c r="K60" s="116"/>
      <c r="L60" s="117">
        <v>0.1</v>
      </c>
      <c r="M60" s="117">
        <v>0.25</v>
      </c>
      <c r="N60" s="117"/>
      <c r="O60" s="117"/>
      <c r="P60" s="117">
        <v>0.25</v>
      </c>
      <c r="Q60" s="117"/>
      <c r="R60" s="118">
        <v>1</v>
      </c>
      <c r="S60" s="118">
        <v>1</v>
      </c>
      <c r="T60" s="118"/>
      <c r="U60" s="118"/>
      <c r="V60" s="118">
        <v>1</v>
      </c>
      <c r="W60" s="118"/>
      <c r="X60" s="52">
        <f t="shared" si="13"/>
        <v>300</v>
      </c>
      <c r="Y60" s="52">
        <f t="shared" si="14"/>
        <v>100</v>
      </c>
      <c r="Z60" s="52">
        <f t="shared" si="15"/>
        <v>0</v>
      </c>
      <c r="AA60" s="52">
        <f t="shared" si="16"/>
        <v>2</v>
      </c>
      <c r="AB60" s="76">
        <f t="shared" si="17"/>
        <v>27.5</v>
      </c>
      <c r="AC60" s="75">
        <f t="shared" si="18"/>
        <v>0.17499999999999999</v>
      </c>
      <c r="AD60" s="119">
        <f t="shared" si="19"/>
        <v>157.14285714285714</v>
      </c>
      <c r="AE60" s="52">
        <f t="shared" si="20"/>
        <v>1</v>
      </c>
      <c r="AF60" s="52">
        <f t="shared" si="21"/>
        <v>3</v>
      </c>
      <c r="AG60" s="76">
        <f t="shared" si="22"/>
        <v>26.666666666666668</v>
      </c>
      <c r="AH60" s="75">
        <f t="shared" si="23"/>
        <v>0.19999999999999998</v>
      </c>
      <c r="AI60" s="76">
        <f t="shared" si="24"/>
        <v>133.33333333333334</v>
      </c>
      <c r="AJ60" s="52">
        <f t="shared" si="25"/>
        <v>1</v>
      </c>
      <c r="AK60" s="110"/>
    </row>
    <row r="61" spans="1:37">
      <c r="A61" s="17" t="s">
        <v>377</v>
      </c>
      <c r="B61" s="17" t="s">
        <v>67</v>
      </c>
      <c r="C61" s="115" t="s">
        <v>320</v>
      </c>
      <c r="D61" s="17" t="s">
        <v>378</v>
      </c>
      <c r="E61" s="50" t="s">
        <v>109</v>
      </c>
      <c r="F61" s="116"/>
      <c r="G61" s="116"/>
      <c r="H61" s="116"/>
      <c r="I61" s="116"/>
      <c r="J61" s="116">
        <v>1000</v>
      </c>
      <c r="K61" s="116"/>
      <c r="L61" s="117"/>
      <c r="M61" s="117"/>
      <c r="N61" s="117"/>
      <c r="O61" s="117"/>
      <c r="P61" s="117">
        <v>10</v>
      </c>
      <c r="Q61" s="117"/>
      <c r="R61" s="118"/>
      <c r="S61" s="118"/>
      <c r="T61" s="118"/>
      <c r="U61" s="118"/>
      <c r="V61" s="118">
        <v>1</v>
      </c>
      <c r="W61" s="118"/>
      <c r="X61" s="52">
        <f t="shared" si="13"/>
        <v>0</v>
      </c>
      <c r="Y61" s="52">
        <f t="shared" si="14"/>
        <v>0</v>
      </c>
      <c r="Z61" s="52">
        <f t="shared" si="15"/>
        <v>0</v>
      </c>
      <c r="AA61" s="52">
        <f t="shared" si="16"/>
        <v>0</v>
      </c>
      <c r="AB61" s="76">
        <f t="shared" si="17"/>
        <v>0</v>
      </c>
      <c r="AC61" s="75">
        <f t="shared" si="18"/>
        <v>0</v>
      </c>
      <c r="AD61" s="119">
        <f t="shared" si="19"/>
        <v>0</v>
      </c>
      <c r="AE61" s="52">
        <f t="shared" si="20"/>
        <v>1</v>
      </c>
      <c r="AF61" s="52">
        <f t="shared" si="21"/>
        <v>1</v>
      </c>
      <c r="AG61" s="76">
        <f t="shared" si="22"/>
        <v>1000</v>
      </c>
      <c r="AH61" s="75">
        <f t="shared" si="23"/>
        <v>10</v>
      </c>
      <c r="AI61" s="76">
        <f t="shared" si="24"/>
        <v>100</v>
      </c>
      <c r="AJ61" s="52">
        <f t="shared" si="25"/>
        <v>1</v>
      </c>
      <c r="AK61" s="110"/>
    </row>
    <row r="62" spans="1:37">
      <c r="A62" s="17" t="s">
        <v>380</v>
      </c>
      <c r="B62" s="17" t="s">
        <v>67</v>
      </c>
      <c r="C62" s="115" t="s">
        <v>383</v>
      </c>
      <c r="D62" s="17" t="s">
        <v>381</v>
      </c>
      <c r="E62" s="50" t="s">
        <v>308</v>
      </c>
      <c r="F62" s="116">
        <v>1.5</v>
      </c>
      <c r="G62" s="116">
        <v>2</v>
      </c>
      <c r="H62" s="116">
        <v>1.5</v>
      </c>
      <c r="I62" s="116">
        <v>3</v>
      </c>
      <c r="J62" s="116">
        <v>1.2</v>
      </c>
      <c r="K62" s="116">
        <v>2.5</v>
      </c>
      <c r="L62" s="117">
        <v>0.01</v>
      </c>
      <c r="M62" s="117">
        <v>0.01</v>
      </c>
      <c r="N62" s="117">
        <v>0.01</v>
      </c>
      <c r="O62" s="117">
        <v>1.4999999999999999E-2</v>
      </c>
      <c r="P62" s="117">
        <v>0.01</v>
      </c>
      <c r="Q62" s="117">
        <v>0.01</v>
      </c>
      <c r="R62" s="118">
        <v>1</v>
      </c>
      <c r="S62" s="118">
        <v>1</v>
      </c>
      <c r="T62" s="118">
        <v>1</v>
      </c>
      <c r="U62" s="118">
        <v>1</v>
      </c>
      <c r="V62" s="118">
        <v>1</v>
      </c>
      <c r="W62" s="118">
        <v>1</v>
      </c>
      <c r="X62" s="52">
        <f t="shared" si="13"/>
        <v>150</v>
      </c>
      <c r="Y62" s="52">
        <f t="shared" si="14"/>
        <v>200</v>
      </c>
      <c r="Z62" s="52">
        <f t="shared" si="15"/>
        <v>150</v>
      </c>
      <c r="AA62" s="52">
        <f t="shared" si="16"/>
        <v>3</v>
      </c>
      <c r="AB62" s="76">
        <f t="shared" si="17"/>
        <v>1.6666666666666667</v>
      </c>
      <c r="AC62" s="75">
        <f t="shared" si="18"/>
        <v>0.01</v>
      </c>
      <c r="AD62" s="119">
        <f t="shared" si="19"/>
        <v>166.66666666666666</v>
      </c>
      <c r="AE62" s="52">
        <f t="shared" si="20"/>
        <v>1</v>
      </c>
      <c r="AF62" s="52">
        <f t="shared" si="21"/>
        <v>6</v>
      </c>
      <c r="AG62" s="76">
        <f t="shared" si="22"/>
        <v>1.95</v>
      </c>
      <c r="AH62" s="75">
        <f t="shared" si="23"/>
        <v>1.0833333333333334E-2</v>
      </c>
      <c r="AI62" s="76">
        <f t="shared" si="24"/>
        <v>180</v>
      </c>
      <c r="AJ62" s="52">
        <f t="shared" si="25"/>
        <v>1</v>
      </c>
      <c r="AK62" s="110"/>
    </row>
    <row r="63" spans="1:37">
      <c r="A63" s="17" t="s">
        <v>384</v>
      </c>
      <c r="B63" s="17" t="s">
        <v>67</v>
      </c>
      <c r="C63" s="115" t="s">
        <v>383</v>
      </c>
      <c r="D63" s="17" t="s">
        <v>328</v>
      </c>
      <c r="E63" s="50" t="s">
        <v>308</v>
      </c>
      <c r="F63" s="116"/>
      <c r="G63" s="116">
        <v>0.8</v>
      </c>
      <c r="H63" s="116">
        <v>1</v>
      </c>
      <c r="I63" s="116">
        <v>1</v>
      </c>
      <c r="J63" s="116"/>
      <c r="K63" s="116">
        <v>1.5</v>
      </c>
      <c r="L63" s="117"/>
      <c r="M63" s="117">
        <v>0.01</v>
      </c>
      <c r="N63" s="117">
        <v>0.01</v>
      </c>
      <c r="O63" s="117">
        <v>0.01</v>
      </c>
      <c r="P63" s="117"/>
      <c r="Q63" s="117">
        <v>0.01</v>
      </c>
      <c r="R63" s="118"/>
      <c r="S63" s="118">
        <v>1</v>
      </c>
      <c r="T63" s="118">
        <v>1</v>
      </c>
      <c r="U63" s="118">
        <v>1</v>
      </c>
      <c r="V63" s="118"/>
      <c r="W63" s="118">
        <v>1</v>
      </c>
      <c r="X63" s="52">
        <f t="shared" si="13"/>
        <v>0</v>
      </c>
      <c r="Y63" s="52">
        <f t="shared" si="14"/>
        <v>80</v>
      </c>
      <c r="Z63" s="52">
        <f t="shared" si="15"/>
        <v>100</v>
      </c>
      <c r="AA63" s="52">
        <f t="shared" si="16"/>
        <v>2</v>
      </c>
      <c r="AB63" s="76">
        <f t="shared" si="17"/>
        <v>0.9</v>
      </c>
      <c r="AC63" s="75">
        <f t="shared" si="18"/>
        <v>0.01</v>
      </c>
      <c r="AD63" s="119">
        <f t="shared" si="19"/>
        <v>90</v>
      </c>
      <c r="AE63" s="52">
        <f t="shared" si="20"/>
        <v>1</v>
      </c>
      <c r="AF63" s="52">
        <f t="shared" si="21"/>
        <v>4</v>
      </c>
      <c r="AG63" s="76">
        <f t="shared" si="22"/>
        <v>1.075</v>
      </c>
      <c r="AH63" s="75">
        <f t="shared" si="23"/>
        <v>0.01</v>
      </c>
      <c r="AI63" s="76">
        <f t="shared" si="24"/>
        <v>107.5</v>
      </c>
      <c r="AJ63" s="52">
        <f t="shared" si="25"/>
        <v>1</v>
      </c>
      <c r="AK63" s="110"/>
    </row>
    <row r="64" spans="1:37">
      <c r="A64" s="17" t="s">
        <v>385</v>
      </c>
      <c r="B64" s="17" t="s">
        <v>67</v>
      </c>
      <c r="C64" s="115" t="s">
        <v>383</v>
      </c>
      <c r="D64" s="17" t="s">
        <v>386</v>
      </c>
      <c r="E64" s="50" t="s">
        <v>308</v>
      </c>
      <c r="F64" s="116">
        <v>2</v>
      </c>
      <c r="G64" s="116">
        <v>2</v>
      </c>
      <c r="H64" s="116">
        <v>1</v>
      </c>
      <c r="I64" s="116">
        <v>2</v>
      </c>
      <c r="J64" s="116">
        <v>1</v>
      </c>
      <c r="K64" s="116">
        <v>2</v>
      </c>
      <c r="L64" s="117">
        <v>0.01</v>
      </c>
      <c r="M64" s="117">
        <v>0.01</v>
      </c>
      <c r="N64" s="117">
        <v>5.0000000000000001E-3</v>
      </c>
      <c r="O64" s="117">
        <v>0.01</v>
      </c>
      <c r="P64" s="117">
        <v>5.0000000000000001E-3</v>
      </c>
      <c r="Q64" s="117">
        <v>0.01</v>
      </c>
      <c r="R64" s="118">
        <v>1</v>
      </c>
      <c r="S64" s="118">
        <v>1</v>
      </c>
      <c r="T64" s="118">
        <v>1</v>
      </c>
      <c r="U64" s="118">
        <v>1</v>
      </c>
      <c r="V64" s="118">
        <v>1</v>
      </c>
      <c r="W64" s="118">
        <v>1</v>
      </c>
      <c r="X64" s="52">
        <f t="shared" si="13"/>
        <v>200</v>
      </c>
      <c r="Y64" s="52">
        <f t="shared" si="14"/>
        <v>200</v>
      </c>
      <c r="Z64" s="52">
        <f t="shared" si="15"/>
        <v>200</v>
      </c>
      <c r="AA64" s="52">
        <f t="shared" si="16"/>
        <v>3</v>
      </c>
      <c r="AB64" s="76">
        <f t="shared" si="17"/>
        <v>1.6666666666666667</v>
      </c>
      <c r="AC64" s="75">
        <f t="shared" si="18"/>
        <v>8.3333333333333332E-3</v>
      </c>
      <c r="AD64" s="119">
        <f t="shared" si="19"/>
        <v>200</v>
      </c>
      <c r="AE64" s="52">
        <f t="shared" si="20"/>
        <v>1</v>
      </c>
      <c r="AF64" s="52">
        <f t="shared" si="21"/>
        <v>6</v>
      </c>
      <c r="AG64" s="76">
        <f t="shared" si="22"/>
        <v>1.6666666666666667</v>
      </c>
      <c r="AH64" s="75">
        <f t="shared" si="23"/>
        <v>8.3333333333333332E-3</v>
      </c>
      <c r="AI64" s="76">
        <f t="shared" si="24"/>
        <v>200</v>
      </c>
      <c r="AJ64" s="52">
        <f t="shared" si="25"/>
        <v>1</v>
      </c>
      <c r="AK64" s="110"/>
    </row>
    <row r="65" spans="1:37">
      <c r="A65" s="17" t="s">
        <v>388</v>
      </c>
      <c r="B65" s="17" t="s">
        <v>67</v>
      </c>
      <c r="C65" s="115" t="s">
        <v>383</v>
      </c>
      <c r="D65" s="17" t="s">
        <v>389</v>
      </c>
      <c r="E65" s="50" t="s">
        <v>308</v>
      </c>
      <c r="F65" s="116"/>
      <c r="G65" s="116">
        <v>1.4</v>
      </c>
      <c r="H65" s="116"/>
      <c r="I65" s="116">
        <v>1.5</v>
      </c>
      <c r="J65" s="116">
        <v>2</v>
      </c>
      <c r="K65" s="116">
        <v>1.5</v>
      </c>
      <c r="L65" s="117"/>
      <c r="M65" s="117">
        <v>0.02</v>
      </c>
      <c r="N65" s="117"/>
      <c r="O65" s="117">
        <v>1.4999999999999999E-2</v>
      </c>
      <c r="P65" s="117">
        <v>2.8571428571428598E-2</v>
      </c>
      <c r="Q65" s="117">
        <v>0.01</v>
      </c>
      <c r="R65" s="118"/>
      <c r="S65" s="118">
        <v>1</v>
      </c>
      <c r="T65" s="118"/>
      <c r="U65" s="118">
        <v>1</v>
      </c>
      <c r="V65" s="118">
        <v>1</v>
      </c>
      <c r="W65" s="118">
        <v>1</v>
      </c>
      <c r="X65" s="52">
        <f t="shared" si="13"/>
        <v>0</v>
      </c>
      <c r="Y65" s="52">
        <f t="shared" si="14"/>
        <v>70</v>
      </c>
      <c r="Z65" s="52">
        <f t="shared" si="15"/>
        <v>0</v>
      </c>
      <c r="AA65" s="52">
        <f t="shared" si="16"/>
        <v>1</v>
      </c>
      <c r="AB65" s="76">
        <f t="shared" si="17"/>
        <v>1.4</v>
      </c>
      <c r="AC65" s="75">
        <f t="shared" si="18"/>
        <v>0.02</v>
      </c>
      <c r="AD65" s="119">
        <f t="shared" si="19"/>
        <v>70</v>
      </c>
      <c r="AE65" s="52">
        <f t="shared" si="20"/>
        <v>1</v>
      </c>
      <c r="AF65" s="52">
        <f t="shared" si="21"/>
        <v>4</v>
      </c>
      <c r="AG65" s="76">
        <f t="shared" si="22"/>
        <v>1.6</v>
      </c>
      <c r="AH65" s="75">
        <f t="shared" si="23"/>
        <v>1.8392857142857148E-2</v>
      </c>
      <c r="AI65" s="76">
        <f t="shared" si="24"/>
        <v>86.990291262135898</v>
      </c>
      <c r="AJ65" s="52">
        <f t="shared" si="25"/>
        <v>1</v>
      </c>
      <c r="AK65" s="110"/>
    </row>
    <row r="66" spans="1:37">
      <c r="A66" s="17" t="s">
        <v>391</v>
      </c>
      <c r="B66" s="17" t="s">
        <v>67</v>
      </c>
      <c r="C66" s="115" t="s">
        <v>383</v>
      </c>
      <c r="D66" s="17" t="s">
        <v>392</v>
      </c>
      <c r="E66" s="50" t="s">
        <v>308</v>
      </c>
      <c r="F66" s="116">
        <v>1</v>
      </c>
      <c r="G66" s="116"/>
      <c r="H66" s="116">
        <v>1</v>
      </c>
      <c r="I66" s="116">
        <v>1</v>
      </c>
      <c r="J66" s="116"/>
      <c r="K66" s="116"/>
      <c r="L66" s="117">
        <v>5.0000000000000001E-3</v>
      </c>
      <c r="M66" s="117"/>
      <c r="N66" s="117">
        <v>5.0000000000000001E-3</v>
      </c>
      <c r="O66" s="117">
        <v>5.0000000000000001E-3</v>
      </c>
      <c r="P66" s="117"/>
      <c r="Q66" s="117"/>
      <c r="R66" s="118">
        <v>1</v>
      </c>
      <c r="S66" s="118"/>
      <c r="T66" s="118">
        <v>1</v>
      </c>
      <c r="U66" s="118">
        <v>1</v>
      </c>
      <c r="V66" s="118"/>
      <c r="W66" s="118"/>
      <c r="X66" s="52">
        <f t="shared" si="13"/>
        <v>200</v>
      </c>
      <c r="Y66" s="52">
        <f t="shared" si="14"/>
        <v>0</v>
      </c>
      <c r="Z66" s="52">
        <f t="shared" si="15"/>
        <v>200</v>
      </c>
      <c r="AA66" s="52">
        <f t="shared" si="16"/>
        <v>2</v>
      </c>
      <c r="AB66" s="76">
        <f t="shared" si="17"/>
        <v>1</v>
      </c>
      <c r="AC66" s="75">
        <f t="shared" si="18"/>
        <v>5.0000000000000001E-3</v>
      </c>
      <c r="AD66" s="119">
        <f t="shared" si="19"/>
        <v>200</v>
      </c>
      <c r="AE66" s="52">
        <f t="shared" si="20"/>
        <v>1</v>
      </c>
      <c r="AF66" s="52">
        <f t="shared" si="21"/>
        <v>3</v>
      </c>
      <c r="AG66" s="76">
        <f t="shared" si="22"/>
        <v>1</v>
      </c>
      <c r="AH66" s="75">
        <f t="shared" si="23"/>
        <v>5.0000000000000001E-3</v>
      </c>
      <c r="AI66" s="76">
        <f t="shared" si="24"/>
        <v>200</v>
      </c>
      <c r="AJ66" s="52">
        <f t="shared" si="25"/>
        <v>1</v>
      </c>
      <c r="AK66" s="110"/>
    </row>
    <row r="67" spans="1:37">
      <c r="A67" s="17" t="s">
        <v>394</v>
      </c>
      <c r="B67" s="17" t="s">
        <v>67</v>
      </c>
      <c r="C67" s="115" t="s">
        <v>383</v>
      </c>
      <c r="D67" s="17" t="s">
        <v>395</v>
      </c>
      <c r="E67" s="50" t="s">
        <v>308</v>
      </c>
      <c r="F67" s="116">
        <v>2</v>
      </c>
      <c r="G67" s="116"/>
      <c r="H67" s="116"/>
      <c r="I67" s="116"/>
      <c r="J67" s="116">
        <v>1.5</v>
      </c>
      <c r="K67" s="116"/>
      <c r="L67" s="117">
        <v>6.6666666666666697E-3</v>
      </c>
      <c r="M67" s="117"/>
      <c r="N67" s="117"/>
      <c r="O67" s="117"/>
      <c r="P67" s="117">
        <v>6.0000000000000001E-3</v>
      </c>
      <c r="Q67" s="117"/>
      <c r="R67" s="118">
        <v>1</v>
      </c>
      <c r="S67" s="118"/>
      <c r="T67" s="118"/>
      <c r="U67" s="118"/>
      <c r="V67" s="118">
        <v>1</v>
      </c>
      <c r="W67" s="118"/>
      <c r="X67" s="52">
        <f t="shared" si="13"/>
        <v>299.99999999999989</v>
      </c>
      <c r="Y67" s="52">
        <f t="shared" si="14"/>
        <v>0</v>
      </c>
      <c r="Z67" s="52">
        <f t="shared" si="15"/>
        <v>0</v>
      </c>
      <c r="AA67" s="52">
        <f t="shared" si="16"/>
        <v>1</v>
      </c>
      <c r="AB67" s="76">
        <f t="shared" si="17"/>
        <v>2</v>
      </c>
      <c r="AC67" s="75">
        <f t="shared" si="18"/>
        <v>6.6666666666666697E-3</v>
      </c>
      <c r="AD67" s="119">
        <f t="shared" si="19"/>
        <v>299.99999999999989</v>
      </c>
      <c r="AE67" s="52">
        <f t="shared" si="20"/>
        <v>1</v>
      </c>
      <c r="AF67" s="52">
        <f t="shared" si="21"/>
        <v>2</v>
      </c>
      <c r="AG67" s="76">
        <f t="shared" si="22"/>
        <v>1.75</v>
      </c>
      <c r="AH67" s="75">
        <f t="shared" si="23"/>
        <v>6.3333333333333349E-3</v>
      </c>
      <c r="AI67" s="76">
        <f t="shared" si="24"/>
        <v>276.31578947368416</v>
      </c>
      <c r="AJ67" s="52">
        <f t="shared" si="25"/>
        <v>1</v>
      </c>
      <c r="AK67" s="110"/>
    </row>
    <row r="68" spans="1:37">
      <c r="A68" s="17" t="s">
        <v>397</v>
      </c>
      <c r="B68" s="17" t="s">
        <v>67</v>
      </c>
      <c r="C68" s="115" t="s">
        <v>400</v>
      </c>
      <c r="D68" s="17" t="s">
        <v>398</v>
      </c>
      <c r="E68" s="50" t="s">
        <v>308</v>
      </c>
      <c r="F68" s="116">
        <v>2</v>
      </c>
      <c r="G68" s="116">
        <v>1.5</v>
      </c>
      <c r="H68" s="116">
        <v>1.5</v>
      </c>
      <c r="I68" s="116">
        <v>1.5</v>
      </c>
      <c r="J68" s="116">
        <v>1.3</v>
      </c>
      <c r="K68" s="116">
        <v>3</v>
      </c>
      <c r="L68" s="117">
        <v>0.01</v>
      </c>
      <c r="M68" s="117">
        <v>0.01</v>
      </c>
      <c r="N68" s="117">
        <v>0.01</v>
      </c>
      <c r="O68" s="117">
        <v>0.01</v>
      </c>
      <c r="P68" s="117">
        <v>0.01</v>
      </c>
      <c r="Q68" s="117">
        <v>0.01</v>
      </c>
      <c r="R68" s="118">
        <v>1</v>
      </c>
      <c r="S68" s="118">
        <v>1</v>
      </c>
      <c r="T68" s="118">
        <v>1</v>
      </c>
      <c r="U68" s="118">
        <v>1</v>
      </c>
      <c r="V68" s="118">
        <v>1</v>
      </c>
      <c r="W68" s="118">
        <v>1</v>
      </c>
      <c r="X68" s="52">
        <f t="shared" si="13"/>
        <v>200</v>
      </c>
      <c r="Y68" s="52">
        <f t="shared" si="14"/>
        <v>150</v>
      </c>
      <c r="Z68" s="52">
        <f t="shared" si="15"/>
        <v>150</v>
      </c>
      <c r="AA68" s="52">
        <f t="shared" si="16"/>
        <v>3</v>
      </c>
      <c r="AB68" s="76">
        <f t="shared" si="17"/>
        <v>1.6666666666666667</v>
      </c>
      <c r="AC68" s="75">
        <f t="shared" si="18"/>
        <v>0.01</v>
      </c>
      <c r="AD68" s="119">
        <f t="shared" si="19"/>
        <v>166.66666666666666</v>
      </c>
      <c r="AE68" s="52">
        <f t="shared" si="20"/>
        <v>1</v>
      </c>
      <c r="AF68" s="52">
        <f t="shared" si="21"/>
        <v>6</v>
      </c>
      <c r="AG68" s="76">
        <f t="shared" si="22"/>
        <v>1.8</v>
      </c>
      <c r="AH68" s="75">
        <f t="shared" si="23"/>
        <v>0.01</v>
      </c>
      <c r="AI68" s="76">
        <f t="shared" si="24"/>
        <v>180</v>
      </c>
      <c r="AJ68" s="52">
        <f t="shared" si="25"/>
        <v>1</v>
      </c>
      <c r="AK68" s="110"/>
    </row>
    <row r="69" spans="1:37">
      <c r="A69" s="17" t="s">
        <v>401</v>
      </c>
      <c r="B69" s="17" t="s">
        <v>67</v>
      </c>
      <c r="C69" s="115" t="s">
        <v>400</v>
      </c>
      <c r="D69" s="17" t="s">
        <v>402</v>
      </c>
      <c r="E69" s="50" t="s">
        <v>308</v>
      </c>
      <c r="F69" s="116">
        <v>2</v>
      </c>
      <c r="G69" s="116"/>
      <c r="H69" s="116"/>
      <c r="I69" s="116"/>
      <c r="J69" s="116"/>
      <c r="K69" s="116"/>
      <c r="L69" s="117">
        <v>0.01</v>
      </c>
      <c r="M69" s="117"/>
      <c r="N69" s="117"/>
      <c r="O69" s="117"/>
      <c r="P69" s="117"/>
      <c r="Q69" s="117"/>
      <c r="R69" s="118">
        <v>1</v>
      </c>
      <c r="S69" s="118"/>
      <c r="T69" s="118"/>
      <c r="U69" s="118"/>
      <c r="V69" s="118"/>
      <c r="W69" s="118"/>
      <c r="X69" s="52">
        <f t="shared" si="13"/>
        <v>200</v>
      </c>
      <c r="Y69" s="52">
        <f t="shared" si="14"/>
        <v>0</v>
      </c>
      <c r="Z69" s="52">
        <f t="shared" si="15"/>
        <v>0</v>
      </c>
      <c r="AA69" s="52">
        <f t="shared" si="16"/>
        <v>1</v>
      </c>
      <c r="AB69" s="76">
        <f t="shared" si="17"/>
        <v>2</v>
      </c>
      <c r="AC69" s="75">
        <f t="shared" si="18"/>
        <v>0.01</v>
      </c>
      <c r="AD69" s="119">
        <f t="shared" si="19"/>
        <v>200</v>
      </c>
      <c r="AE69" s="52">
        <f t="shared" si="20"/>
        <v>1</v>
      </c>
      <c r="AF69" s="52">
        <f t="shared" si="21"/>
        <v>1</v>
      </c>
      <c r="AG69" s="76">
        <f t="shared" si="22"/>
        <v>2</v>
      </c>
      <c r="AH69" s="75">
        <f t="shared" si="23"/>
        <v>0.01</v>
      </c>
      <c r="AI69" s="76">
        <f t="shared" si="24"/>
        <v>200</v>
      </c>
      <c r="AJ69" s="52">
        <f t="shared" si="25"/>
        <v>1</v>
      </c>
      <c r="AK69" s="110"/>
    </row>
    <row r="70" spans="1:37">
      <c r="A70" s="17" t="s">
        <v>404</v>
      </c>
      <c r="B70" s="17" t="s">
        <v>67</v>
      </c>
      <c r="C70" s="115" t="s">
        <v>400</v>
      </c>
      <c r="D70" s="17" t="s">
        <v>405</v>
      </c>
      <c r="E70" s="50" t="s">
        <v>109</v>
      </c>
      <c r="F70" s="116">
        <v>3000</v>
      </c>
      <c r="G70" s="116"/>
      <c r="H70" s="116"/>
      <c r="I70" s="116"/>
      <c r="J70" s="116"/>
      <c r="K70" s="116"/>
      <c r="L70" s="117">
        <v>10</v>
      </c>
      <c r="M70" s="117"/>
      <c r="N70" s="117"/>
      <c r="O70" s="117"/>
      <c r="P70" s="117"/>
      <c r="Q70" s="117"/>
      <c r="R70" s="118">
        <v>1</v>
      </c>
      <c r="S70" s="118"/>
      <c r="T70" s="118"/>
      <c r="U70" s="118"/>
      <c r="V70" s="118"/>
      <c r="W70" s="118"/>
      <c r="X70" s="52">
        <f t="shared" si="13"/>
        <v>300</v>
      </c>
      <c r="Y70" s="52">
        <f t="shared" si="14"/>
        <v>0</v>
      </c>
      <c r="Z70" s="52">
        <f t="shared" si="15"/>
        <v>0</v>
      </c>
      <c r="AA70" s="52">
        <f t="shared" si="16"/>
        <v>1</v>
      </c>
      <c r="AB70" s="76">
        <f t="shared" si="17"/>
        <v>3000</v>
      </c>
      <c r="AC70" s="75">
        <f t="shared" si="18"/>
        <v>10</v>
      </c>
      <c r="AD70" s="119">
        <f t="shared" si="19"/>
        <v>300</v>
      </c>
      <c r="AE70" s="52">
        <f t="shared" si="20"/>
        <v>1</v>
      </c>
      <c r="AF70" s="52">
        <f t="shared" si="21"/>
        <v>1</v>
      </c>
      <c r="AG70" s="76">
        <f t="shared" si="22"/>
        <v>3000</v>
      </c>
      <c r="AH70" s="75">
        <f t="shared" si="23"/>
        <v>10</v>
      </c>
      <c r="AI70" s="76">
        <f t="shared" si="24"/>
        <v>300</v>
      </c>
      <c r="AJ70" s="52">
        <f t="shared" si="25"/>
        <v>1</v>
      </c>
      <c r="AK70" s="110"/>
    </row>
    <row r="71" spans="1:37">
      <c r="A71" s="17" t="s">
        <v>407</v>
      </c>
      <c r="B71" s="17" t="s">
        <v>67</v>
      </c>
      <c r="C71" s="115" t="s">
        <v>400</v>
      </c>
      <c r="D71" s="17" t="s">
        <v>408</v>
      </c>
      <c r="E71" s="50" t="s">
        <v>308</v>
      </c>
      <c r="F71" s="116">
        <v>3</v>
      </c>
      <c r="G71" s="116"/>
      <c r="H71" s="116"/>
      <c r="I71" s="116">
        <v>2</v>
      </c>
      <c r="J71" s="116">
        <v>5</v>
      </c>
      <c r="K71" s="116"/>
      <c r="L71" s="117">
        <v>0.01</v>
      </c>
      <c r="M71" s="117"/>
      <c r="N71" s="117"/>
      <c r="O71" s="117">
        <v>0.02</v>
      </c>
      <c r="P71" s="117">
        <v>0.1</v>
      </c>
      <c r="Q71" s="117"/>
      <c r="R71" s="118">
        <v>1</v>
      </c>
      <c r="S71" s="118"/>
      <c r="T71" s="118"/>
      <c r="U71" s="118">
        <v>1</v>
      </c>
      <c r="V71" s="118">
        <v>1</v>
      </c>
      <c r="W71" s="118"/>
      <c r="X71" s="52">
        <f t="shared" ref="X71:X102" si="26">IFERROR(F71/L71,0)</f>
        <v>300</v>
      </c>
      <c r="Y71" s="52">
        <f t="shared" ref="Y71:Y102" si="27">IFERROR(G71/M71,0)</f>
        <v>0</v>
      </c>
      <c r="Z71" s="52">
        <f t="shared" ref="Z71:Z102" si="28">IFERROR(H71/N71,0)</f>
        <v>0</v>
      </c>
      <c r="AA71" s="52">
        <f t="shared" ref="AA71:AA102" si="29">COUNTIF(F71:H71,"&gt;0")</f>
        <v>1</v>
      </c>
      <c r="AB71" s="76">
        <f t="shared" ref="AB71:AB102" si="30">IFERROR(AVERAGEIF(F71:H71,"&gt;0"),0)</f>
        <v>3</v>
      </c>
      <c r="AC71" s="75">
        <f t="shared" ref="AC71:AC102" si="31">IFERROR(AVERAGEIF(L71:N71,"&gt;0"),0)</f>
        <v>0.01</v>
      </c>
      <c r="AD71" s="119">
        <f t="shared" ref="AD71:AD102" si="32">IF(AC71&gt;0,AB71/AC71,0)</f>
        <v>300</v>
      </c>
      <c r="AE71" s="52">
        <f t="shared" ref="AE71:AE102" si="33">IFERROR(MAX(1,ROUND(AVERAGEIF(R71:T71,"&gt;0"),0)),1)</f>
        <v>1</v>
      </c>
      <c r="AF71" s="52">
        <f t="shared" ref="AF71:AF102" si="34">COUNTIF(F71:K71,"&gt;0")</f>
        <v>3</v>
      </c>
      <c r="AG71" s="76">
        <f t="shared" ref="AG71:AG102" si="35">IFERROR(AVERAGEIF(F71:K71,"&gt;0"),0)</f>
        <v>3.3333333333333335</v>
      </c>
      <c r="AH71" s="75">
        <f t="shared" ref="AH71:AH102" si="36">IFERROR(AVERAGEIF(L71:Q71,"&gt;0"),0)</f>
        <v>4.3333333333333335E-2</v>
      </c>
      <c r="AI71" s="76">
        <f t="shared" ref="AI71:AI102" si="37">IF(AH71&gt;0,AG71/AH71,0)</f>
        <v>76.92307692307692</v>
      </c>
      <c r="AJ71" s="52">
        <f t="shared" ref="AJ71:AJ102" si="38">IFERROR(MAX(1,ROUND(AVERAGEIF(R71:W71,"&gt;0"),0)),1)</f>
        <v>1</v>
      </c>
      <c r="AK71" s="110"/>
    </row>
    <row r="72" spans="1:37">
      <c r="A72" s="17" t="s">
        <v>410</v>
      </c>
      <c r="B72" s="17" t="s">
        <v>67</v>
      </c>
      <c r="C72" s="115" t="s">
        <v>411</v>
      </c>
      <c r="D72" s="17" t="s">
        <v>332</v>
      </c>
      <c r="E72" s="50" t="s">
        <v>109</v>
      </c>
      <c r="F72" s="116"/>
      <c r="G72" s="116">
        <v>800</v>
      </c>
      <c r="H72" s="116"/>
      <c r="I72" s="116">
        <v>3000</v>
      </c>
      <c r="J72" s="116">
        <v>800</v>
      </c>
      <c r="K72" s="116"/>
      <c r="L72" s="117"/>
      <c r="M72" s="117">
        <v>10</v>
      </c>
      <c r="N72" s="117"/>
      <c r="O72" s="117">
        <v>5</v>
      </c>
      <c r="P72" s="117">
        <v>10</v>
      </c>
      <c r="Q72" s="117"/>
      <c r="R72" s="118"/>
      <c r="S72" s="118">
        <v>1</v>
      </c>
      <c r="T72" s="118"/>
      <c r="U72" s="118">
        <v>1</v>
      </c>
      <c r="V72" s="118">
        <v>1</v>
      </c>
      <c r="W72" s="118"/>
      <c r="X72" s="52">
        <f t="shared" si="26"/>
        <v>0</v>
      </c>
      <c r="Y72" s="52">
        <f t="shared" si="27"/>
        <v>80</v>
      </c>
      <c r="Z72" s="52">
        <f t="shared" si="28"/>
        <v>0</v>
      </c>
      <c r="AA72" s="52">
        <f t="shared" si="29"/>
        <v>1</v>
      </c>
      <c r="AB72" s="76">
        <f t="shared" si="30"/>
        <v>800</v>
      </c>
      <c r="AC72" s="75">
        <f t="shared" si="31"/>
        <v>10</v>
      </c>
      <c r="AD72" s="119">
        <f t="shared" si="32"/>
        <v>80</v>
      </c>
      <c r="AE72" s="52">
        <f t="shared" si="33"/>
        <v>1</v>
      </c>
      <c r="AF72" s="52">
        <f t="shared" si="34"/>
        <v>3</v>
      </c>
      <c r="AG72" s="76">
        <f t="shared" si="35"/>
        <v>1533.3333333333333</v>
      </c>
      <c r="AH72" s="75">
        <f t="shared" si="36"/>
        <v>8.3333333333333339</v>
      </c>
      <c r="AI72" s="76">
        <f t="shared" si="37"/>
        <v>183.99999999999997</v>
      </c>
      <c r="AJ72" s="52">
        <f t="shared" si="38"/>
        <v>1</v>
      </c>
      <c r="AK72" s="110"/>
    </row>
    <row r="73" spans="1:37">
      <c r="A73" s="17" t="s">
        <v>412</v>
      </c>
      <c r="B73" s="17" t="s">
        <v>67</v>
      </c>
      <c r="C73" s="115" t="s">
        <v>411</v>
      </c>
      <c r="D73" s="17" t="s">
        <v>413</v>
      </c>
      <c r="E73" s="50" t="s">
        <v>109</v>
      </c>
      <c r="F73" s="116"/>
      <c r="G73" s="116">
        <v>1400</v>
      </c>
      <c r="H73" s="116"/>
      <c r="I73" s="116"/>
      <c r="J73" s="116"/>
      <c r="K73" s="116"/>
      <c r="L73" s="117"/>
      <c r="M73" s="117">
        <v>20</v>
      </c>
      <c r="N73" s="117"/>
      <c r="O73" s="117"/>
      <c r="P73" s="117"/>
      <c r="Q73" s="117"/>
      <c r="R73" s="118"/>
      <c r="S73" s="118">
        <v>1</v>
      </c>
      <c r="T73" s="118"/>
      <c r="U73" s="118"/>
      <c r="V73" s="118"/>
      <c r="W73" s="118"/>
      <c r="X73" s="52">
        <f t="shared" si="26"/>
        <v>0</v>
      </c>
      <c r="Y73" s="52">
        <f t="shared" si="27"/>
        <v>70</v>
      </c>
      <c r="Z73" s="52">
        <f t="shared" si="28"/>
        <v>0</v>
      </c>
      <c r="AA73" s="52">
        <f t="shared" si="29"/>
        <v>1</v>
      </c>
      <c r="AB73" s="76">
        <f t="shared" si="30"/>
        <v>1400</v>
      </c>
      <c r="AC73" s="75">
        <f t="shared" si="31"/>
        <v>20</v>
      </c>
      <c r="AD73" s="119">
        <f t="shared" si="32"/>
        <v>70</v>
      </c>
      <c r="AE73" s="52">
        <f t="shared" si="33"/>
        <v>1</v>
      </c>
      <c r="AF73" s="52">
        <f t="shared" si="34"/>
        <v>1</v>
      </c>
      <c r="AG73" s="76">
        <f t="shared" si="35"/>
        <v>1400</v>
      </c>
      <c r="AH73" s="75">
        <f t="shared" si="36"/>
        <v>20</v>
      </c>
      <c r="AI73" s="76">
        <f t="shared" si="37"/>
        <v>70</v>
      </c>
      <c r="AJ73" s="52">
        <f t="shared" si="38"/>
        <v>1</v>
      </c>
      <c r="AK73" s="110"/>
    </row>
    <row r="74" spans="1:37">
      <c r="A74" s="17" t="s">
        <v>415</v>
      </c>
      <c r="B74" s="17" t="s">
        <v>67</v>
      </c>
      <c r="C74" s="115" t="s">
        <v>411</v>
      </c>
      <c r="D74" s="17" t="s">
        <v>416</v>
      </c>
      <c r="E74" s="50" t="s">
        <v>112</v>
      </c>
      <c r="F74" s="116">
        <v>2000</v>
      </c>
      <c r="G74" s="116"/>
      <c r="H74" s="116">
        <v>800</v>
      </c>
      <c r="I74" s="116">
        <v>800</v>
      </c>
      <c r="J74" s="116"/>
      <c r="K74" s="116"/>
      <c r="L74" s="117">
        <v>2.5</v>
      </c>
      <c r="M74" s="117"/>
      <c r="N74" s="117">
        <v>1</v>
      </c>
      <c r="O74" s="117">
        <v>1</v>
      </c>
      <c r="P74" s="117"/>
      <c r="Q74" s="117"/>
      <c r="R74" s="118">
        <v>1</v>
      </c>
      <c r="S74" s="118"/>
      <c r="T74" s="118">
        <v>1</v>
      </c>
      <c r="U74" s="118">
        <v>1</v>
      </c>
      <c r="V74" s="118"/>
      <c r="W74" s="118"/>
      <c r="X74" s="52">
        <f t="shared" si="26"/>
        <v>800</v>
      </c>
      <c r="Y74" s="52">
        <f t="shared" si="27"/>
        <v>0</v>
      </c>
      <c r="Z74" s="52">
        <f t="shared" si="28"/>
        <v>800</v>
      </c>
      <c r="AA74" s="52">
        <f t="shared" si="29"/>
        <v>2</v>
      </c>
      <c r="AB74" s="76">
        <f t="shared" si="30"/>
        <v>1400</v>
      </c>
      <c r="AC74" s="75">
        <f t="shared" si="31"/>
        <v>1.75</v>
      </c>
      <c r="AD74" s="119">
        <f t="shared" si="32"/>
        <v>800</v>
      </c>
      <c r="AE74" s="52">
        <f t="shared" si="33"/>
        <v>1</v>
      </c>
      <c r="AF74" s="52">
        <f t="shared" si="34"/>
        <v>3</v>
      </c>
      <c r="AG74" s="76">
        <f t="shared" si="35"/>
        <v>1200</v>
      </c>
      <c r="AH74" s="75">
        <f t="shared" si="36"/>
        <v>1.5</v>
      </c>
      <c r="AI74" s="76">
        <f t="shared" si="37"/>
        <v>800</v>
      </c>
      <c r="AJ74" s="52">
        <f t="shared" si="38"/>
        <v>1</v>
      </c>
      <c r="AK74" s="110"/>
    </row>
    <row r="75" spans="1:37">
      <c r="A75" s="17" t="s">
        <v>418</v>
      </c>
      <c r="B75" s="17" t="s">
        <v>67</v>
      </c>
      <c r="C75" s="115" t="s">
        <v>421</v>
      </c>
      <c r="D75" s="17" t="s">
        <v>419</v>
      </c>
      <c r="E75" s="50" t="s">
        <v>109</v>
      </c>
      <c r="F75" s="116">
        <v>200</v>
      </c>
      <c r="G75" s="116">
        <v>200</v>
      </c>
      <c r="H75" s="116">
        <v>200</v>
      </c>
      <c r="I75" s="116"/>
      <c r="J75" s="116">
        <v>400</v>
      </c>
      <c r="K75" s="116"/>
      <c r="L75" s="117">
        <v>1</v>
      </c>
      <c r="M75" s="117">
        <v>2</v>
      </c>
      <c r="N75" s="117">
        <v>1</v>
      </c>
      <c r="O75" s="117"/>
      <c r="P75" s="117">
        <v>1</v>
      </c>
      <c r="Q75" s="117"/>
      <c r="R75" s="118">
        <v>1</v>
      </c>
      <c r="S75" s="118">
        <v>1</v>
      </c>
      <c r="T75" s="118">
        <v>1</v>
      </c>
      <c r="U75" s="118"/>
      <c r="V75" s="118">
        <v>1</v>
      </c>
      <c r="W75" s="118"/>
      <c r="X75" s="52">
        <f t="shared" si="26"/>
        <v>200</v>
      </c>
      <c r="Y75" s="52">
        <f t="shared" si="27"/>
        <v>100</v>
      </c>
      <c r="Z75" s="52">
        <f t="shared" si="28"/>
        <v>200</v>
      </c>
      <c r="AA75" s="52">
        <f t="shared" si="29"/>
        <v>3</v>
      </c>
      <c r="AB75" s="76">
        <f t="shared" si="30"/>
        <v>200</v>
      </c>
      <c r="AC75" s="75">
        <f t="shared" si="31"/>
        <v>1.3333333333333333</v>
      </c>
      <c r="AD75" s="119">
        <f t="shared" si="32"/>
        <v>150</v>
      </c>
      <c r="AE75" s="52">
        <f t="shared" si="33"/>
        <v>1</v>
      </c>
      <c r="AF75" s="52">
        <f t="shared" si="34"/>
        <v>4</v>
      </c>
      <c r="AG75" s="76">
        <f t="shared" si="35"/>
        <v>250</v>
      </c>
      <c r="AH75" s="75">
        <f t="shared" si="36"/>
        <v>1.25</v>
      </c>
      <c r="AI75" s="76">
        <f t="shared" si="37"/>
        <v>200</v>
      </c>
      <c r="AJ75" s="52">
        <f t="shared" si="38"/>
        <v>1</v>
      </c>
      <c r="AK75" s="110" t="s">
        <v>691</v>
      </c>
    </row>
    <row r="76" spans="1:37">
      <c r="A76" s="17" t="s">
        <v>422</v>
      </c>
      <c r="B76" s="17" t="s">
        <v>67</v>
      </c>
      <c r="C76" s="115" t="s">
        <v>421</v>
      </c>
      <c r="D76" s="17" t="s">
        <v>423</v>
      </c>
      <c r="E76" s="50" t="s">
        <v>109</v>
      </c>
      <c r="F76" s="116"/>
      <c r="G76" s="116"/>
      <c r="H76" s="116"/>
      <c r="I76" s="116"/>
      <c r="J76" s="116">
        <v>200</v>
      </c>
      <c r="K76" s="116"/>
      <c r="L76" s="117"/>
      <c r="M76" s="117"/>
      <c r="N76" s="117"/>
      <c r="O76" s="117"/>
      <c r="P76" s="117">
        <v>1</v>
      </c>
      <c r="Q76" s="117"/>
      <c r="R76" s="118"/>
      <c r="S76" s="118"/>
      <c r="T76" s="118"/>
      <c r="U76" s="118"/>
      <c r="V76" s="118">
        <v>1</v>
      </c>
      <c r="W76" s="118"/>
      <c r="X76" s="52">
        <f t="shared" si="26"/>
        <v>0</v>
      </c>
      <c r="Y76" s="52">
        <f t="shared" si="27"/>
        <v>0</v>
      </c>
      <c r="Z76" s="52">
        <f t="shared" si="28"/>
        <v>0</v>
      </c>
      <c r="AA76" s="52">
        <f t="shared" si="29"/>
        <v>0</v>
      </c>
      <c r="AB76" s="76">
        <f t="shared" si="30"/>
        <v>0</v>
      </c>
      <c r="AC76" s="75">
        <f t="shared" si="31"/>
        <v>0</v>
      </c>
      <c r="AD76" s="119">
        <f t="shared" si="32"/>
        <v>0</v>
      </c>
      <c r="AE76" s="52">
        <f t="shared" si="33"/>
        <v>1</v>
      </c>
      <c r="AF76" s="52">
        <f t="shared" si="34"/>
        <v>1</v>
      </c>
      <c r="AG76" s="76">
        <f t="shared" si="35"/>
        <v>200</v>
      </c>
      <c r="AH76" s="75">
        <f t="shared" si="36"/>
        <v>1</v>
      </c>
      <c r="AI76" s="76">
        <f t="shared" si="37"/>
        <v>200</v>
      </c>
      <c r="AJ76" s="52">
        <f t="shared" si="38"/>
        <v>1</v>
      </c>
      <c r="AK76" s="110"/>
    </row>
    <row r="77" spans="1:37">
      <c r="A77" s="17" t="s">
        <v>425</v>
      </c>
      <c r="B77" s="17" t="s">
        <v>67</v>
      </c>
      <c r="C77" s="115" t="s">
        <v>428</v>
      </c>
      <c r="D77" s="17" t="s">
        <v>426</v>
      </c>
      <c r="E77" s="50" t="s">
        <v>338</v>
      </c>
      <c r="F77" s="116">
        <v>10</v>
      </c>
      <c r="G77" s="116"/>
      <c r="H77" s="116"/>
      <c r="I77" s="116"/>
      <c r="J77" s="116"/>
      <c r="K77" s="116"/>
      <c r="L77" s="117">
        <v>0.05</v>
      </c>
      <c r="M77" s="117"/>
      <c r="N77" s="117"/>
      <c r="O77" s="117"/>
      <c r="P77" s="117"/>
      <c r="Q77" s="117"/>
      <c r="R77" s="118">
        <v>2</v>
      </c>
      <c r="S77" s="118"/>
      <c r="T77" s="118"/>
      <c r="U77" s="118"/>
      <c r="V77" s="118"/>
      <c r="W77" s="118"/>
      <c r="X77" s="52">
        <f t="shared" si="26"/>
        <v>200</v>
      </c>
      <c r="Y77" s="52">
        <f t="shared" si="27"/>
        <v>0</v>
      </c>
      <c r="Z77" s="52">
        <f t="shared" si="28"/>
        <v>0</v>
      </c>
      <c r="AA77" s="52">
        <f t="shared" si="29"/>
        <v>1</v>
      </c>
      <c r="AB77" s="76">
        <f t="shared" si="30"/>
        <v>10</v>
      </c>
      <c r="AC77" s="75">
        <f t="shared" si="31"/>
        <v>0.05</v>
      </c>
      <c r="AD77" s="119">
        <f t="shared" si="32"/>
        <v>200</v>
      </c>
      <c r="AE77" s="52">
        <f t="shared" si="33"/>
        <v>2</v>
      </c>
      <c r="AF77" s="52">
        <f t="shared" si="34"/>
        <v>1</v>
      </c>
      <c r="AG77" s="76">
        <f t="shared" si="35"/>
        <v>10</v>
      </c>
      <c r="AH77" s="75">
        <f t="shared" si="36"/>
        <v>0.05</v>
      </c>
      <c r="AI77" s="76">
        <f t="shared" si="37"/>
        <v>200</v>
      </c>
      <c r="AJ77" s="52">
        <f t="shared" si="38"/>
        <v>2</v>
      </c>
      <c r="AK77" s="110" t="s">
        <v>692</v>
      </c>
    </row>
    <row r="78" spans="1:37">
      <c r="A78" s="17" t="s">
        <v>429</v>
      </c>
      <c r="B78" s="17" t="s">
        <v>67</v>
      </c>
      <c r="C78" s="115" t="s">
        <v>428</v>
      </c>
      <c r="D78" s="17" t="s">
        <v>430</v>
      </c>
      <c r="E78" s="50" t="s">
        <v>109</v>
      </c>
      <c r="F78" s="116">
        <v>4000</v>
      </c>
      <c r="G78" s="116"/>
      <c r="H78" s="116"/>
      <c r="I78" s="116"/>
      <c r="J78" s="116"/>
      <c r="K78" s="116"/>
      <c r="L78" s="117">
        <v>20</v>
      </c>
      <c r="M78" s="117"/>
      <c r="N78" s="117"/>
      <c r="O78" s="117"/>
      <c r="P78" s="117"/>
      <c r="Q78" s="117"/>
      <c r="R78" s="118">
        <v>2</v>
      </c>
      <c r="S78" s="118"/>
      <c r="T78" s="118"/>
      <c r="U78" s="118"/>
      <c r="V78" s="118"/>
      <c r="W78" s="118"/>
      <c r="X78" s="52">
        <f t="shared" si="26"/>
        <v>200</v>
      </c>
      <c r="Y78" s="52">
        <f t="shared" si="27"/>
        <v>0</v>
      </c>
      <c r="Z78" s="52">
        <f t="shared" si="28"/>
        <v>0</v>
      </c>
      <c r="AA78" s="52">
        <f t="shared" si="29"/>
        <v>1</v>
      </c>
      <c r="AB78" s="76">
        <f t="shared" si="30"/>
        <v>4000</v>
      </c>
      <c r="AC78" s="75">
        <f t="shared" si="31"/>
        <v>20</v>
      </c>
      <c r="AD78" s="119">
        <f t="shared" si="32"/>
        <v>200</v>
      </c>
      <c r="AE78" s="52">
        <f t="shared" si="33"/>
        <v>2</v>
      </c>
      <c r="AF78" s="52">
        <f t="shared" si="34"/>
        <v>1</v>
      </c>
      <c r="AG78" s="76">
        <f t="shared" si="35"/>
        <v>4000</v>
      </c>
      <c r="AH78" s="75">
        <f t="shared" si="36"/>
        <v>20</v>
      </c>
      <c r="AI78" s="76">
        <f t="shared" si="37"/>
        <v>200</v>
      </c>
      <c r="AJ78" s="52">
        <f t="shared" si="38"/>
        <v>2</v>
      </c>
      <c r="AK78" s="110"/>
    </row>
    <row r="79" spans="1:37">
      <c r="A79" s="17" t="s">
        <v>432</v>
      </c>
      <c r="B79" s="17" t="s">
        <v>67</v>
      </c>
      <c r="C79" s="115" t="s">
        <v>428</v>
      </c>
      <c r="D79" s="17" t="s">
        <v>433</v>
      </c>
      <c r="E79" s="50" t="s">
        <v>338</v>
      </c>
      <c r="F79" s="116"/>
      <c r="G79" s="116">
        <v>10</v>
      </c>
      <c r="H79" s="116"/>
      <c r="I79" s="116">
        <v>10</v>
      </c>
      <c r="J79" s="116">
        <v>10</v>
      </c>
      <c r="K79" s="116">
        <v>40</v>
      </c>
      <c r="L79" s="117"/>
      <c r="M79" s="117">
        <v>0.1</v>
      </c>
      <c r="N79" s="117"/>
      <c r="O79" s="117">
        <v>0.1</v>
      </c>
      <c r="P79" s="117">
        <v>0.1</v>
      </c>
      <c r="Q79" s="117">
        <v>0.4</v>
      </c>
      <c r="R79" s="118"/>
      <c r="S79" s="118">
        <v>1</v>
      </c>
      <c r="T79" s="118"/>
      <c r="U79" s="118">
        <v>1</v>
      </c>
      <c r="V79" s="118">
        <v>1</v>
      </c>
      <c r="W79" s="118">
        <v>1</v>
      </c>
      <c r="X79" s="52">
        <f t="shared" si="26"/>
        <v>0</v>
      </c>
      <c r="Y79" s="52">
        <f t="shared" si="27"/>
        <v>100</v>
      </c>
      <c r="Z79" s="52">
        <f t="shared" si="28"/>
        <v>0</v>
      </c>
      <c r="AA79" s="52">
        <f t="shared" si="29"/>
        <v>1</v>
      </c>
      <c r="AB79" s="76">
        <f t="shared" si="30"/>
        <v>10</v>
      </c>
      <c r="AC79" s="75">
        <f t="shared" si="31"/>
        <v>0.1</v>
      </c>
      <c r="AD79" s="119">
        <f t="shared" si="32"/>
        <v>100</v>
      </c>
      <c r="AE79" s="52">
        <f t="shared" si="33"/>
        <v>1</v>
      </c>
      <c r="AF79" s="52">
        <f t="shared" si="34"/>
        <v>4</v>
      </c>
      <c r="AG79" s="76">
        <f t="shared" si="35"/>
        <v>17.5</v>
      </c>
      <c r="AH79" s="75">
        <f t="shared" si="36"/>
        <v>0.17500000000000002</v>
      </c>
      <c r="AI79" s="76">
        <f t="shared" si="37"/>
        <v>99.999999999999986</v>
      </c>
      <c r="AJ79" s="52">
        <f t="shared" si="38"/>
        <v>1</v>
      </c>
      <c r="AK79" s="110"/>
    </row>
    <row r="80" spans="1:37">
      <c r="A80" s="17" t="s">
        <v>435</v>
      </c>
      <c r="B80" s="17" t="s">
        <v>67</v>
      </c>
      <c r="C80" s="115" t="s">
        <v>428</v>
      </c>
      <c r="D80" s="17" t="s">
        <v>436</v>
      </c>
      <c r="E80" s="50" t="s">
        <v>338</v>
      </c>
      <c r="F80" s="116"/>
      <c r="G80" s="116">
        <v>25</v>
      </c>
      <c r="H80" s="116"/>
      <c r="I80" s="116">
        <v>25</v>
      </c>
      <c r="J80" s="116"/>
      <c r="K80" s="116"/>
      <c r="L80" s="117"/>
      <c r="M80" s="117">
        <v>0.25</v>
      </c>
      <c r="N80" s="117"/>
      <c r="O80" s="117">
        <v>0.25</v>
      </c>
      <c r="P80" s="117"/>
      <c r="Q80" s="117"/>
      <c r="R80" s="118"/>
      <c r="S80" s="118">
        <v>1</v>
      </c>
      <c r="T80" s="118"/>
      <c r="U80" s="118">
        <v>1</v>
      </c>
      <c r="V80" s="118"/>
      <c r="W80" s="118"/>
      <c r="X80" s="52">
        <f t="shared" si="26"/>
        <v>0</v>
      </c>
      <c r="Y80" s="52">
        <f t="shared" si="27"/>
        <v>100</v>
      </c>
      <c r="Z80" s="52">
        <f t="shared" si="28"/>
        <v>0</v>
      </c>
      <c r="AA80" s="52">
        <f t="shared" si="29"/>
        <v>1</v>
      </c>
      <c r="AB80" s="76">
        <f t="shared" si="30"/>
        <v>25</v>
      </c>
      <c r="AC80" s="75">
        <f t="shared" si="31"/>
        <v>0.25</v>
      </c>
      <c r="AD80" s="119">
        <f t="shared" si="32"/>
        <v>100</v>
      </c>
      <c r="AE80" s="52">
        <f t="shared" si="33"/>
        <v>1</v>
      </c>
      <c r="AF80" s="52">
        <f t="shared" si="34"/>
        <v>2</v>
      </c>
      <c r="AG80" s="76">
        <f t="shared" si="35"/>
        <v>25</v>
      </c>
      <c r="AH80" s="75">
        <f t="shared" si="36"/>
        <v>0.25</v>
      </c>
      <c r="AI80" s="76">
        <f t="shared" si="37"/>
        <v>100</v>
      </c>
      <c r="AJ80" s="52">
        <f t="shared" si="38"/>
        <v>1</v>
      </c>
      <c r="AK80" s="110"/>
    </row>
    <row r="81" spans="1:37">
      <c r="A81" s="17" t="s">
        <v>438</v>
      </c>
      <c r="B81" s="17" t="s">
        <v>67</v>
      </c>
      <c r="C81" s="115" t="s">
        <v>428</v>
      </c>
      <c r="D81" s="17" t="s">
        <v>439</v>
      </c>
      <c r="E81" s="50" t="s">
        <v>112</v>
      </c>
      <c r="F81" s="116"/>
      <c r="G81" s="116">
        <v>2500</v>
      </c>
      <c r="H81" s="116"/>
      <c r="I81" s="116">
        <v>2500</v>
      </c>
      <c r="J81" s="116">
        <v>2500</v>
      </c>
      <c r="K81" s="116"/>
      <c r="L81" s="117"/>
      <c r="M81" s="117">
        <v>1</v>
      </c>
      <c r="N81" s="117"/>
      <c r="O81" s="117">
        <v>1</v>
      </c>
      <c r="P81" s="117">
        <v>1</v>
      </c>
      <c r="Q81" s="117"/>
      <c r="R81" s="118"/>
      <c r="S81" s="118">
        <v>1</v>
      </c>
      <c r="T81" s="118"/>
      <c r="U81" s="118">
        <v>1</v>
      </c>
      <c r="V81" s="118">
        <v>1</v>
      </c>
      <c r="W81" s="118"/>
      <c r="X81" s="52">
        <f t="shared" si="26"/>
        <v>0</v>
      </c>
      <c r="Y81" s="52">
        <f t="shared" si="27"/>
        <v>2500</v>
      </c>
      <c r="Z81" s="52">
        <f t="shared" si="28"/>
        <v>0</v>
      </c>
      <c r="AA81" s="52">
        <f t="shared" si="29"/>
        <v>1</v>
      </c>
      <c r="AB81" s="76">
        <f t="shared" si="30"/>
        <v>2500</v>
      </c>
      <c r="AC81" s="75">
        <f t="shared" si="31"/>
        <v>1</v>
      </c>
      <c r="AD81" s="119">
        <f t="shared" si="32"/>
        <v>2500</v>
      </c>
      <c r="AE81" s="52">
        <f t="shared" si="33"/>
        <v>1</v>
      </c>
      <c r="AF81" s="52">
        <f t="shared" si="34"/>
        <v>3</v>
      </c>
      <c r="AG81" s="76">
        <f t="shared" si="35"/>
        <v>2500</v>
      </c>
      <c r="AH81" s="75">
        <f t="shared" si="36"/>
        <v>1</v>
      </c>
      <c r="AI81" s="76">
        <f t="shared" si="37"/>
        <v>2500</v>
      </c>
      <c r="AJ81" s="52">
        <f t="shared" si="38"/>
        <v>1</v>
      </c>
      <c r="AK81" s="110"/>
    </row>
    <row r="82" spans="1:37">
      <c r="A82" s="17" t="s">
        <v>441</v>
      </c>
      <c r="B82" s="17" t="s">
        <v>67</v>
      </c>
      <c r="C82" s="115" t="s">
        <v>428</v>
      </c>
      <c r="D82" s="17" t="s">
        <v>442</v>
      </c>
      <c r="E82" s="50" t="s">
        <v>112</v>
      </c>
      <c r="F82" s="116"/>
      <c r="G82" s="116">
        <v>1500</v>
      </c>
      <c r="H82" s="116"/>
      <c r="I82" s="116">
        <v>1500</v>
      </c>
      <c r="J82" s="116">
        <v>1500</v>
      </c>
      <c r="K82" s="116"/>
      <c r="L82" s="117"/>
      <c r="M82" s="117">
        <v>1</v>
      </c>
      <c r="N82" s="117"/>
      <c r="O82" s="117">
        <v>1</v>
      </c>
      <c r="P82" s="117">
        <v>1</v>
      </c>
      <c r="Q82" s="117"/>
      <c r="R82" s="118"/>
      <c r="S82" s="118">
        <v>1</v>
      </c>
      <c r="T82" s="118"/>
      <c r="U82" s="118">
        <v>1</v>
      </c>
      <c r="V82" s="118">
        <v>1</v>
      </c>
      <c r="W82" s="118"/>
      <c r="X82" s="52">
        <f t="shared" si="26"/>
        <v>0</v>
      </c>
      <c r="Y82" s="52">
        <f t="shared" si="27"/>
        <v>1500</v>
      </c>
      <c r="Z82" s="52">
        <f t="shared" si="28"/>
        <v>0</v>
      </c>
      <c r="AA82" s="52">
        <f t="shared" si="29"/>
        <v>1</v>
      </c>
      <c r="AB82" s="76">
        <f t="shared" si="30"/>
        <v>1500</v>
      </c>
      <c r="AC82" s="75">
        <f t="shared" si="31"/>
        <v>1</v>
      </c>
      <c r="AD82" s="119">
        <f t="shared" si="32"/>
        <v>1500</v>
      </c>
      <c r="AE82" s="52">
        <f t="shared" si="33"/>
        <v>1</v>
      </c>
      <c r="AF82" s="52">
        <f t="shared" si="34"/>
        <v>3</v>
      </c>
      <c r="AG82" s="76">
        <f t="shared" si="35"/>
        <v>1500</v>
      </c>
      <c r="AH82" s="75">
        <f t="shared" si="36"/>
        <v>1</v>
      </c>
      <c r="AI82" s="76">
        <f t="shared" si="37"/>
        <v>1500</v>
      </c>
      <c r="AJ82" s="52">
        <f t="shared" si="38"/>
        <v>1</v>
      </c>
      <c r="AK82" s="110"/>
    </row>
    <row r="83" spans="1:37">
      <c r="A83" s="17" t="s">
        <v>444</v>
      </c>
      <c r="B83" s="17" t="s">
        <v>67</v>
      </c>
      <c r="C83" s="115" t="s">
        <v>428</v>
      </c>
      <c r="D83" s="17" t="s">
        <v>445</v>
      </c>
      <c r="E83" s="50" t="s">
        <v>112</v>
      </c>
      <c r="F83" s="116"/>
      <c r="G83" s="116">
        <v>3000</v>
      </c>
      <c r="H83" s="116"/>
      <c r="I83" s="116"/>
      <c r="J83" s="116">
        <v>3000</v>
      </c>
      <c r="K83" s="116">
        <v>3000</v>
      </c>
      <c r="L83" s="117"/>
      <c r="M83" s="117">
        <v>1</v>
      </c>
      <c r="N83" s="117"/>
      <c r="O83" s="117"/>
      <c r="P83" s="117">
        <v>1</v>
      </c>
      <c r="Q83" s="117">
        <v>1</v>
      </c>
      <c r="R83" s="118"/>
      <c r="S83" s="118">
        <v>1</v>
      </c>
      <c r="T83" s="118"/>
      <c r="U83" s="118"/>
      <c r="V83" s="118">
        <v>1</v>
      </c>
      <c r="W83" s="118">
        <v>1</v>
      </c>
      <c r="X83" s="52">
        <f t="shared" si="26"/>
        <v>0</v>
      </c>
      <c r="Y83" s="52">
        <f t="shared" si="27"/>
        <v>3000</v>
      </c>
      <c r="Z83" s="52">
        <f t="shared" si="28"/>
        <v>0</v>
      </c>
      <c r="AA83" s="52">
        <f t="shared" si="29"/>
        <v>1</v>
      </c>
      <c r="AB83" s="76">
        <f t="shared" si="30"/>
        <v>3000</v>
      </c>
      <c r="AC83" s="75">
        <f t="shared" si="31"/>
        <v>1</v>
      </c>
      <c r="AD83" s="119">
        <f t="shared" si="32"/>
        <v>3000</v>
      </c>
      <c r="AE83" s="52">
        <f t="shared" si="33"/>
        <v>1</v>
      </c>
      <c r="AF83" s="52">
        <f t="shared" si="34"/>
        <v>3</v>
      </c>
      <c r="AG83" s="76">
        <f t="shared" si="35"/>
        <v>3000</v>
      </c>
      <c r="AH83" s="75">
        <f t="shared" si="36"/>
        <v>1</v>
      </c>
      <c r="AI83" s="76">
        <f t="shared" si="37"/>
        <v>3000</v>
      </c>
      <c r="AJ83" s="52">
        <f t="shared" si="38"/>
        <v>1</v>
      </c>
      <c r="AK83" s="110"/>
    </row>
    <row r="84" spans="1:37">
      <c r="A84" s="17" t="s">
        <v>447</v>
      </c>
      <c r="B84" s="17" t="s">
        <v>67</v>
      </c>
      <c r="C84" s="115" t="s">
        <v>428</v>
      </c>
      <c r="D84" s="17" t="s">
        <v>448</v>
      </c>
      <c r="E84" s="50" t="s">
        <v>112</v>
      </c>
      <c r="F84" s="116">
        <v>2000</v>
      </c>
      <c r="G84" s="116">
        <v>2500</v>
      </c>
      <c r="H84" s="116">
        <v>2000</v>
      </c>
      <c r="I84" s="116">
        <v>2500</v>
      </c>
      <c r="J84" s="116">
        <v>2500</v>
      </c>
      <c r="K84" s="116">
        <v>2500</v>
      </c>
      <c r="L84" s="117">
        <v>2</v>
      </c>
      <c r="M84" s="117">
        <v>1</v>
      </c>
      <c r="N84" s="117">
        <v>2</v>
      </c>
      <c r="O84" s="117">
        <v>1</v>
      </c>
      <c r="P84" s="117">
        <v>1</v>
      </c>
      <c r="Q84" s="117">
        <v>1</v>
      </c>
      <c r="R84" s="118">
        <v>1</v>
      </c>
      <c r="S84" s="118">
        <v>1</v>
      </c>
      <c r="T84" s="118">
        <v>1</v>
      </c>
      <c r="U84" s="118">
        <v>1</v>
      </c>
      <c r="V84" s="118">
        <v>1</v>
      </c>
      <c r="W84" s="118">
        <v>1</v>
      </c>
      <c r="X84" s="52">
        <f t="shared" si="26"/>
        <v>1000</v>
      </c>
      <c r="Y84" s="52">
        <f t="shared" si="27"/>
        <v>2500</v>
      </c>
      <c r="Z84" s="52">
        <f t="shared" si="28"/>
        <v>1000</v>
      </c>
      <c r="AA84" s="52">
        <f t="shared" si="29"/>
        <v>3</v>
      </c>
      <c r="AB84" s="76">
        <f t="shared" si="30"/>
        <v>2166.6666666666665</v>
      </c>
      <c r="AC84" s="75">
        <f t="shared" si="31"/>
        <v>1.6666666666666667</v>
      </c>
      <c r="AD84" s="119">
        <f t="shared" si="32"/>
        <v>1299.9999999999998</v>
      </c>
      <c r="AE84" s="52">
        <f t="shared" si="33"/>
        <v>1</v>
      </c>
      <c r="AF84" s="52">
        <f t="shared" si="34"/>
        <v>6</v>
      </c>
      <c r="AG84" s="76">
        <f t="shared" si="35"/>
        <v>2333.3333333333335</v>
      </c>
      <c r="AH84" s="75">
        <f t="shared" si="36"/>
        <v>1.3333333333333333</v>
      </c>
      <c r="AI84" s="76">
        <f t="shared" si="37"/>
        <v>1750.0000000000002</v>
      </c>
      <c r="AJ84" s="52">
        <f t="shared" si="38"/>
        <v>1</v>
      </c>
      <c r="AK84" s="110"/>
    </row>
    <row r="85" spans="1:37">
      <c r="A85" s="17" t="s">
        <v>450</v>
      </c>
      <c r="B85" s="17" t="s">
        <v>67</v>
      </c>
      <c r="C85" s="115" t="s">
        <v>428</v>
      </c>
      <c r="D85" s="17" t="s">
        <v>451</v>
      </c>
      <c r="E85" s="50" t="s">
        <v>112</v>
      </c>
      <c r="F85" s="116"/>
      <c r="G85" s="116"/>
      <c r="H85" s="116"/>
      <c r="I85" s="116"/>
      <c r="J85" s="116"/>
      <c r="K85" s="116"/>
      <c r="L85" s="117"/>
      <c r="M85" s="117"/>
      <c r="N85" s="117"/>
      <c r="O85" s="117"/>
      <c r="P85" s="117"/>
      <c r="Q85" s="117"/>
      <c r="R85" s="118"/>
      <c r="S85" s="118"/>
      <c r="T85" s="118"/>
      <c r="U85" s="118"/>
      <c r="V85" s="118"/>
      <c r="W85" s="118"/>
      <c r="X85" s="52">
        <f t="shared" si="26"/>
        <v>0</v>
      </c>
      <c r="Y85" s="52">
        <f t="shared" si="27"/>
        <v>0</v>
      </c>
      <c r="Z85" s="52">
        <f t="shared" si="28"/>
        <v>0</v>
      </c>
      <c r="AA85" s="52">
        <f t="shared" si="29"/>
        <v>0</v>
      </c>
      <c r="AB85" s="76">
        <f t="shared" si="30"/>
        <v>0</v>
      </c>
      <c r="AC85" s="75">
        <f t="shared" si="31"/>
        <v>0</v>
      </c>
      <c r="AD85" s="119">
        <f t="shared" si="32"/>
        <v>0</v>
      </c>
      <c r="AE85" s="52">
        <f t="shared" si="33"/>
        <v>1</v>
      </c>
      <c r="AF85" s="52">
        <f t="shared" si="34"/>
        <v>0</v>
      </c>
      <c r="AG85" s="76">
        <f t="shared" si="35"/>
        <v>0</v>
      </c>
      <c r="AH85" s="75">
        <f t="shared" si="36"/>
        <v>0</v>
      </c>
      <c r="AI85" s="76">
        <f t="shared" si="37"/>
        <v>0</v>
      </c>
      <c r="AJ85" s="52">
        <f t="shared" si="38"/>
        <v>1</v>
      </c>
      <c r="AK85" s="110"/>
    </row>
    <row r="86" spans="1:37">
      <c r="A86" s="17" t="s">
        <v>453</v>
      </c>
      <c r="B86" s="17" t="s">
        <v>67</v>
      </c>
      <c r="C86" s="115" t="s">
        <v>292</v>
      </c>
      <c r="D86" s="17" t="s">
        <v>454</v>
      </c>
      <c r="E86" s="50" t="s">
        <v>109</v>
      </c>
      <c r="F86" s="116"/>
      <c r="G86" s="116"/>
      <c r="H86" s="116"/>
      <c r="I86" s="116"/>
      <c r="J86" s="116"/>
      <c r="K86" s="116"/>
      <c r="L86" s="117"/>
      <c r="M86" s="117"/>
      <c r="N86" s="117"/>
      <c r="O86" s="117"/>
      <c r="P86" s="117"/>
      <c r="Q86" s="117"/>
      <c r="R86" s="118"/>
      <c r="S86" s="118"/>
      <c r="T86" s="118"/>
      <c r="U86" s="118"/>
      <c r="V86" s="118"/>
      <c r="W86" s="118"/>
      <c r="X86" s="52">
        <f t="shared" si="26"/>
        <v>0</v>
      </c>
      <c r="Y86" s="52">
        <f t="shared" si="27"/>
        <v>0</v>
      </c>
      <c r="Z86" s="52">
        <f t="shared" si="28"/>
        <v>0</v>
      </c>
      <c r="AA86" s="52">
        <f t="shared" si="29"/>
        <v>0</v>
      </c>
      <c r="AB86" s="76">
        <f t="shared" si="30"/>
        <v>0</v>
      </c>
      <c r="AC86" s="75">
        <f t="shared" si="31"/>
        <v>0</v>
      </c>
      <c r="AD86" s="119">
        <f t="shared" si="32"/>
        <v>0</v>
      </c>
      <c r="AE86" s="52">
        <f t="shared" si="33"/>
        <v>1</v>
      </c>
      <c r="AF86" s="52">
        <f t="shared" si="34"/>
        <v>0</v>
      </c>
      <c r="AG86" s="76">
        <f t="shared" si="35"/>
        <v>0</v>
      </c>
      <c r="AH86" s="75">
        <f t="shared" si="36"/>
        <v>0</v>
      </c>
      <c r="AI86" s="76">
        <f t="shared" si="37"/>
        <v>0</v>
      </c>
      <c r="AJ86" s="52">
        <f t="shared" si="38"/>
        <v>1</v>
      </c>
      <c r="AK86" s="110" t="s">
        <v>690</v>
      </c>
    </row>
    <row r="87" spans="1:37">
      <c r="A87" s="17" t="s">
        <v>455</v>
      </c>
      <c r="B87" s="17" t="s">
        <v>67</v>
      </c>
      <c r="C87" s="115" t="s">
        <v>292</v>
      </c>
      <c r="D87" s="17" t="s">
        <v>456</v>
      </c>
      <c r="E87" s="50" t="s">
        <v>308</v>
      </c>
      <c r="F87" s="116"/>
      <c r="G87" s="116"/>
      <c r="H87" s="116"/>
      <c r="I87" s="116"/>
      <c r="J87" s="116"/>
      <c r="K87" s="116"/>
      <c r="L87" s="117"/>
      <c r="M87" s="117"/>
      <c r="N87" s="117"/>
      <c r="O87" s="117"/>
      <c r="P87" s="117"/>
      <c r="Q87" s="117"/>
      <c r="R87" s="118"/>
      <c r="S87" s="118"/>
      <c r="T87" s="118"/>
      <c r="U87" s="118"/>
      <c r="V87" s="118"/>
      <c r="W87" s="118"/>
      <c r="X87" s="52">
        <f t="shared" si="26"/>
        <v>0</v>
      </c>
      <c r="Y87" s="52">
        <f t="shared" si="27"/>
        <v>0</v>
      </c>
      <c r="Z87" s="52">
        <f t="shared" si="28"/>
        <v>0</v>
      </c>
      <c r="AA87" s="52">
        <f t="shared" si="29"/>
        <v>0</v>
      </c>
      <c r="AB87" s="76">
        <f t="shared" si="30"/>
        <v>0</v>
      </c>
      <c r="AC87" s="75">
        <f t="shared" si="31"/>
        <v>0</v>
      </c>
      <c r="AD87" s="119">
        <f t="shared" si="32"/>
        <v>0</v>
      </c>
      <c r="AE87" s="52">
        <f t="shared" si="33"/>
        <v>1</v>
      </c>
      <c r="AF87" s="52">
        <f t="shared" si="34"/>
        <v>0</v>
      </c>
      <c r="AG87" s="76">
        <f t="shared" si="35"/>
        <v>0</v>
      </c>
      <c r="AH87" s="75">
        <f t="shared" si="36"/>
        <v>0</v>
      </c>
      <c r="AI87" s="76">
        <f t="shared" si="37"/>
        <v>0</v>
      </c>
      <c r="AJ87" s="52">
        <f t="shared" si="38"/>
        <v>1</v>
      </c>
      <c r="AK87" s="110" t="s">
        <v>690</v>
      </c>
    </row>
    <row r="88" spans="1:37">
      <c r="A88" s="17" t="s">
        <v>457</v>
      </c>
      <c r="B88" s="17" t="s">
        <v>67</v>
      </c>
      <c r="C88" s="115" t="s">
        <v>292</v>
      </c>
      <c r="D88" s="17" t="s">
        <v>458</v>
      </c>
      <c r="E88" s="50" t="s">
        <v>109</v>
      </c>
      <c r="F88" s="116"/>
      <c r="G88" s="116"/>
      <c r="H88" s="116"/>
      <c r="I88" s="116"/>
      <c r="J88" s="116"/>
      <c r="K88" s="116"/>
      <c r="L88" s="117"/>
      <c r="M88" s="117"/>
      <c r="N88" s="117"/>
      <c r="O88" s="117"/>
      <c r="P88" s="117"/>
      <c r="Q88" s="117"/>
      <c r="R88" s="118"/>
      <c r="S88" s="118"/>
      <c r="T88" s="118"/>
      <c r="U88" s="118"/>
      <c r="V88" s="118"/>
      <c r="W88" s="118"/>
      <c r="X88" s="52">
        <f t="shared" si="26"/>
        <v>0</v>
      </c>
      <c r="Y88" s="52">
        <f t="shared" si="27"/>
        <v>0</v>
      </c>
      <c r="Z88" s="52">
        <f t="shared" si="28"/>
        <v>0</v>
      </c>
      <c r="AA88" s="52">
        <f t="shared" si="29"/>
        <v>0</v>
      </c>
      <c r="AB88" s="76">
        <f t="shared" si="30"/>
        <v>0</v>
      </c>
      <c r="AC88" s="75">
        <f t="shared" si="31"/>
        <v>0</v>
      </c>
      <c r="AD88" s="119">
        <f t="shared" si="32"/>
        <v>0</v>
      </c>
      <c r="AE88" s="52">
        <f t="shared" si="33"/>
        <v>1</v>
      </c>
      <c r="AF88" s="52">
        <f t="shared" si="34"/>
        <v>0</v>
      </c>
      <c r="AG88" s="76">
        <f t="shared" si="35"/>
        <v>0</v>
      </c>
      <c r="AH88" s="75">
        <f t="shared" si="36"/>
        <v>0</v>
      </c>
      <c r="AI88" s="76">
        <f t="shared" si="37"/>
        <v>0</v>
      </c>
      <c r="AJ88" s="52">
        <f t="shared" si="38"/>
        <v>1</v>
      </c>
      <c r="AK88" s="110" t="s">
        <v>690</v>
      </c>
    </row>
    <row r="89" spans="1:37">
      <c r="A89" s="17" t="s">
        <v>459</v>
      </c>
      <c r="B89" s="17" t="s">
        <v>67</v>
      </c>
      <c r="C89" s="115" t="s">
        <v>292</v>
      </c>
      <c r="D89" s="17" t="s">
        <v>460</v>
      </c>
      <c r="E89" s="50" t="s">
        <v>461</v>
      </c>
      <c r="F89" s="116"/>
      <c r="G89" s="116"/>
      <c r="H89" s="116"/>
      <c r="I89" s="116"/>
      <c r="J89" s="116"/>
      <c r="K89" s="116"/>
      <c r="L89" s="117"/>
      <c r="M89" s="117"/>
      <c r="N89" s="117"/>
      <c r="O89" s="117"/>
      <c r="P89" s="117"/>
      <c r="Q89" s="117"/>
      <c r="R89" s="118"/>
      <c r="S89" s="118"/>
      <c r="T89" s="118"/>
      <c r="U89" s="118"/>
      <c r="V89" s="118"/>
      <c r="W89" s="118"/>
      <c r="X89" s="52">
        <f t="shared" si="26"/>
        <v>0</v>
      </c>
      <c r="Y89" s="52">
        <f t="shared" si="27"/>
        <v>0</v>
      </c>
      <c r="Z89" s="52">
        <f t="shared" si="28"/>
        <v>0</v>
      </c>
      <c r="AA89" s="52">
        <f t="shared" si="29"/>
        <v>0</v>
      </c>
      <c r="AB89" s="76">
        <f t="shared" si="30"/>
        <v>0</v>
      </c>
      <c r="AC89" s="75">
        <f t="shared" si="31"/>
        <v>0</v>
      </c>
      <c r="AD89" s="119">
        <f t="shared" si="32"/>
        <v>0</v>
      </c>
      <c r="AE89" s="52">
        <f t="shared" si="33"/>
        <v>1</v>
      </c>
      <c r="AF89" s="52">
        <f t="shared" si="34"/>
        <v>0</v>
      </c>
      <c r="AG89" s="76">
        <f t="shared" si="35"/>
        <v>0</v>
      </c>
      <c r="AH89" s="75">
        <f t="shared" si="36"/>
        <v>0</v>
      </c>
      <c r="AI89" s="76">
        <f t="shared" si="37"/>
        <v>0</v>
      </c>
      <c r="AJ89" s="52">
        <f t="shared" si="38"/>
        <v>1</v>
      </c>
      <c r="AK89" s="110" t="s">
        <v>690</v>
      </c>
    </row>
    <row r="90" spans="1:37">
      <c r="A90" s="17" t="s">
        <v>466</v>
      </c>
      <c r="B90" s="17" t="s">
        <v>68</v>
      </c>
      <c r="C90" s="115" t="s">
        <v>178</v>
      </c>
      <c r="D90" s="17" t="s">
        <v>467</v>
      </c>
      <c r="E90" s="50" t="s">
        <v>469</v>
      </c>
      <c r="F90" s="116">
        <v>1</v>
      </c>
      <c r="G90" s="116">
        <v>0.45</v>
      </c>
      <c r="H90" s="116">
        <v>0.5</v>
      </c>
      <c r="I90" s="116">
        <v>0.5</v>
      </c>
      <c r="J90" s="116">
        <v>0.4</v>
      </c>
      <c r="K90" s="116">
        <v>1.2</v>
      </c>
      <c r="L90" s="117">
        <v>3.3333333333333301E-3</v>
      </c>
      <c r="M90" s="117">
        <v>0.01</v>
      </c>
      <c r="N90" s="117">
        <v>5.0000000000000001E-3</v>
      </c>
      <c r="O90" s="117">
        <v>5.0000000000000001E-3</v>
      </c>
      <c r="P90" s="117">
        <v>0.01</v>
      </c>
      <c r="Q90" s="117">
        <v>0.01</v>
      </c>
      <c r="R90" s="118">
        <v>1</v>
      </c>
      <c r="S90" s="118">
        <v>1</v>
      </c>
      <c r="T90" s="118">
        <v>1</v>
      </c>
      <c r="U90" s="118">
        <v>1</v>
      </c>
      <c r="V90" s="118">
        <v>1</v>
      </c>
      <c r="W90" s="118">
        <v>1</v>
      </c>
      <c r="X90" s="52">
        <f t="shared" si="26"/>
        <v>300.00000000000028</v>
      </c>
      <c r="Y90" s="52">
        <f t="shared" si="27"/>
        <v>45</v>
      </c>
      <c r="Z90" s="52">
        <f t="shared" si="28"/>
        <v>100</v>
      </c>
      <c r="AA90" s="52">
        <f t="shared" si="29"/>
        <v>3</v>
      </c>
      <c r="AB90" s="76">
        <f t="shared" si="30"/>
        <v>0.65</v>
      </c>
      <c r="AC90" s="75">
        <f t="shared" si="31"/>
        <v>6.1111111111111097E-3</v>
      </c>
      <c r="AD90" s="119">
        <f t="shared" si="32"/>
        <v>106.36363636363639</v>
      </c>
      <c r="AE90" s="52">
        <f t="shared" si="33"/>
        <v>1</v>
      </c>
      <c r="AF90" s="52">
        <f t="shared" si="34"/>
        <v>6</v>
      </c>
      <c r="AG90" s="76">
        <f t="shared" si="35"/>
        <v>0.67499999999999993</v>
      </c>
      <c r="AH90" s="75">
        <f t="shared" si="36"/>
        <v>7.2222222222222228E-3</v>
      </c>
      <c r="AI90" s="76">
        <f t="shared" si="37"/>
        <v>93.461538461538439</v>
      </c>
      <c r="AJ90" s="52">
        <f t="shared" si="38"/>
        <v>1</v>
      </c>
      <c r="AK90" s="110"/>
    </row>
    <row r="91" spans="1:37">
      <c r="A91" s="17" t="s">
        <v>470</v>
      </c>
      <c r="B91" s="17" t="s">
        <v>68</v>
      </c>
      <c r="C91" s="115" t="s">
        <v>178</v>
      </c>
      <c r="D91" s="17" t="s">
        <v>471</v>
      </c>
      <c r="E91" s="50" t="s">
        <v>469</v>
      </c>
      <c r="F91" s="116">
        <v>1</v>
      </c>
      <c r="G91" s="116">
        <v>0.45</v>
      </c>
      <c r="H91" s="116">
        <v>0.5</v>
      </c>
      <c r="I91" s="116">
        <v>0.5</v>
      </c>
      <c r="J91" s="116">
        <v>0.5</v>
      </c>
      <c r="K91" s="116">
        <v>1.5</v>
      </c>
      <c r="L91" s="117">
        <v>5.0000000000000001E-3</v>
      </c>
      <c r="M91" s="117">
        <v>0.01</v>
      </c>
      <c r="N91" s="117">
        <v>5.0000000000000001E-3</v>
      </c>
      <c r="O91" s="117">
        <v>5.0000000000000001E-3</v>
      </c>
      <c r="P91" s="117">
        <v>0.01</v>
      </c>
      <c r="Q91" s="117">
        <v>0.01</v>
      </c>
      <c r="R91" s="118">
        <v>1</v>
      </c>
      <c r="S91" s="118">
        <v>1</v>
      </c>
      <c r="T91" s="118">
        <v>1</v>
      </c>
      <c r="U91" s="118">
        <v>1</v>
      </c>
      <c r="V91" s="118">
        <v>1</v>
      </c>
      <c r="W91" s="118">
        <v>1</v>
      </c>
      <c r="X91" s="52">
        <f t="shared" si="26"/>
        <v>200</v>
      </c>
      <c r="Y91" s="52">
        <f t="shared" si="27"/>
        <v>45</v>
      </c>
      <c r="Z91" s="52">
        <f t="shared" si="28"/>
        <v>100</v>
      </c>
      <c r="AA91" s="52">
        <f t="shared" si="29"/>
        <v>3</v>
      </c>
      <c r="AB91" s="76">
        <f t="shared" si="30"/>
        <v>0.65</v>
      </c>
      <c r="AC91" s="75">
        <f t="shared" si="31"/>
        <v>6.6666666666666671E-3</v>
      </c>
      <c r="AD91" s="119">
        <f t="shared" si="32"/>
        <v>97.5</v>
      </c>
      <c r="AE91" s="52">
        <f t="shared" si="33"/>
        <v>1</v>
      </c>
      <c r="AF91" s="52">
        <f t="shared" si="34"/>
        <v>6</v>
      </c>
      <c r="AG91" s="76">
        <f t="shared" si="35"/>
        <v>0.7416666666666667</v>
      </c>
      <c r="AH91" s="75">
        <f t="shared" si="36"/>
        <v>7.5000000000000006E-3</v>
      </c>
      <c r="AI91" s="76">
        <f t="shared" si="37"/>
        <v>98.888888888888886</v>
      </c>
      <c r="AJ91" s="52">
        <f t="shared" si="38"/>
        <v>1</v>
      </c>
      <c r="AK91" s="110"/>
    </row>
    <row r="92" spans="1:37">
      <c r="A92" s="17" t="s">
        <v>473</v>
      </c>
      <c r="B92" s="17" t="s">
        <v>68</v>
      </c>
      <c r="C92" s="115" t="s">
        <v>178</v>
      </c>
      <c r="D92" s="17" t="s">
        <v>474</v>
      </c>
      <c r="E92" s="50" t="s">
        <v>476</v>
      </c>
      <c r="F92" s="116">
        <v>2</v>
      </c>
      <c r="G92" s="116">
        <v>2.5</v>
      </c>
      <c r="H92" s="116">
        <v>2</v>
      </c>
      <c r="I92" s="116">
        <v>3</v>
      </c>
      <c r="J92" s="116">
        <v>3</v>
      </c>
      <c r="K92" s="116">
        <v>10</v>
      </c>
      <c r="L92" s="117">
        <v>6.6666666666666697E-3</v>
      </c>
      <c r="M92" s="117">
        <v>2.5000000000000001E-2</v>
      </c>
      <c r="N92" s="117">
        <v>6.6666666666666697E-3</v>
      </c>
      <c r="O92" s="117">
        <v>0.01</v>
      </c>
      <c r="P92" s="117">
        <v>0.01</v>
      </c>
      <c r="Q92" s="117">
        <v>1.2500000000000001E-2</v>
      </c>
      <c r="R92" s="118">
        <v>1</v>
      </c>
      <c r="S92" s="118">
        <v>1</v>
      </c>
      <c r="T92" s="118">
        <v>1</v>
      </c>
      <c r="U92" s="118">
        <v>1</v>
      </c>
      <c r="V92" s="118">
        <v>1</v>
      </c>
      <c r="W92" s="118">
        <v>1</v>
      </c>
      <c r="X92" s="52">
        <f t="shared" si="26"/>
        <v>299.99999999999989</v>
      </c>
      <c r="Y92" s="52">
        <f t="shared" si="27"/>
        <v>100</v>
      </c>
      <c r="Z92" s="52">
        <f t="shared" si="28"/>
        <v>299.99999999999989</v>
      </c>
      <c r="AA92" s="52">
        <f t="shared" si="29"/>
        <v>3</v>
      </c>
      <c r="AB92" s="76">
        <f t="shared" si="30"/>
        <v>2.1666666666666665</v>
      </c>
      <c r="AC92" s="75">
        <f t="shared" si="31"/>
        <v>1.2777777777777779E-2</v>
      </c>
      <c r="AD92" s="119">
        <f t="shared" si="32"/>
        <v>169.56521739130432</v>
      </c>
      <c r="AE92" s="52">
        <f t="shared" si="33"/>
        <v>1</v>
      </c>
      <c r="AF92" s="52">
        <f t="shared" si="34"/>
        <v>6</v>
      </c>
      <c r="AG92" s="76">
        <f t="shared" si="35"/>
        <v>3.75</v>
      </c>
      <c r="AH92" s="75">
        <f t="shared" si="36"/>
        <v>1.1805555555555557E-2</v>
      </c>
      <c r="AI92" s="76">
        <f t="shared" si="37"/>
        <v>317.64705882352939</v>
      </c>
      <c r="AJ92" s="52">
        <f t="shared" si="38"/>
        <v>1</v>
      </c>
      <c r="AK92" s="110"/>
    </row>
    <row r="93" spans="1:37">
      <c r="A93" s="17" t="s">
        <v>477</v>
      </c>
      <c r="B93" s="17" t="s">
        <v>68</v>
      </c>
      <c r="C93" s="115" t="s">
        <v>178</v>
      </c>
      <c r="D93" s="17" t="s">
        <v>478</v>
      </c>
      <c r="E93" s="50" t="s">
        <v>476</v>
      </c>
      <c r="F93" s="116">
        <v>1</v>
      </c>
      <c r="G93" s="116">
        <v>0.45</v>
      </c>
      <c r="H93" s="116">
        <v>0.5</v>
      </c>
      <c r="I93" s="116">
        <v>0.5</v>
      </c>
      <c r="J93" s="116">
        <v>0.5</v>
      </c>
      <c r="K93" s="116">
        <v>2.5</v>
      </c>
      <c r="L93" s="117">
        <v>0.01</v>
      </c>
      <c r="M93" s="117">
        <v>0.01</v>
      </c>
      <c r="N93" s="117">
        <v>5.0000000000000001E-3</v>
      </c>
      <c r="O93" s="117">
        <v>5.0000000000000001E-3</v>
      </c>
      <c r="P93" s="117">
        <v>0.01</v>
      </c>
      <c r="Q93" s="117">
        <v>0.01</v>
      </c>
      <c r="R93" s="118">
        <v>1</v>
      </c>
      <c r="S93" s="118">
        <v>1</v>
      </c>
      <c r="T93" s="118">
        <v>1</v>
      </c>
      <c r="U93" s="118">
        <v>1</v>
      </c>
      <c r="V93" s="118">
        <v>1</v>
      </c>
      <c r="W93" s="118">
        <v>1</v>
      </c>
      <c r="X93" s="52">
        <f t="shared" si="26"/>
        <v>100</v>
      </c>
      <c r="Y93" s="52">
        <f t="shared" si="27"/>
        <v>45</v>
      </c>
      <c r="Z93" s="52">
        <f t="shared" si="28"/>
        <v>100</v>
      </c>
      <c r="AA93" s="52">
        <f t="shared" si="29"/>
        <v>3</v>
      </c>
      <c r="AB93" s="76">
        <f t="shared" si="30"/>
        <v>0.65</v>
      </c>
      <c r="AC93" s="75">
        <f t="shared" si="31"/>
        <v>8.3333333333333332E-3</v>
      </c>
      <c r="AD93" s="119">
        <f t="shared" si="32"/>
        <v>78</v>
      </c>
      <c r="AE93" s="52">
        <f t="shared" si="33"/>
        <v>1</v>
      </c>
      <c r="AF93" s="52">
        <f t="shared" si="34"/>
        <v>6</v>
      </c>
      <c r="AG93" s="76">
        <f t="shared" si="35"/>
        <v>0.90833333333333333</v>
      </c>
      <c r="AH93" s="75">
        <f t="shared" si="36"/>
        <v>8.3333333333333332E-3</v>
      </c>
      <c r="AI93" s="76">
        <f t="shared" si="37"/>
        <v>109</v>
      </c>
      <c r="AJ93" s="52">
        <f t="shared" si="38"/>
        <v>1</v>
      </c>
      <c r="AK93" s="110"/>
    </row>
    <row r="94" spans="1:37">
      <c r="A94" s="17" t="s">
        <v>480</v>
      </c>
      <c r="B94" s="17" t="s">
        <v>68</v>
      </c>
      <c r="C94" s="115" t="s">
        <v>483</v>
      </c>
      <c r="D94" s="17" t="s">
        <v>481</v>
      </c>
      <c r="E94" s="50" t="s">
        <v>236</v>
      </c>
      <c r="F94" s="116"/>
      <c r="G94" s="116"/>
      <c r="H94" s="116"/>
      <c r="I94" s="116"/>
      <c r="J94" s="116"/>
      <c r="K94" s="116"/>
      <c r="L94" s="117"/>
      <c r="M94" s="117"/>
      <c r="N94" s="117"/>
      <c r="O94" s="117"/>
      <c r="P94" s="117"/>
      <c r="Q94" s="117"/>
      <c r="R94" s="118"/>
      <c r="S94" s="118"/>
      <c r="T94" s="118"/>
      <c r="U94" s="118"/>
      <c r="V94" s="118"/>
      <c r="W94" s="118"/>
      <c r="X94" s="52">
        <f t="shared" si="26"/>
        <v>0</v>
      </c>
      <c r="Y94" s="52">
        <f t="shared" si="27"/>
        <v>0</v>
      </c>
      <c r="Z94" s="52">
        <f t="shared" si="28"/>
        <v>0</v>
      </c>
      <c r="AA94" s="52">
        <f t="shared" si="29"/>
        <v>0</v>
      </c>
      <c r="AB94" s="76">
        <f t="shared" si="30"/>
        <v>0</v>
      </c>
      <c r="AC94" s="75">
        <f t="shared" si="31"/>
        <v>0</v>
      </c>
      <c r="AD94" s="119">
        <f t="shared" si="32"/>
        <v>0</v>
      </c>
      <c r="AE94" s="52">
        <f t="shared" si="33"/>
        <v>1</v>
      </c>
      <c r="AF94" s="52">
        <f t="shared" si="34"/>
        <v>0</v>
      </c>
      <c r="AG94" s="76">
        <f t="shared" si="35"/>
        <v>0</v>
      </c>
      <c r="AH94" s="75">
        <f t="shared" si="36"/>
        <v>0</v>
      </c>
      <c r="AI94" s="76">
        <f t="shared" si="37"/>
        <v>0</v>
      </c>
      <c r="AJ94" s="52">
        <f t="shared" si="38"/>
        <v>1</v>
      </c>
      <c r="AK94" s="110"/>
    </row>
    <row r="95" spans="1:37">
      <c r="A95" s="17" t="s">
        <v>484</v>
      </c>
      <c r="B95" s="17" t="s">
        <v>68</v>
      </c>
      <c r="C95" s="115" t="s">
        <v>483</v>
      </c>
      <c r="D95" s="17" t="s">
        <v>485</v>
      </c>
      <c r="E95" s="50" t="s">
        <v>236</v>
      </c>
      <c r="F95" s="116">
        <v>2.5</v>
      </c>
      <c r="G95" s="116">
        <v>2</v>
      </c>
      <c r="H95" s="116">
        <v>1.5</v>
      </c>
      <c r="I95" s="116">
        <v>3</v>
      </c>
      <c r="J95" s="116">
        <v>2</v>
      </c>
      <c r="K95" s="116">
        <v>6</v>
      </c>
      <c r="L95" s="117">
        <v>0.01</v>
      </c>
      <c r="M95" s="117">
        <v>0.02</v>
      </c>
      <c r="N95" s="117">
        <v>1.4999999999999999E-2</v>
      </c>
      <c r="O95" s="117">
        <v>0.03</v>
      </c>
      <c r="P95" s="117">
        <v>0.02</v>
      </c>
      <c r="Q95" s="117">
        <v>1.2E-2</v>
      </c>
      <c r="R95" s="118">
        <v>1</v>
      </c>
      <c r="S95" s="118">
        <v>1</v>
      </c>
      <c r="T95" s="118">
        <v>1</v>
      </c>
      <c r="U95" s="118">
        <v>1</v>
      </c>
      <c r="V95" s="118">
        <v>1</v>
      </c>
      <c r="W95" s="118">
        <v>1</v>
      </c>
      <c r="X95" s="52">
        <f t="shared" si="26"/>
        <v>250</v>
      </c>
      <c r="Y95" s="52">
        <f t="shared" si="27"/>
        <v>100</v>
      </c>
      <c r="Z95" s="52">
        <f t="shared" si="28"/>
        <v>100</v>
      </c>
      <c r="AA95" s="52">
        <f t="shared" si="29"/>
        <v>3</v>
      </c>
      <c r="AB95" s="76">
        <f t="shared" si="30"/>
        <v>2</v>
      </c>
      <c r="AC95" s="75">
        <f t="shared" si="31"/>
        <v>1.4999999999999999E-2</v>
      </c>
      <c r="AD95" s="119">
        <f t="shared" si="32"/>
        <v>133.33333333333334</v>
      </c>
      <c r="AE95" s="52">
        <f t="shared" si="33"/>
        <v>1</v>
      </c>
      <c r="AF95" s="52">
        <f t="shared" si="34"/>
        <v>6</v>
      </c>
      <c r="AG95" s="76">
        <f t="shared" si="35"/>
        <v>2.8333333333333335</v>
      </c>
      <c r="AH95" s="75">
        <f t="shared" si="36"/>
        <v>1.7833333333333333E-2</v>
      </c>
      <c r="AI95" s="76">
        <f t="shared" si="37"/>
        <v>158.87850467289721</v>
      </c>
      <c r="AJ95" s="52">
        <f t="shared" si="38"/>
        <v>1</v>
      </c>
      <c r="AK95" s="110"/>
    </row>
    <row r="96" spans="1:37">
      <c r="A96" s="17" t="s">
        <v>487</v>
      </c>
      <c r="B96" s="17" t="s">
        <v>68</v>
      </c>
      <c r="C96" s="115" t="s">
        <v>483</v>
      </c>
      <c r="D96" s="17" t="s">
        <v>488</v>
      </c>
      <c r="E96" s="50" t="s">
        <v>236</v>
      </c>
      <c r="F96" s="116">
        <v>1.5</v>
      </c>
      <c r="G96" s="116">
        <v>1.5</v>
      </c>
      <c r="H96" s="116">
        <v>1</v>
      </c>
      <c r="I96" s="116">
        <v>1.5</v>
      </c>
      <c r="J96" s="116">
        <v>1</v>
      </c>
      <c r="K96" s="116">
        <v>3</v>
      </c>
      <c r="L96" s="117">
        <v>0.01</v>
      </c>
      <c r="M96" s="117">
        <v>0.01</v>
      </c>
      <c r="N96" s="117">
        <v>0.01</v>
      </c>
      <c r="O96" s="117">
        <v>0.01</v>
      </c>
      <c r="P96" s="117">
        <v>6.6666666666666697E-3</v>
      </c>
      <c r="Q96" s="117">
        <v>0.01</v>
      </c>
      <c r="R96" s="118">
        <v>1</v>
      </c>
      <c r="S96" s="118">
        <v>1</v>
      </c>
      <c r="T96" s="118">
        <v>1</v>
      </c>
      <c r="U96" s="118">
        <v>1</v>
      </c>
      <c r="V96" s="118">
        <v>1</v>
      </c>
      <c r="W96" s="118">
        <v>1</v>
      </c>
      <c r="X96" s="52">
        <f t="shared" si="26"/>
        <v>150</v>
      </c>
      <c r="Y96" s="52">
        <f t="shared" si="27"/>
        <v>150</v>
      </c>
      <c r="Z96" s="52">
        <f t="shared" si="28"/>
        <v>100</v>
      </c>
      <c r="AA96" s="52">
        <f t="shared" si="29"/>
        <v>3</v>
      </c>
      <c r="AB96" s="76">
        <f t="shared" si="30"/>
        <v>1.3333333333333333</v>
      </c>
      <c r="AC96" s="75">
        <f t="shared" si="31"/>
        <v>0.01</v>
      </c>
      <c r="AD96" s="119">
        <f t="shared" si="32"/>
        <v>133.33333333333331</v>
      </c>
      <c r="AE96" s="52">
        <f t="shared" si="33"/>
        <v>1</v>
      </c>
      <c r="AF96" s="52">
        <f t="shared" si="34"/>
        <v>6</v>
      </c>
      <c r="AG96" s="76">
        <f t="shared" si="35"/>
        <v>1.5833333333333333</v>
      </c>
      <c r="AH96" s="75">
        <f t="shared" si="36"/>
        <v>9.4444444444444445E-3</v>
      </c>
      <c r="AI96" s="76">
        <f t="shared" si="37"/>
        <v>167.64705882352939</v>
      </c>
      <c r="AJ96" s="52">
        <f t="shared" si="38"/>
        <v>1</v>
      </c>
      <c r="AK96" s="110"/>
    </row>
    <row r="97" spans="1:37">
      <c r="A97" s="17" t="s">
        <v>490</v>
      </c>
      <c r="B97" s="17" t="s">
        <v>68</v>
      </c>
      <c r="C97" s="115" t="s">
        <v>483</v>
      </c>
      <c r="D97" s="17" t="s">
        <v>491</v>
      </c>
      <c r="E97" s="50" t="s">
        <v>236</v>
      </c>
      <c r="F97" s="116">
        <v>1.5</v>
      </c>
      <c r="G97" s="116"/>
      <c r="H97" s="116"/>
      <c r="I97" s="116"/>
      <c r="J97" s="116"/>
      <c r="K97" s="116"/>
      <c r="L97" s="117">
        <v>0.01</v>
      </c>
      <c r="M97" s="117"/>
      <c r="N97" s="117"/>
      <c r="O97" s="117"/>
      <c r="P97" s="117"/>
      <c r="Q97" s="117"/>
      <c r="R97" s="118">
        <v>1</v>
      </c>
      <c r="S97" s="118"/>
      <c r="T97" s="118"/>
      <c r="U97" s="118"/>
      <c r="V97" s="118"/>
      <c r="W97" s="118"/>
      <c r="X97" s="52">
        <f t="shared" si="26"/>
        <v>150</v>
      </c>
      <c r="Y97" s="52">
        <f t="shared" si="27"/>
        <v>0</v>
      </c>
      <c r="Z97" s="52">
        <f t="shared" si="28"/>
        <v>0</v>
      </c>
      <c r="AA97" s="52">
        <f t="shared" si="29"/>
        <v>1</v>
      </c>
      <c r="AB97" s="76">
        <f t="shared" si="30"/>
        <v>1.5</v>
      </c>
      <c r="AC97" s="75">
        <f t="shared" si="31"/>
        <v>0.01</v>
      </c>
      <c r="AD97" s="119">
        <f t="shared" si="32"/>
        <v>150</v>
      </c>
      <c r="AE97" s="52">
        <f t="shared" si="33"/>
        <v>1</v>
      </c>
      <c r="AF97" s="52">
        <f t="shared" si="34"/>
        <v>1</v>
      </c>
      <c r="AG97" s="76">
        <f t="shared" si="35"/>
        <v>1.5</v>
      </c>
      <c r="AH97" s="75">
        <f t="shared" si="36"/>
        <v>0.01</v>
      </c>
      <c r="AI97" s="76">
        <f t="shared" si="37"/>
        <v>150</v>
      </c>
      <c r="AJ97" s="52">
        <f t="shared" si="38"/>
        <v>1</v>
      </c>
      <c r="AK97" s="110"/>
    </row>
    <row r="98" spans="1:37">
      <c r="A98" s="17" t="s">
        <v>493</v>
      </c>
      <c r="B98" s="17" t="s">
        <v>68</v>
      </c>
      <c r="C98" s="115" t="s">
        <v>496</v>
      </c>
      <c r="D98" s="17" t="s">
        <v>494</v>
      </c>
      <c r="E98" s="50" t="s">
        <v>236</v>
      </c>
      <c r="F98" s="116"/>
      <c r="G98" s="116">
        <v>1.5</v>
      </c>
      <c r="H98" s="116"/>
      <c r="I98" s="116"/>
      <c r="J98" s="116"/>
      <c r="K98" s="116">
        <v>10</v>
      </c>
      <c r="L98" s="117"/>
      <c r="M98" s="117">
        <v>0.01</v>
      </c>
      <c r="N98" s="117"/>
      <c r="O98" s="117"/>
      <c r="P98" s="117"/>
      <c r="Q98" s="117">
        <v>0.01</v>
      </c>
      <c r="R98" s="118"/>
      <c r="S98" s="118">
        <v>1</v>
      </c>
      <c r="T98" s="118"/>
      <c r="U98" s="118"/>
      <c r="V98" s="118"/>
      <c r="W98" s="118">
        <v>1</v>
      </c>
      <c r="X98" s="52">
        <f t="shared" si="26"/>
        <v>0</v>
      </c>
      <c r="Y98" s="52">
        <f t="shared" si="27"/>
        <v>150</v>
      </c>
      <c r="Z98" s="52">
        <f t="shared" si="28"/>
        <v>0</v>
      </c>
      <c r="AA98" s="52">
        <f t="shared" si="29"/>
        <v>1</v>
      </c>
      <c r="AB98" s="76">
        <f t="shared" si="30"/>
        <v>1.5</v>
      </c>
      <c r="AC98" s="75">
        <f t="shared" si="31"/>
        <v>0.01</v>
      </c>
      <c r="AD98" s="119">
        <f t="shared" si="32"/>
        <v>150</v>
      </c>
      <c r="AE98" s="52">
        <f t="shared" si="33"/>
        <v>1</v>
      </c>
      <c r="AF98" s="52">
        <f t="shared" si="34"/>
        <v>2</v>
      </c>
      <c r="AG98" s="76">
        <f t="shared" si="35"/>
        <v>5.75</v>
      </c>
      <c r="AH98" s="75">
        <f t="shared" si="36"/>
        <v>0.01</v>
      </c>
      <c r="AI98" s="76">
        <f t="shared" si="37"/>
        <v>575</v>
      </c>
      <c r="AJ98" s="52">
        <f t="shared" si="38"/>
        <v>1</v>
      </c>
      <c r="AK98" s="110"/>
    </row>
    <row r="99" spans="1:37">
      <c r="A99" s="17" t="s">
        <v>497</v>
      </c>
      <c r="B99" s="17" t="s">
        <v>68</v>
      </c>
      <c r="C99" s="115" t="s">
        <v>496</v>
      </c>
      <c r="D99" s="17" t="s">
        <v>498</v>
      </c>
      <c r="E99" s="50" t="s">
        <v>236</v>
      </c>
      <c r="F99" s="116"/>
      <c r="G99" s="116">
        <v>3</v>
      </c>
      <c r="H99" s="116"/>
      <c r="I99" s="116"/>
      <c r="J99" s="116"/>
      <c r="K99" s="116">
        <v>10</v>
      </c>
      <c r="L99" s="117"/>
      <c r="M99" s="117">
        <v>0.02</v>
      </c>
      <c r="N99" s="117"/>
      <c r="O99" s="117"/>
      <c r="P99" s="117"/>
      <c r="Q99" s="117">
        <v>0.01</v>
      </c>
      <c r="R99" s="118"/>
      <c r="S99" s="118">
        <v>1</v>
      </c>
      <c r="T99" s="118"/>
      <c r="U99" s="118"/>
      <c r="V99" s="118"/>
      <c r="W99" s="118">
        <v>1</v>
      </c>
      <c r="X99" s="52">
        <f t="shared" si="26"/>
        <v>0</v>
      </c>
      <c r="Y99" s="52">
        <f t="shared" si="27"/>
        <v>150</v>
      </c>
      <c r="Z99" s="52">
        <f t="shared" si="28"/>
        <v>0</v>
      </c>
      <c r="AA99" s="52">
        <f t="shared" si="29"/>
        <v>1</v>
      </c>
      <c r="AB99" s="76">
        <f t="shared" si="30"/>
        <v>3</v>
      </c>
      <c r="AC99" s="75">
        <f t="shared" si="31"/>
        <v>0.02</v>
      </c>
      <c r="AD99" s="119">
        <f t="shared" si="32"/>
        <v>150</v>
      </c>
      <c r="AE99" s="52">
        <f t="shared" si="33"/>
        <v>1</v>
      </c>
      <c r="AF99" s="52">
        <f t="shared" si="34"/>
        <v>2</v>
      </c>
      <c r="AG99" s="76">
        <f t="shared" si="35"/>
        <v>6.5</v>
      </c>
      <c r="AH99" s="75">
        <f t="shared" si="36"/>
        <v>1.4999999999999999E-2</v>
      </c>
      <c r="AI99" s="76">
        <f t="shared" si="37"/>
        <v>433.33333333333337</v>
      </c>
      <c r="AJ99" s="52">
        <f t="shared" si="38"/>
        <v>1</v>
      </c>
      <c r="AK99" s="110"/>
    </row>
    <row r="100" spans="1:37">
      <c r="A100" s="17" t="s">
        <v>500</v>
      </c>
      <c r="B100" s="17" t="s">
        <v>68</v>
      </c>
      <c r="C100" s="115" t="s">
        <v>284</v>
      </c>
      <c r="D100" s="17" t="s">
        <v>448</v>
      </c>
      <c r="E100" s="50" t="s">
        <v>112</v>
      </c>
      <c r="F100" s="116"/>
      <c r="G100" s="116"/>
      <c r="H100" s="116"/>
      <c r="I100" s="116"/>
      <c r="J100" s="116">
        <v>2500</v>
      </c>
      <c r="K100" s="116"/>
      <c r="L100" s="117"/>
      <c r="M100" s="117"/>
      <c r="N100" s="117"/>
      <c r="O100" s="117"/>
      <c r="P100" s="117">
        <v>1</v>
      </c>
      <c r="Q100" s="117"/>
      <c r="R100" s="118"/>
      <c r="S100" s="118"/>
      <c r="T100" s="118"/>
      <c r="U100" s="118"/>
      <c r="V100" s="118">
        <v>1</v>
      </c>
      <c r="W100" s="118"/>
      <c r="X100" s="52">
        <f t="shared" si="26"/>
        <v>0</v>
      </c>
      <c r="Y100" s="52">
        <f t="shared" si="27"/>
        <v>0</v>
      </c>
      <c r="Z100" s="52">
        <f t="shared" si="28"/>
        <v>0</v>
      </c>
      <c r="AA100" s="52">
        <f t="shared" si="29"/>
        <v>0</v>
      </c>
      <c r="AB100" s="76">
        <f t="shared" si="30"/>
        <v>0</v>
      </c>
      <c r="AC100" s="75">
        <f t="shared" si="31"/>
        <v>0</v>
      </c>
      <c r="AD100" s="119">
        <f t="shared" si="32"/>
        <v>0</v>
      </c>
      <c r="AE100" s="52">
        <f t="shared" si="33"/>
        <v>1</v>
      </c>
      <c r="AF100" s="52">
        <f t="shared" si="34"/>
        <v>1</v>
      </c>
      <c r="AG100" s="76">
        <f t="shared" si="35"/>
        <v>2500</v>
      </c>
      <c r="AH100" s="75">
        <f t="shared" si="36"/>
        <v>1</v>
      </c>
      <c r="AI100" s="76">
        <f t="shared" si="37"/>
        <v>2500</v>
      </c>
      <c r="AJ100" s="52">
        <f t="shared" si="38"/>
        <v>1</v>
      </c>
      <c r="AK100" s="110"/>
    </row>
    <row r="101" spans="1:37">
      <c r="A101" s="17" t="s">
        <v>501</v>
      </c>
      <c r="B101" s="17" t="s">
        <v>68</v>
      </c>
      <c r="C101" s="115" t="s">
        <v>284</v>
      </c>
      <c r="D101" s="17" t="s">
        <v>288</v>
      </c>
      <c r="E101" s="50" t="s">
        <v>502</v>
      </c>
      <c r="F101" s="116"/>
      <c r="G101" s="116"/>
      <c r="H101" s="116"/>
      <c r="I101" s="116"/>
      <c r="J101" s="116">
        <v>500</v>
      </c>
      <c r="K101" s="116"/>
      <c r="L101" s="117"/>
      <c r="M101" s="117"/>
      <c r="N101" s="117"/>
      <c r="O101" s="117"/>
      <c r="P101" s="117">
        <v>1</v>
      </c>
      <c r="Q101" s="117"/>
      <c r="R101" s="118"/>
      <c r="S101" s="118"/>
      <c r="T101" s="118"/>
      <c r="U101" s="118"/>
      <c r="V101" s="118">
        <v>20</v>
      </c>
      <c r="W101" s="118"/>
      <c r="X101" s="52">
        <f t="shared" si="26"/>
        <v>0</v>
      </c>
      <c r="Y101" s="52">
        <f t="shared" si="27"/>
        <v>0</v>
      </c>
      <c r="Z101" s="52">
        <f t="shared" si="28"/>
        <v>0</v>
      </c>
      <c r="AA101" s="52">
        <f t="shared" si="29"/>
        <v>0</v>
      </c>
      <c r="AB101" s="76">
        <f t="shared" si="30"/>
        <v>0</v>
      </c>
      <c r="AC101" s="75">
        <f t="shared" si="31"/>
        <v>0</v>
      </c>
      <c r="AD101" s="119">
        <f t="shared" si="32"/>
        <v>0</v>
      </c>
      <c r="AE101" s="52">
        <f t="shared" si="33"/>
        <v>1</v>
      </c>
      <c r="AF101" s="52">
        <f t="shared" si="34"/>
        <v>1</v>
      </c>
      <c r="AG101" s="76">
        <f t="shared" si="35"/>
        <v>500</v>
      </c>
      <c r="AH101" s="75">
        <f t="shared" si="36"/>
        <v>1</v>
      </c>
      <c r="AI101" s="76">
        <f t="shared" si="37"/>
        <v>500</v>
      </c>
      <c r="AJ101" s="52">
        <f t="shared" si="38"/>
        <v>20</v>
      </c>
      <c r="AK101" s="110"/>
    </row>
    <row r="102" spans="1:37">
      <c r="A102" s="17" t="s">
        <v>503</v>
      </c>
      <c r="B102" s="17" t="s">
        <v>68</v>
      </c>
      <c r="C102" s="115" t="s">
        <v>292</v>
      </c>
      <c r="D102" s="17" t="s">
        <v>504</v>
      </c>
      <c r="E102" s="50" t="s">
        <v>236</v>
      </c>
      <c r="F102" s="116"/>
      <c r="G102" s="116"/>
      <c r="H102" s="116"/>
      <c r="I102" s="116"/>
      <c r="J102" s="116"/>
      <c r="K102" s="116"/>
      <c r="L102" s="117"/>
      <c r="M102" s="117"/>
      <c r="N102" s="117"/>
      <c r="O102" s="117"/>
      <c r="P102" s="117"/>
      <c r="Q102" s="117"/>
      <c r="R102" s="118"/>
      <c r="S102" s="118"/>
      <c r="T102" s="118"/>
      <c r="U102" s="118"/>
      <c r="V102" s="118"/>
      <c r="W102" s="118"/>
      <c r="X102" s="52">
        <f t="shared" si="26"/>
        <v>0</v>
      </c>
      <c r="Y102" s="52">
        <f t="shared" si="27"/>
        <v>0</v>
      </c>
      <c r="Z102" s="52">
        <f t="shared" si="28"/>
        <v>0</v>
      </c>
      <c r="AA102" s="52">
        <f t="shared" si="29"/>
        <v>0</v>
      </c>
      <c r="AB102" s="76">
        <f t="shared" si="30"/>
        <v>0</v>
      </c>
      <c r="AC102" s="75">
        <f t="shared" si="31"/>
        <v>0</v>
      </c>
      <c r="AD102" s="119">
        <f t="shared" si="32"/>
        <v>0</v>
      </c>
      <c r="AE102" s="52">
        <f t="shared" si="33"/>
        <v>1</v>
      </c>
      <c r="AF102" s="52">
        <f t="shared" si="34"/>
        <v>0</v>
      </c>
      <c r="AG102" s="76">
        <f t="shared" si="35"/>
        <v>0</v>
      </c>
      <c r="AH102" s="75">
        <f t="shared" si="36"/>
        <v>0</v>
      </c>
      <c r="AI102" s="76">
        <f t="shared" si="37"/>
        <v>0</v>
      </c>
      <c r="AJ102" s="52">
        <f t="shared" si="38"/>
        <v>1</v>
      </c>
      <c r="AK102" s="110" t="s">
        <v>690</v>
      </c>
    </row>
    <row r="103" spans="1:37">
      <c r="A103" s="17" t="s">
        <v>523</v>
      </c>
      <c r="B103" s="17" t="s">
        <v>69</v>
      </c>
      <c r="C103" s="115" t="s">
        <v>526</v>
      </c>
      <c r="D103" s="17" t="s">
        <v>524</v>
      </c>
      <c r="E103" s="50" t="s">
        <v>112</v>
      </c>
      <c r="F103" s="116">
        <v>1000</v>
      </c>
      <c r="G103" s="116">
        <v>3000</v>
      </c>
      <c r="H103" s="116">
        <v>2000</v>
      </c>
      <c r="I103" s="116">
        <v>3000</v>
      </c>
      <c r="J103" s="116">
        <v>3000</v>
      </c>
      <c r="K103" s="116">
        <v>3000</v>
      </c>
      <c r="L103" s="117">
        <v>1</v>
      </c>
      <c r="M103" s="117">
        <v>1</v>
      </c>
      <c r="N103" s="117">
        <v>2</v>
      </c>
      <c r="O103" s="117">
        <v>1</v>
      </c>
      <c r="P103" s="117">
        <v>1</v>
      </c>
      <c r="Q103" s="117">
        <v>1</v>
      </c>
      <c r="R103" s="118">
        <v>1</v>
      </c>
      <c r="S103" s="118">
        <v>1</v>
      </c>
      <c r="T103" s="118">
        <v>1</v>
      </c>
      <c r="U103" s="118">
        <v>1</v>
      </c>
      <c r="V103" s="118">
        <v>1</v>
      </c>
      <c r="W103" s="118">
        <v>1</v>
      </c>
      <c r="X103" s="52">
        <f t="shared" ref="X103:X130" si="39">IFERROR(F103/L103,0)</f>
        <v>1000</v>
      </c>
      <c r="Y103" s="52">
        <f t="shared" ref="Y103:Y130" si="40">IFERROR(G103/M103,0)</f>
        <v>3000</v>
      </c>
      <c r="Z103" s="52">
        <f t="shared" ref="Z103:Z130" si="41">IFERROR(H103/N103,0)</f>
        <v>1000</v>
      </c>
      <c r="AA103" s="52">
        <f t="shared" ref="AA103:AA130" si="42">COUNTIF(F103:H103,"&gt;0")</f>
        <v>3</v>
      </c>
      <c r="AB103" s="76">
        <f t="shared" ref="AB103:AB130" si="43">IFERROR(AVERAGEIF(F103:H103,"&gt;0"),0)</f>
        <v>2000</v>
      </c>
      <c r="AC103" s="75">
        <f t="shared" ref="AC103:AC130" si="44">IFERROR(AVERAGEIF(L103:N103,"&gt;0"),0)</f>
        <v>1.3333333333333333</v>
      </c>
      <c r="AD103" s="119">
        <f t="shared" ref="AD103:AD134" si="45">IF(AC103&gt;0,AB103/AC103,0)</f>
        <v>1500</v>
      </c>
      <c r="AE103" s="52">
        <f t="shared" ref="AE103:AE130" si="46">IFERROR(MAX(1,ROUND(AVERAGEIF(R103:T103,"&gt;0"),0)),1)</f>
        <v>1</v>
      </c>
      <c r="AF103" s="52">
        <f t="shared" ref="AF103:AF130" si="47">COUNTIF(F103:K103,"&gt;0")</f>
        <v>6</v>
      </c>
      <c r="AG103" s="76">
        <f t="shared" ref="AG103:AG130" si="48">IFERROR(AVERAGEIF(F103:K103,"&gt;0"),0)</f>
        <v>2500</v>
      </c>
      <c r="AH103" s="75">
        <f t="shared" ref="AH103:AH130" si="49">IFERROR(AVERAGEIF(L103:Q103,"&gt;0"),0)</f>
        <v>1.1666666666666667</v>
      </c>
      <c r="AI103" s="76">
        <f t="shared" ref="AI103:AI134" si="50">IF(AH103&gt;0,AG103/AH103,0)</f>
        <v>2142.8571428571427</v>
      </c>
      <c r="AJ103" s="52">
        <f t="shared" ref="AJ103:AJ130" si="51">IFERROR(MAX(1,ROUND(AVERAGEIF(R103:W103,"&gt;0"),0)),1)</f>
        <v>1</v>
      </c>
      <c r="AK103" s="110"/>
    </row>
    <row r="104" spans="1:37">
      <c r="A104" s="17" t="s">
        <v>529</v>
      </c>
      <c r="B104" s="17" t="s">
        <v>69</v>
      </c>
      <c r="C104" s="115" t="s">
        <v>526</v>
      </c>
      <c r="D104" s="17" t="s">
        <v>530</v>
      </c>
      <c r="E104" s="50" t="s">
        <v>226</v>
      </c>
      <c r="F104" s="116"/>
      <c r="G104" s="116">
        <v>80</v>
      </c>
      <c r="H104" s="116"/>
      <c r="I104" s="116"/>
      <c r="J104" s="116">
        <v>80</v>
      </c>
      <c r="K104" s="116">
        <v>200</v>
      </c>
      <c r="L104" s="117"/>
      <c r="M104" s="117">
        <v>0.33333333333333298</v>
      </c>
      <c r="N104" s="117"/>
      <c r="O104" s="117"/>
      <c r="P104" s="117">
        <v>0.33333333333333298</v>
      </c>
      <c r="Q104" s="117">
        <v>1</v>
      </c>
      <c r="R104" s="118"/>
      <c r="S104" s="118">
        <v>1</v>
      </c>
      <c r="T104" s="118"/>
      <c r="U104" s="118"/>
      <c r="V104" s="118">
        <v>1</v>
      </c>
      <c r="W104" s="118">
        <v>1</v>
      </c>
      <c r="X104" s="52">
        <f t="shared" si="39"/>
        <v>0</v>
      </c>
      <c r="Y104" s="52">
        <f t="shared" si="40"/>
        <v>240.00000000000026</v>
      </c>
      <c r="Z104" s="52">
        <f t="shared" si="41"/>
        <v>0</v>
      </c>
      <c r="AA104" s="52">
        <f t="shared" si="42"/>
        <v>1</v>
      </c>
      <c r="AB104" s="76">
        <f t="shared" si="43"/>
        <v>80</v>
      </c>
      <c r="AC104" s="75">
        <f t="shared" si="44"/>
        <v>0.33333333333333298</v>
      </c>
      <c r="AD104" s="119">
        <f t="shared" si="45"/>
        <v>240.00000000000026</v>
      </c>
      <c r="AE104" s="52">
        <f t="shared" si="46"/>
        <v>1</v>
      </c>
      <c r="AF104" s="52">
        <f t="shared" si="47"/>
        <v>3</v>
      </c>
      <c r="AG104" s="76">
        <f t="shared" si="48"/>
        <v>120</v>
      </c>
      <c r="AH104" s="75">
        <f t="shared" si="49"/>
        <v>0.55555555555555536</v>
      </c>
      <c r="AI104" s="76">
        <f t="shared" si="50"/>
        <v>216.00000000000009</v>
      </c>
      <c r="AJ104" s="52">
        <f t="shared" si="51"/>
        <v>1</v>
      </c>
      <c r="AK104" s="110"/>
    </row>
    <row r="105" spans="1:37">
      <c r="A105" s="17" t="s">
        <v>532</v>
      </c>
      <c r="B105" s="17" t="s">
        <v>69</v>
      </c>
      <c r="C105" s="115" t="s">
        <v>526</v>
      </c>
      <c r="D105" s="17" t="s">
        <v>533</v>
      </c>
      <c r="E105" s="50" t="s">
        <v>338</v>
      </c>
      <c r="F105" s="116"/>
      <c r="G105" s="116">
        <v>10</v>
      </c>
      <c r="H105" s="116"/>
      <c r="I105" s="116"/>
      <c r="J105" s="116">
        <v>10</v>
      </c>
      <c r="K105" s="116">
        <v>50</v>
      </c>
      <c r="L105" s="117"/>
      <c r="M105" s="117">
        <v>0.1</v>
      </c>
      <c r="N105" s="117"/>
      <c r="O105" s="117"/>
      <c r="P105" s="117">
        <v>0.1</v>
      </c>
      <c r="Q105" s="117">
        <v>0.5</v>
      </c>
      <c r="R105" s="118"/>
      <c r="S105" s="118">
        <v>1</v>
      </c>
      <c r="T105" s="118"/>
      <c r="U105" s="118"/>
      <c r="V105" s="118">
        <v>1</v>
      </c>
      <c r="W105" s="118">
        <v>1</v>
      </c>
      <c r="X105" s="52">
        <f t="shared" si="39"/>
        <v>0</v>
      </c>
      <c r="Y105" s="52">
        <f t="shared" si="40"/>
        <v>100</v>
      </c>
      <c r="Z105" s="52">
        <f t="shared" si="41"/>
        <v>0</v>
      </c>
      <c r="AA105" s="52">
        <f t="shared" si="42"/>
        <v>1</v>
      </c>
      <c r="AB105" s="76">
        <f t="shared" si="43"/>
        <v>10</v>
      </c>
      <c r="AC105" s="75">
        <f t="shared" si="44"/>
        <v>0.1</v>
      </c>
      <c r="AD105" s="119">
        <f t="shared" si="45"/>
        <v>100</v>
      </c>
      <c r="AE105" s="52">
        <f t="shared" si="46"/>
        <v>1</v>
      </c>
      <c r="AF105" s="52">
        <f t="shared" si="47"/>
        <v>3</v>
      </c>
      <c r="AG105" s="76">
        <f t="shared" si="48"/>
        <v>23.333333333333332</v>
      </c>
      <c r="AH105" s="75">
        <f t="shared" si="49"/>
        <v>0.23333333333333331</v>
      </c>
      <c r="AI105" s="76">
        <f t="shared" si="50"/>
        <v>100</v>
      </c>
      <c r="AJ105" s="52">
        <f t="shared" si="51"/>
        <v>1</v>
      </c>
      <c r="AK105" s="110"/>
    </row>
    <row r="106" spans="1:37">
      <c r="A106" s="17" t="s">
        <v>535</v>
      </c>
      <c r="B106" s="17" t="s">
        <v>69</v>
      </c>
      <c r="C106" s="115" t="s">
        <v>526</v>
      </c>
      <c r="D106" s="17" t="s">
        <v>536</v>
      </c>
      <c r="E106" s="50" t="s">
        <v>109</v>
      </c>
      <c r="F106" s="116">
        <v>4000</v>
      </c>
      <c r="G106" s="116">
        <v>2000</v>
      </c>
      <c r="H106" s="116">
        <v>600</v>
      </c>
      <c r="I106" s="116">
        <v>2000</v>
      </c>
      <c r="J106" s="116"/>
      <c r="K106" s="116">
        <v>4000</v>
      </c>
      <c r="L106" s="117">
        <v>20</v>
      </c>
      <c r="M106" s="117">
        <v>20</v>
      </c>
      <c r="N106" s="117">
        <v>1</v>
      </c>
      <c r="O106" s="117">
        <v>16</v>
      </c>
      <c r="P106" s="117"/>
      <c r="Q106" s="117">
        <v>20</v>
      </c>
      <c r="R106" s="118">
        <v>1</v>
      </c>
      <c r="S106" s="118">
        <v>2</v>
      </c>
      <c r="T106" s="118">
        <v>1</v>
      </c>
      <c r="U106" s="118">
        <v>1</v>
      </c>
      <c r="V106" s="118"/>
      <c r="W106" s="118">
        <v>1</v>
      </c>
      <c r="X106" s="52">
        <f t="shared" si="39"/>
        <v>200</v>
      </c>
      <c r="Y106" s="52">
        <f t="shared" si="40"/>
        <v>100</v>
      </c>
      <c r="Z106" s="52">
        <f t="shared" si="41"/>
        <v>600</v>
      </c>
      <c r="AA106" s="52">
        <f t="shared" si="42"/>
        <v>3</v>
      </c>
      <c r="AB106" s="76">
        <f t="shared" si="43"/>
        <v>2200</v>
      </c>
      <c r="AC106" s="75">
        <f t="shared" si="44"/>
        <v>13.666666666666666</v>
      </c>
      <c r="AD106" s="119">
        <f t="shared" si="45"/>
        <v>160.97560975609755</v>
      </c>
      <c r="AE106" s="52">
        <f t="shared" si="46"/>
        <v>1</v>
      </c>
      <c r="AF106" s="52">
        <f t="shared" si="47"/>
        <v>5</v>
      </c>
      <c r="AG106" s="76">
        <f t="shared" si="48"/>
        <v>2520</v>
      </c>
      <c r="AH106" s="75">
        <f t="shared" si="49"/>
        <v>15.4</v>
      </c>
      <c r="AI106" s="76">
        <f t="shared" si="50"/>
        <v>163.63636363636363</v>
      </c>
      <c r="AJ106" s="52">
        <f t="shared" si="51"/>
        <v>1</v>
      </c>
      <c r="AK106" s="110"/>
    </row>
    <row r="107" spans="1:37">
      <c r="A107" s="17" t="s">
        <v>538</v>
      </c>
      <c r="B107" s="17" t="s">
        <v>69</v>
      </c>
      <c r="C107" s="115" t="s">
        <v>526</v>
      </c>
      <c r="D107" s="17" t="s">
        <v>539</v>
      </c>
      <c r="E107" s="50" t="s">
        <v>112</v>
      </c>
      <c r="F107" s="116">
        <v>60</v>
      </c>
      <c r="G107" s="116"/>
      <c r="H107" s="116">
        <v>70</v>
      </c>
      <c r="I107" s="116"/>
      <c r="J107" s="116"/>
      <c r="K107" s="116"/>
      <c r="L107" s="117">
        <v>1.7142857142857099E-2</v>
      </c>
      <c r="M107" s="117"/>
      <c r="N107" s="117">
        <v>0.02</v>
      </c>
      <c r="O107" s="117"/>
      <c r="P107" s="117"/>
      <c r="Q107" s="117"/>
      <c r="R107" s="118">
        <v>1</v>
      </c>
      <c r="S107" s="118"/>
      <c r="T107" s="118">
        <v>1</v>
      </c>
      <c r="U107" s="118"/>
      <c r="V107" s="118"/>
      <c r="W107" s="118"/>
      <c r="X107" s="52">
        <f t="shared" si="39"/>
        <v>3500.0000000000091</v>
      </c>
      <c r="Y107" s="52">
        <f t="shared" si="40"/>
        <v>0</v>
      </c>
      <c r="Z107" s="52">
        <f t="shared" si="41"/>
        <v>3500</v>
      </c>
      <c r="AA107" s="52">
        <f t="shared" si="42"/>
        <v>2</v>
      </c>
      <c r="AB107" s="76">
        <f t="shared" si="43"/>
        <v>65</v>
      </c>
      <c r="AC107" s="75">
        <f t="shared" si="44"/>
        <v>1.8571428571428551E-2</v>
      </c>
      <c r="AD107" s="119">
        <f t="shared" si="45"/>
        <v>3500.0000000000036</v>
      </c>
      <c r="AE107" s="52">
        <f t="shared" si="46"/>
        <v>1</v>
      </c>
      <c r="AF107" s="52">
        <f t="shared" si="47"/>
        <v>2</v>
      </c>
      <c r="AG107" s="76">
        <f t="shared" si="48"/>
        <v>65</v>
      </c>
      <c r="AH107" s="75">
        <f t="shared" si="49"/>
        <v>1.8571428571428551E-2</v>
      </c>
      <c r="AI107" s="76">
        <f t="shared" si="50"/>
        <v>3500.0000000000036</v>
      </c>
      <c r="AJ107" s="52">
        <f t="shared" si="51"/>
        <v>1</v>
      </c>
      <c r="AK107" s="110" t="s">
        <v>693</v>
      </c>
    </row>
    <row r="108" spans="1:37">
      <c r="A108" s="17" t="s">
        <v>541</v>
      </c>
      <c r="B108" s="17" t="s">
        <v>69</v>
      </c>
      <c r="C108" s="115" t="s">
        <v>526</v>
      </c>
      <c r="D108" s="17" t="s">
        <v>542</v>
      </c>
      <c r="E108" s="50" t="s">
        <v>112</v>
      </c>
      <c r="F108" s="116">
        <v>100</v>
      </c>
      <c r="G108" s="116">
        <v>5</v>
      </c>
      <c r="H108" s="116">
        <v>30</v>
      </c>
      <c r="I108" s="116">
        <v>45</v>
      </c>
      <c r="J108" s="116">
        <v>10</v>
      </c>
      <c r="K108" s="116">
        <v>50</v>
      </c>
      <c r="L108" s="117">
        <v>0.11111111111111099</v>
      </c>
      <c r="M108" s="117">
        <v>2.5000000000000001E-2</v>
      </c>
      <c r="N108" s="117">
        <v>3.3333333333333298E-2</v>
      </c>
      <c r="O108" s="117">
        <v>0.01</v>
      </c>
      <c r="P108" s="117">
        <v>0.05</v>
      </c>
      <c r="Q108" s="117">
        <v>0.25</v>
      </c>
      <c r="R108" s="118">
        <v>1</v>
      </c>
      <c r="S108" s="118">
        <v>1</v>
      </c>
      <c r="T108" s="118">
        <v>1</v>
      </c>
      <c r="U108" s="118">
        <v>1</v>
      </c>
      <c r="V108" s="118">
        <v>1</v>
      </c>
      <c r="W108" s="118">
        <v>1</v>
      </c>
      <c r="X108" s="52">
        <f t="shared" si="39"/>
        <v>900.00000000000091</v>
      </c>
      <c r="Y108" s="52">
        <f t="shared" si="40"/>
        <v>200</v>
      </c>
      <c r="Z108" s="52">
        <f t="shared" si="41"/>
        <v>900.00000000000091</v>
      </c>
      <c r="AA108" s="52">
        <f t="shared" si="42"/>
        <v>3</v>
      </c>
      <c r="AB108" s="76">
        <f t="shared" si="43"/>
        <v>45</v>
      </c>
      <c r="AC108" s="75">
        <f t="shared" si="44"/>
        <v>5.6481481481481431E-2</v>
      </c>
      <c r="AD108" s="119">
        <f t="shared" si="45"/>
        <v>796.72131147541052</v>
      </c>
      <c r="AE108" s="52">
        <f t="shared" si="46"/>
        <v>1</v>
      </c>
      <c r="AF108" s="52">
        <f t="shared" si="47"/>
        <v>6</v>
      </c>
      <c r="AG108" s="76">
        <f t="shared" si="48"/>
        <v>40</v>
      </c>
      <c r="AH108" s="75">
        <f t="shared" si="49"/>
        <v>7.9907407407407385E-2</v>
      </c>
      <c r="AI108" s="76">
        <f t="shared" si="50"/>
        <v>500.5793742757823</v>
      </c>
      <c r="AJ108" s="52">
        <f t="shared" si="51"/>
        <v>1</v>
      </c>
      <c r="AK108" s="110"/>
    </row>
    <row r="109" spans="1:37">
      <c r="A109" s="17" t="s">
        <v>544</v>
      </c>
      <c r="B109" s="17" t="s">
        <v>69</v>
      </c>
      <c r="C109" s="115" t="s">
        <v>526</v>
      </c>
      <c r="D109" s="17" t="s">
        <v>545</v>
      </c>
      <c r="E109" s="50" t="s">
        <v>117</v>
      </c>
      <c r="F109" s="116">
        <v>300</v>
      </c>
      <c r="G109" s="116">
        <v>500</v>
      </c>
      <c r="H109" s="116">
        <v>300</v>
      </c>
      <c r="I109" s="116">
        <v>500</v>
      </c>
      <c r="J109" s="116">
        <v>650</v>
      </c>
      <c r="K109" s="116">
        <v>800</v>
      </c>
      <c r="L109" s="117">
        <v>0.33333333333333298</v>
      </c>
      <c r="M109" s="117">
        <v>0.25</v>
      </c>
      <c r="N109" s="117">
        <v>1</v>
      </c>
      <c r="O109" s="117">
        <v>0.25</v>
      </c>
      <c r="P109" s="117">
        <v>1</v>
      </c>
      <c r="Q109" s="117">
        <v>1</v>
      </c>
      <c r="R109" s="118">
        <v>1</v>
      </c>
      <c r="S109" s="118">
        <v>1</v>
      </c>
      <c r="T109" s="118">
        <v>1</v>
      </c>
      <c r="U109" s="118">
        <v>1</v>
      </c>
      <c r="V109" s="118">
        <v>1</v>
      </c>
      <c r="W109" s="118">
        <v>1</v>
      </c>
      <c r="X109" s="52">
        <f t="shared" si="39"/>
        <v>900.00000000000091</v>
      </c>
      <c r="Y109" s="52">
        <f t="shared" si="40"/>
        <v>2000</v>
      </c>
      <c r="Z109" s="52">
        <f t="shared" si="41"/>
        <v>300</v>
      </c>
      <c r="AA109" s="52">
        <f t="shared" si="42"/>
        <v>3</v>
      </c>
      <c r="AB109" s="76">
        <f t="shared" si="43"/>
        <v>366.66666666666669</v>
      </c>
      <c r="AC109" s="75">
        <f t="shared" si="44"/>
        <v>0.52777777777777768</v>
      </c>
      <c r="AD109" s="119">
        <f t="shared" si="45"/>
        <v>694.73684210526335</v>
      </c>
      <c r="AE109" s="52">
        <f t="shared" si="46"/>
        <v>1</v>
      </c>
      <c r="AF109" s="52">
        <f t="shared" si="47"/>
        <v>6</v>
      </c>
      <c r="AG109" s="76">
        <f t="shared" si="48"/>
        <v>508.33333333333331</v>
      </c>
      <c r="AH109" s="75">
        <f t="shared" si="49"/>
        <v>0.63888888888888884</v>
      </c>
      <c r="AI109" s="76">
        <f t="shared" si="50"/>
        <v>795.6521739130435</v>
      </c>
      <c r="AJ109" s="52">
        <f t="shared" si="51"/>
        <v>1</v>
      </c>
      <c r="AK109" s="110"/>
    </row>
    <row r="110" spans="1:37">
      <c r="A110" s="17" t="s">
        <v>547</v>
      </c>
      <c r="B110" s="17" t="s">
        <v>69</v>
      </c>
      <c r="C110" s="115" t="s">
        <v>550</v>
      </c>
      <c r="D110" s="17" t="s">
        <v>548</v>
      </c>
      <c r="E110" s="50" t="s">
        <v>202</v>
      </c>
      <c r="F110" s="116">
        <v>20</v>
      </c>
      <c r="G110" s="116">
        <v>20</v>
      </c>
      <c r="H110" s="116">
        <v>20</v>
      </c>
      <c r="I110" s="116">
        <v>20</v>
      </c>
      <c r="J110" s="116">
        <v>20</v>
      </c>
      <c r="K110" s="116">
        <v>30</v>
      </c>
      <c r="L110" s="117">
        <v>2.2222222222222201E-3</v>
      </c>
      <c r="M110" s="117">
        <v>0.01</v>
      </c>
      <c r="N110" s="117">
        <v>2.3809523809523799E-3</v>
      </c>
      <c r="O110" s="117">
        <v>2.3809523809523799E-3</v>
      </c>
      <c r="P110" s="117">
        <v>0.01</v>
      </c>
      <c r="Q110" s="117">
        <v>0.01</v>
      </c>
      <c r="R110" s="118">
        <v>1</v>
      </c>
      <c r="S110" s="118">
        <v>1</v>
      </c>
      <c r="T110" s="118">
        <v>1</v>
      </c>
      <c r="U110" s="118">
        <v>1</v>
      </c>
      <c r="V110" s="118">
        <v>1</v>
      </c>
      <c r="W110" s="118">
        <v>1</v>
      </c>
      <c r="X110" s="52">
        <f t="shared" si="39"/>
        <v>9000.0000000000091</v>
      </c>
      <c r="Y110" s="52">
        <f t="shared" si="40"/>
        <v>2000</v>
      </c>
      <c r="Z110" s="52">
        <f t="shared" si="41"/>
        <v>8400.0000000000036</v>
      </c>
      <c r="AA110" s="52">
        <f t="shared" si="42"/>
        <v>3</v>
      </c>
      <c r="AB110" s="76">
        <f t="shared" si="43"/>
        <v>20</v>
      </c>
      <c r="AC110" s="75">
        <f t="shared" si="44"/>
        <v>4.8677248677248671E-3</v>
      </c>
      <c r="AD110" s="119">
        <f t="shared" si="45"/>
        <v>4108.6956521739139</v>
      </c>
      <c r="AE110" s="52">
        <f t="shared" si="46"/>
        <v>1</v>
      </c>
      <c r="AF110" s="52">
        <f t="shared" si="47"/>
        <v>6</v>
      </c>
      <c r="AG110" s="76">
        <f t="shared" si="48"/>
        <v>21.666666666666668</v>
      </c>
      <c r="AH110" s="75">
        <f t="shared" si="49"/>
        <v>6.1640211640211634E-3</v>
      </c>
      <c r="AI110" s="76">
        <f t="shared" si="50"/>
        <v>3515.0214592274683</v>
      </c>
      <c r="AJ110" s="52">
        <f t="shared" si="51"/>
        <v>1</v>
      </c>
      <c r="AK110" s="110"/>
    </row>
    <row r="111" spans="1:37">
      <c r="A111" s="17" t="s">
        <v>551</v>
      </c>
      <c r="B111" s="17" t="s">
        <v>69</v>
      </c>
      <c r="C111" s="115" t="s">
        <v>550</v>
      </c>
      <c r="D111" s="17" t="s">
        <v>552</v>
      </c>
      <c r="E111" s="50" t="s">
        <v>202</v>
      </c>
      <c r="F111" s="116">
        <v>25</v>
      </c>
      <c r="G111" s="116"/>
      <c r="H111" s="116"/>
      <c r="I111" s="116"/>
      <c r="J111" s="116"/>
      <c r="K111" s="116"/>
      <c r="L111" s="117">
        <v>1.2500000000000001E-2</v>
      </c>
      <c r="M111" s="117"/>
      <c r="N111" s="117"/>
      <c r="O111" s="117"/>
      <c r="P111" s="117"/>
      <c r="Q111" s="117"/>
      <c r="R111" s="118">
        <v>1</v>
      </c>
      <c r="S111" s="118"/>
      <c r="T111" s="118"/>
      <c r="U111" s="118"/>
      <c r="V111" s="118"/>
      <c r="W111" s="118"/>
      <c r="X111" s="52">
        <f t="shared" si="39"/>
        <v>2000</v>
      </c>
      <c r="Y111" s="52">
        <f t="shared" si="40"/>
        <v>0</v>
      </c>
      <c r="Z111" s="52">
        <f t="shared" si="41"/>
        <v>0</v>
      </c>
      <c r="AA111" s="52">
        <f t="shared" si="42"/>
        <v>1</v>
      </c>
      <c r="AB111" s="76">
        <f t="shared" si="43"/>
        <v>25</v>
      </c>
      <c r="AC111" s="75">
        <f t="shared" si="44"/>
        <v>1.2500000000000001E-2</v>
      </c>
      <c r="AD111" s="119">
        <f t="shared" si="45"/>
        <v>2000</v>
      </c>
      <c r="AE111" s="52">
        <f t="shared" si="46"/>
        <v>1</v>
      </c>
      <c r="AF111" s="52">
        <f t="shared" si="47"/>
        <v>1</v>
      </c>
      <c r="AG111" s="76">
        <f t="shared" si="48"/>
        <v>25</v>
      </c>
      <c r="AH111" s="75">
        <f t="shared" si="49"/>
        <v>1.2500000000000001E-2</v>
      </c>
      <c r="AI111" s="76">
        <f t="shared" si="50"/>
        <v>2000</v>
      </c>
      <c r="AJ111" s="52">
        <f t="shared" si="51"/>
        <v>1</v>
      </c>
      <c r="AK111" s="110"/>
    </row>
    <row r="112" spans="1:37">
      <c r="A112" s="17" t="s">
        <v>554</v>
      </c>
      <c r="B112" s="17" t="s">
        <v>69</v>
      </c>
      <c r="C112" s="115" t="s">
        <v>550</v>
      </c>
      <c r="D112" s="17" t="s">
        <v>555</v>
      </c>
      <c r="E112" s="50" t="s">
        <v>277</v>
      </c>
      <c r="F112" s="116"/>
      <c r="G112" s="116"/>
      <c r="H112" s="116"/>
      <c r="I112" s="116"/>
      <c r="J112" s="116"/>
      <c r="K112" s="116">
        <v>250</v>
      </c>
      <c r="L112" s="117"/>
      <c r="M112" s="117"/>
      <c r="N112" s="117"/>
      <c r="O112" s="117"/>
      <c r="P112" s="117"/>
      <c r="Q112" s="117">
        <v>1</v>
      </c>
      <c r="R112" s="118"/>
      <c r="S112" s="118"/>
      <c r="T112" s="118"/>
      <c r="U112" s="118"/>
      <c r="V112" s="118"/>
      <c r="W112" s="118">
        <v>3</v>
      </c>
      <c r="X112" s="52">
        <f t="shared" si="39"/>
        <v>0</v>
      </c>
      <c r="Y112" s="52">
        <f t="shared" si="40"/>
        <v>0</v>
      </c>
      <c r="Z112" s="52">
        <f t="shared" si="41"/>
        <v>0</v>
      </c>
      <c r="AA112" s="52">
        <f t="shared" si="42"/>
        <v>0</v>
      </c>
      <c r="AB112" s="76">
        <f t="shared" si="43"/>
        <v>0</v>
      </c>
      <c r="AC112" s="75">
        <f t="shared" si="44"/>
        <v>0</v>
      </c>
      <c r="AD112" s="119">
        <f t="shared" si="45"/>
        <v>0</v>
      </c>
      <c r="AE112" s="52">
        <f t="shared" si="46"/>
        <v>1</v>
      </c>
      <c r="AF112" s="52">
        <f t="shared" si="47"/>
        <v>1</v>
      </c>
      <c r="AG112" s="76">
        <f t="shared" si="48"/>
        <v>250</v>
      </c>
      <c r="AH112" s="75">
        <f t="shared" si="49"/>
        <v>1</v>
      </c>
      <c r="AI112" s="76">
        <f t="shared" si="50"/>
        <v>250</v>
      </c>
      <c r="AJ112" s="52">
        <f t="shared" si="51"/>
        <v>3</v>
      </c>
      <c r="AK112" s="110"/>
    </row>
    <row r="113" spans="1:37">
      <c r="A113" s="17" t="s">
        <v>557</v>
      </c>
      <c r="B113" s="17" t="s">
        <v>69</v>
      </c>
      <c r="C113" s="115" t="s">
        <v>550</v>
      </c>
      <c r="D113" s="17" t="s">
        <v>558</v>
      </c>
      <c r="E113" s="50" t="s">
        <v>277</v>
      </c>
      <c r="F113" s="116"/>
      <c r="G113" s="116"/>
      <c r="H113" s="116"/>
      <c r="I113" s="116"/>
      <c r="J113" s="116"/>
      <c r="K113" s="116">
        <v>200</v>
      </c>
      <c r="L113" s="117"/>
      <c r="M113" s="117"/>
      <c r="N113" s="117"/>
      <c r="O113" s="117"/>
      <c r="P113" s="117"/>
      <c r="Q113" s="117">
        <v>1</v>
      </c>
      <c r="R113" s="118"/>
      <c r="S113" s="118"/>
      <c r="T113" s="118"/>
      <c r="U113" s="118"/>
      <c r="V113" s="118"/>
      <c r="W113" s="118">
        <v>2</v>
      </c>
      <c r="X113" s="52">
        <f t="shared" si="39"/>
        <v>0</v>
      </c>
      <c r="Y113" s="52">
        <f t="shared" si="40"/>
        <v>0</v>
      </c>
      <c r="Z113" s="52">
        <f t="shared" si="41"/>
        <v>0</v>
      </c>
      <c r="AA113" s="52">
        <f t="shared" si="42"/>
        <v>0</v>
      </c>
      <c r="AB113" s="76">
        <f t="shared" si="43"/>
        <v>0</v>
      </c>
      <c r="AC113" s="75">
        <f t="shared" si="44"/>
        <v>0</v>
      </c>
      <c r="AD113" s="119">
        <f t="shared" si="45"/>
        <v>0</v>
      </c>
      <c r="AE113" s="52">
        <f t="shared" si="46"/>
        <v>1</v>
      </c>
      <c r="AF113" s="52">
        <f t="shared" si="47"/>
        <v>1</v>
      </c>
      <c r="AG113" s="76">
        <f t="shared" si="48"/>
        <v>200</v>
      </c>
      <c r="AH113" s="75">
        <f t="shared" si="49"/>
        <v>1</v>
      </c>
      <c r="AI113" s="76">
        <f t="shared" si="50"/>
        <v>200</v>
      </c>
      <c r="AJ113" s="52">
        <f t="shared" si="51"/>
        <v>2</v>
      </c>
      <c r="AK113" s="110"/>
    </row>
    <row r="114" spans="1:37">
      <c r="A114" s="17" t="s">
        <v>560</v>
      </c>
      <c r="B114" s="17" t="s">
        <v>69</v>
      </c>
      <c r="C114" s="115" t="s">
        <v>563</v>
      </c>
      <c r="D114" s="17" t="s">
        <v>561</v>
      </c>
      <c r="E114" s="50" t="s">
        <v>117</v>
      </c>
      <c r="F114" s="116">
        <v>70</v>
      </c>
      <c r="G114" s="116">
        <v>80</v>
      </c>
      <c r="H114" s="116">
        <v>50</v>
      </c>
      <c r="I114" s="116">
        <v>80</v>
      </c>
      <c r="J114" s="116">
        <v>80</v>
      </c>
      <c r="K114" s="116">
        <v>150</v>
      </c>
      <c r="L114" s="117">
        <v>3.8888888888888901E-3</v>
      </c>
      <c r="M114" s="117">
        <v>2.5000000000000001E-2</v>
      </c>
      <c r="N114" s="117">
        <v>2.7777777777777801E-3</v>
      </c>
      <c r="O114" s="117">
        <v>4.1666666666666701E-3</v>
      </c>
      <c r="P114" s="117">
        <v>2.5000000000000001E-2</v>
      </c>
      <c r="Q114" s="117">
        <v>4.5454545454545497E-2</v>
      </c>
      <c r="R114" s="118">
        <v>60</v>
      </c>
      <c r="S114" s="118">
        <v>75</v>
      </c>
      <c r="T114" s="118">
        <v>60</v>
      </c>
      <c r="U114" s="118">
        <v>60</v>
      </c>
      <c r="V114" s="118">
        <v>105</v>
      </c>
      <c r="W114" s="118">
        <v>60</v>
      </c>
      <c r="X114" s="52">
        <f t="shared" si="39"/>
        <v>17999.999999999993</v>
      </c>
      <c r="Y114" s="52">
        <f t="shared" si="40"/>
        <v>3200</v>
      </c>
      <c r="Z114" s="52">
        <f t="shared" si="41"/>
        <v>17999.999999999985</v>
      </c>
      <c r="AA114" s="52">
        <f t="shared" si="42"/>
        <v>3</v>
      </c>
      <c r="AB114" s="76">
        <f t="shared" si="43"/>
        <v>66.666666666666671</v>
      </c>
      <c r="AC114" s="75">
        <f t="shared" si="44"/>
        <v>1.0555555555555556E-2</v>
      </c>
      <c r="AD114" s="119">
        <f t="shared" si="45"/>
        <v>6315.7894736842109</v>
      </c>
      <c r="AE114" s="52">
        <f t="shared" si="46"/>
        <v>65</v>
      </c>
      <c r="AF114" s="52">
        <f t="shared" si="47"/>
        <v>6</v>
      </c>
      <c r="AG114" s="76">
        <f t="shared" si="48"/>
        <v>85</v>
      </c>
      <c r="AH114" s="75">
        <f t="shared" si="49"/>
        <v>1.7714646464646475E-2</v>
      </c>
      <c r="AI114" s="76">
        <f t="shared" si="50"/>
        <v>4798.2893799002113</v>
      </c>
      <c r="AJ114" s="52">
        <f t="shared" si="51"/>
        <v>70</v>
      </c>
      <c r="AK114" s="110"/>
    </row>
    <row r="115" spans="1:37">
      <c r="A115" s="17" t="s">
        <v>564</v>
      </c>
      <c r="B115" s="17" t="s">
        <v>69</v>
      </c>
      <c r="C115" s="115" t="s">
        <v>563</v>
      </c>
      <c r="D115" s="17" t="s">
        <v>565</v>
      </c>
      <c r="E115" s="50" t="s">
        <v>117</v>
      </c>
      <c r="F115" s="116"/>
      <c r="G115" s="116">
        <v>50</v>
      </c>
      <c r="H115" s="116"/>
      <c r="I115" s="116"/>
      <c r="J115" s="116">
        <v>100</v>
      </c>
      <c r="K115" s="116"/>
      <c r="L115" s="117"/>
      <c r="M115" s="117">
        <v>0.5</v>
      </c>
      <c r="N115" s="117"/>
      <c r="O115" s="117"/>
      <c r="P115" s="117">
        <v>1</v>
      </c>
      <c r="Q115" s="117"/>
      <c r="R115" s="118"/>
      <c r="S115" s="118">
        <v>1</v>
      </c>
      <c r="T115" s="118"/>
      <c r="U115" s="118"/>
      <c r="V115" s="118">
        <v>1</v>
      </c>
      <c r="W115" s="118"/>
      <c r="X115" s="52">
        <f t="shared" si="39"/>
        <v>0</v>
      </c>
      <c r="Y115" s="52">
        <f t="shared" si="40"/>
        <v>100</v>
      </c>
      <c r="Z115" s="52">
        <f t="shared" si="41"/>
        <v>0</v>
      </c>
      <c r="AA115" s="52">
        <f t="shared" si="42"/>
        <v>1</v>
      </c>
      <c r="AB115" s="76">
        <f t="shared" si="43"/>
        <v>50</v>
      </c>
      <c r="AC115" s="75">
        <f t="shared" si="44"/>
        <v>0.5</v>
      </c>
      <c r="AD115" s="119">
        <f t="shared" si="45"/>
        <v>100</v>
      </c>
      <c r="AE115" s="52">
        <f t="shared" si="46"/>
        <v>1</v>
      </c>
      <c r="AF115" s="52">
        <f t="shared" si="47"/>
        <v>2</v>
      </c>
      <c r="AG115" s="76">
        <f t="shared" si="48"/>
        <v>75</v>
      </c>
      <c r="AH115" s="75">
        <f t="shared" si="49"/>
        <v>0.75</v>
      </c>
      <c r="AI115" s="76">
        <f t="shared" si="50"/>
        <v>100</v>
      </c>
      <c r="AJ115" s="52">
        <f t="shared" si="51"/>
        <v>1</v>
      </c>
      <c r="AK115" s="110"/>
    </row>
    <row r="116" spans="1:37">
      <c r="A116" s="17" t="s">
        <v>567</v>
      </c>
      <c r="B116" s="17" t="s">
        <v>69</v>
      </c>
      <c r="C116" s="115" t="s">
        <v>563</v>
      </c>
      <c r="D116" s="17" t="s">
        <v>568</v>
      </c>
      <c r="E116" s="50" t="s">
        <v>117</v>
      </c>
      <c r="F116" s="116">
        <v>70</v>
      </c>
      <c r="G116" s="116">
        <v>70</v>
      </c>
      <c r="H116" s="116">
        <v>100</v>
      </c>
      <c r="I116" s="116">
        <v>100</v>
      </c>
      <c r="J116" s="116">
        <v>70</v>
      </c>
      <c r="K116" s="116">
        <v>70</v>
      </c>
      <c r="L116" s="117">
        <v>5.83333333333333E-2</v>
      </c>
      <c r="M116" s="117">
        <v>0.33333333333333298</v>
      </c>
      <c r="N116" s="117">
        <v>8.3333333333333301E-2</v>
      </c>
      <c r="O116" s="117">
        <v>8.3333333333333301E-2</v>
      </c>
      <c r="P116" s="117">
        <v>0.33333333333333298</v>
      </c>
      <c r="Q116" s="117">
        <v>0.33333333333333298</v>
      </c>
      <c r="R116" s="118">
        <v>3</v>
      </c>
      <c r="S116" s="118">
        <v>3</v>
      </c>
      <c r="T116" s="118">
        <v>3</v>
      </c>
      <c r="U116" s="118">
        <v>3</v>
      </c>
      <c r="V116" s="118">
        <v>3</v>
      </c>
      <c r="W116" s="118">
        <v>3</v>
      </c>
      <c r="X116" s="52">
        <f t="shared" si="39"/>
        <v>1200.0000000000007</v>
      </c>
      <c r="Y116" s="52">
        <f t="shared" si="40"/>
        <v>210.00000000000023</v>
      </c>
      <c r="Z116" s="52">
        <f t="shared" si="41"/>
        <v>1200.0000000000005</v>
      </c>
      <c r="AA116" s="52">
        <f t="shared" si="42"/>
        <v>3</v>
      </c>
      <c r="AB116" s="76">
        <f t="shared" si="43"/>
        <v>80</v>
      </c>
      <c r="AC116" s="75">
        <f t="shared" si="44"/>
        <v>0.15833333333333319</v>
      </c>
      <c r="AD116" s="119">
        <f t="shared" si="45"/>
        <v>505.26315789473733</v>
      </c>
      <c r="AE116" s="52">
        <f t="shared" si="46"/>
        <v>3</v>
      </c>
      <c r="AF116" s="52">
        <f t="shared" si="47"/>
        <v>6</v>
      </c>
      <c r="AG116" s="76">
        <f t="shared" si="48"/>
        <v>80</v>
      </c>
      <c r="AH116" s="75">
        <f t="shared" si="49"/>
        <v>0.2041666666666665</v>
      </c>
      <c r="AI116" s="76">
        <f t="shared" si="50"/>
        <v>391.83673469387787</v>
      </c>
      <c r="AJ116" s="52">
        <f t="shared" si="51"/>
        <v>3</v>
      </c>
      <c r="AK116" s="110"/>
    </row>
    <row r="117" spans="1:37">
      <c r="A117" s="17" t="s">
        <v>570</v>
      </c>
      <c r="B117" s="17" t="s">
        <v>69</v>
      </c>
      <c r="C117" s="115" t="s">
        <v>563</v>
      </c>
      <c r="D117" s="17" t="s">
        <v>571</v>
      </c>
      <c r="E117" s="50" t="s">
        <v>117</v>
      </c>
      <c r="F117" s="116">
        <v>40</v>
      </c>
      <c r="G117" s="116">
        <v>25</v>
      </c>
      <c r="H117" s="116">
        <v>30</v>
      </c>
      <c r="I117" s="116"/>
      <c r="J117" s="116"/>
      <c r="K117" s="116"/>
      <c r="L117" s="117">
        <v>6.6666666666666693E-2</v>
      </c>
      <c r="M117" s="117">
        <v>0.1</v>
      </c>
      <c r="N117" s="117">
        <v>0.05</v>
      </c>
      <c r="O117" s="117"/>
      <c r="P117" s="117"/>
      <c r="Q117" s="117"/>
      <c r="R117" s="118">
        <v>2</v>
      </c>
      <c r="S117" s="118">
        <v>5</v>
      </c>
      <c r="T117" s="118">
        <v>1</v>
      </c>
      <c r="U117" s="118"/>
      <c r="V117" s="118"/>
      <c r="W117" s="118"/>
      <c r="X117" s="52">
        <f t="shared" si="39"/>
        <v>599.99999999999977</v>
      </c>
      <c r="Y117" s="52">
        <f t="shared" si="40"/>
        <v>250</v>
      </c>
      <c r="Z117" s="52">
        <f t="shared" si="41"/>
        <v>600</v>
      </c>
      <c r="AA117" s="52">
        <f t="shared" si="42"/>
        <v>3</v>
      </c>
      <c r="AB117" s="76">
        <f t="shared" si="43"/>
        <v>31.666666666666668</v>
      </c>
      <c r="AC117" s="75">
        <f t="shared" si="44"/>
        <v>7.2222222222222229E-2</v>
      </c>
      <c r="AD117" s="119">
        <f t="shared" si="45"/>
        <v>438.46153846153845</v>
      </c>
      <c r="AE117" s="52">
        <f t="shared" si="46"/>
        <v>3</v>
      </c>
      <c r="AF117" s="52">
        <f t="shared" si="47"/>
        <v>3</v>
      </c>
      <c r="AG117" s="76">
        <f t="shared" si="48"/>
        <v>31.666666666666668</v>
      </c>
      <c r="AH117" s="75">
        <f t="shared" si="49"/>
        <v>7.2222222222222229E-2</v>
      </c>
      <c r="AI117" s="76">
        <f t="shared" si="50"/>
        <v>438.46153846153845</v>
      </c>
      <c r="AJ117" s="52">
        <f t="shared" si="51"/>
        <v>3</v>
      </c>
      <c r="AK117" s="110" t="s">
        <v>691</v>
      </c>
    </row>
    <row r="118" spans="1:37">
      <c r="A118" s="17" t="s">
        <v>573</v>
      </c>
      <c r="B118" s="17" t="s">
        <v>69</v>
      </c>
      <c r="C118" s="115" t="s">
        <v>563</v>
      </c>
      <c r="D118" s="17" t="s">
        <v>574</v>
      </c>
      <c r="E118" s="50" t="s">
        <v>117</v>
      </c>
      <c r="F118" s="116">
        <v>100</v>
      </c>
      <c r="G118" s="116">
        <v>300</v>
      </c>
      <c r="H118" s="116">
        <v>200</v>
      </c>
      <c r="I118" s="116">
        <v>150</v>
      </c>
      <c r="J118" s="116">
        <v>300</v>
      </c>
      <c r="K118" s="116">
        <v>300</v>
      </c>
      <c r="L118" s="117">
        <v>3.3333333333333298E-2</v>
      </c>
      <c r="M118" s="117">
        <v>0.1</v>
      </c>
      <c r="N118" s="117">
        <v>6.6666666666666693E-2</v>
      </c>
      <c r="O118" s="117">
        <v>0.05</v>
      </c>
      <c r="P118" s="117">
        <v>0.1</v>
      </c>
      <c r="Q118" s="117">
        <v>0.1</v>
      </c>
      <c r="R118" s="118">
        <v>1</v>
      </c>
      <c r="S118" s="118">
        <v>1</v>
      </c>
      <c r="T118" s="118">
        <v>1</v>
      </c>
      <c r="U118" s="118">
        <v>1</v>
      </c>
      <c r="V118" s="118">
        <v>1</v>
      </c>
      <c r="W118" s="118">
        <v>1</v>
      </c>
      <c r="X118" s="52">
        <f t="shared" si="39"/>
        <v>3000.0000000000032</v>
      </c>
      <c r="Y118" s="52">
        <f t="shared" si="40"/>
        <v>3000</v>
      </c>
      <c r="Z118" s="52">
        <f t="shared" si="41"/>
        <v>2999.9999999999986</v>
      </c>
      <c r="AA118" s="52">
        <f t="shared" si="42"/>
        <v>3</v>
      </c>
      <c r="AB118" s="76">
        <f t="shared" si="43"/>
        <v>200</v>
      </c>
      <c r="AC118" s="75">
        <f t="shared" si="44"/>
        <v>6.6666666666666666E-2</v>
      </c>
      <c r="AD118" s="119">
        <f t="shared" si="45"/>
        <v>3000</v>
      </c>
      <c r="AE118" s="52">
        <f t="shared" si="46"/>
        <v>1</v>
      </c>
      <c r="AF118" s="52">
        <f t="shared" si="47"/>
        <v>6</v>
      </c>
      <c r="AG118" s="76">
        <f t="shared" si="48"/>
        <v>225</v>
      </c>
      <c r="AH118" s="75">
        <f t="shared" si="49"/>
        <v>7.4999999999999997E-2</v>
      </c>
      <c r="AI118" s="76">
        <f t="shared" si="50"/>
        <v>3000</v>
      </c>
      <c r="AJ118" s="52">
        <f t="shared" si="51"/>
        <v>1</v>
      </c>
      <c r="AK118" s="110"/>
    </row>
    <row r="119" spans="1:37">
      <c r="A119" s="17" t="s">
        <v>576</v>
      </c>
      <c r="B119" s="17" t="s">
        <v>69</v>
      </c>
      <c r="C119" s="115" t="s">
        <v>579</v>
      </c>
      <c r="D119" s="17" t="s">
        <v>577</v>
      </c>
      <c r="E119" s="50" t="s">
        <v>522</v>
      </c>
      <c r="F119" s="116">
        <v>30</v>
      </c>
      <c r="G119" s="116">
        <v>30</v>
      </c>
      <c r="H119" s="116">
        <v>30</v>
      </c>
      <c r="I119" s="116">
        <v>40</v>
      </c>
      <c r="J119" s="116">
        <v>40</v>
      </c>
      <c r="K119" s="116">
        <v>50</v>
      </c>
      <c r="L119" s="117">
        <v>0.03</v>
      </c>
      <c r="M119" s="117">
        <v>0.1</v>
      </c>
      <c r="N119" s="117">
        <v>0.03</v>
      </c>
      <c r="O119" s="117">
        <v>0.02</v>
      </c>
      <c r="P119" s="117">
        <v>0.1</v>
      </c>
      <c r="Q119" s="117">
        <v>0.1</v>
      </c>
      <c r="R119" s="118">
        <v>1</v>
      </c>
      <c r="S119" s="118">
        <v>1</v>
      </c>
      <c r="T119" s="118">
        <v>1</v>
      </c>
      <c r="U119" s="118">
        <v>1</v>
      </c>
      <c r="V119" s="118">
        <v>1</v>
      </c>
      <c r="W119" s="118">
        <v>1</v>
      </c>
      <c r="X119" s="52">
        <f t="shared" si="39"/>
        <v>1000</v>
      </c>
      <c r="Y119" s="52">
        <f t="shared" si="40"/>
        <v>300</v>
      </c>
      <c r="Z119" s="52">
        <f t="shared" si="41"/>
        <v>1000</v>
      </c>
      <c r="AA119" s="52">
        <f t="shared" si="42"/>
        <v>3</v>
      </c>
      <c r="AB119" s="76">
        <f t="shared" si="43"/>
        <v>30</v>
      </c>
      <c r="AC119" s="75">
        <f t="shared" si="44"/>
        <v>5.3333333333333337E-2</v>
      </c>
      <c r="AD119" s="119">
        <f t="shared" si="45"/>
        <v>562.5</v>
      </c>
      <c r="AE119" s="52">
        <f t="shared" si="46"/>
        <v>1</v>
      </c>
      <c r="AF119" s="52">
        <f t="shared" si="47"/>
        <v>6</v>
      </c>
      <c r="AG119" s="76">
        <f t="shared" si="48"/>
        <v>36.666666666666664</v>
      </c>
      <c r="AH119" s="75">
        <f t="shared" si="49"/>
        <v>6.3333333333333339E-2</v>
      </c>
      <c r="AI119" s="76">
        <f t="shared" si="50"/>
        <v>578.9473684210526</v>
      </c>
      <c r="AJ119" s="52">
        <f t="shared" si="51"/>
        <v>1</v>
      </c>
      <c r="AK119" s="110"/>
    </row>
    <row r="120" spans="1:37">
      <c r="A120" s="17" t="s">
        <v>580</v>
      </c>
      <c r="B120" s="17" t="s">
        <v>69</v>
      </c>
      <c r="C120" s="115" t="s">
        <v>579</v>
      </c>
      <c r="D120" s="17" t="s">
        <v>581</v>
      </c>
      <c r="E120" s="50" t="s">
        <v>522</v>
      </c>
      <c r="F120" s="116"/>
      <c r="G120" s="116"/>
      <c r="H120" s="116">
        <v>400</v>
      </c>
      <c r="I120" s="116">
        <v>100</v>
      </c>
      <c r="J120" s="116"/>
      <c r="K120" s="116"/>
      <c r="L120" s="117"/>
      <c r="M120" s="117"/>
      <c r="N120" s="117">
        <v>0.25</v>
      </c>
      <c r="O120" s="117">
        <v>0.04</v>
      </c>
      <c r="P120" s="117"/>
      <c r="Q120" s="117"/>
      <c r="R120" s="118"/>
      <c r="S120" s="118"/>
      <c r="T120" s="118">
        <v>1</v>
      </c>
      <c r="U120" s="118">
        <v>1</v>
      </c>
      <c r="V120" s="118"/>
      <c r="W120" s="118"/>
      <c r="X120" s="52">
        <f t="shared" si="39"/>
        <v>0</v>
      </c>
      <c r="Y120" s="52">
        <f t="shared" si="40"/>
        <v>0</v>
      </c>
      <c r="Z120" s="52">
        <f t="shared" si="41"/>
        <v>1600</v>
      </c>
      <c r="AA120" s="52">
        <f t="shared" si="42"/>
        <v>1</v>
      </c>
      <c r="AB120" s="76">
        <f t="shared" si="43"/>
        <v>400</v>
      </c>
      <c r="AC120" s="75">
        <f t="shared" si="44"/>
        <v>0.25</v>
      </c>
      <c r="AD120" s="119">
        <f t="shared" si="45"/>
        <v>1600</v>
      </c>
      <c r="AE120" s="52">
        <f t="shared" si="46"/>
        <v>1</v>
      </c>
      <c r="AF120" s="52">
        <f t="shared" si="47"/>
        <v>2</v>
      </c>
      <c r="AG120" s="76">
        <f t="shared" si="48"/>
        <v>250</v>
      </c>
      <c r="AH120" s="75">
        <f t="shared" si="49"/>
        <v>0.14499999999999999</v>
      </c>
      <c r="AI120" s="76">
        <f t="shared" si="50"/>
        <v>1724.1379310344828</v>
      </c>
      <c r="AJ120" s="52">
        <f t="shared" si="51"/>
        <v>1</v>
      </c>
      <c r="AK120" s="110"/>
    </row>
    <row r="121" spans="1:37">
      <c r="A121" s="17" t="s">
        <v>585</v>
      </c>
      <c r="B121" s="17" t="s">
        <v>69</v>
      </c>
      <c r="C121" s="115" t="s">
        <v>579</v>
      </c>
      <c r="D121" s="17" t="s">
        <v>586</v>
      </c>
      <c r="E121" s="50" t="s">
        <v>522</v>
      </c>
      <c r="F121" s="116">
        <v>60</v>
      </c>
      <c r="G121" s="116">
        <v>60</v>
      </c>
      <c r="H121" s="116">
        <v>60</v>
      </c>
      <c r="I121" s="116">
        <v>60</v>
      </c>
      <c r="J121" s="116">
        <v>60</v>
      </c>
      <c r="K121" s="116">
        <v>40</v>
      </c>
      <c r="L121" s="117">
        <v>0.02</v>
      </c>
      <c r="M121" s="117">
        <v>0.1</v>
      </c>
      <c r="N121" s="117">
        <v>0.02</v>
      </c>
      <c r="O121" s="117">
        <v>0.02</v>
      </c>
      <c r="P121" s="117">
        <v>0.1</v>
      </c>
      <c r="Q121" s="117">
        <v>0.1</v>
      </c>
      <c r="R121" s="118">
        <v>1</v>
      </c>
      <c r="S121" s="118">
        <v>1</v>
      </c>
      <c r="T121" s="118">
        <v>1</v>
      </c>
      <c r="U121" s="118">
        <v>1</v>
      </c>
      <c r="V121" s="118">
        <v>1</v>
      </c>
      <c r="W121" s="118">
        <v>1</v>
      </c>
      <c r="X121" s="52">
        <f t="shared" si="39"/>
        <v>3000</v>
      </c>
      <c r="Y121" s="52">
        <f t="shared" si="40"/>
        <v>600</v>
      </c>
      <c r="Z121" s="52">
        <f t="shared" si="41"/>
        <v>3000</v>
      </c>
      <c r="AA121" s="52">
        <f t="shared" si="42"/>
        <v>3</v>
      </c>
      <c r="AB121" s="76">
        <f t="shared" si="43"/>
        <v>60</v>
      </c>
      <c r="AC121" s="75">
        <f t="shared" si="44"/>
        <v>4.6666666666666669E-2</v>
      </c>
      <c r="AD121" s="119">
        <f t="shared" si="45"/>
        <v>1285.7142857142856</v>
      </c>
      <c r="AE121" s="52">
        <f t="shared" si="46"/>
        <v>1</v>
      </c>
      <c r="AF121" s="52">
        <f t="shared" si="47"/>
        <v>6</v>
      </c>
      <c r="AG121" s="76">
        <f t="shared" si="48"/>
        <v>56.666666666666664</v>
      </c>
      <c r="AH121" s="75">
        <f t="shared" si="49"/>
        <v>0.06</v>
      </c>
      <c r="AI121" s="76">
        <f t="shared" si="50"/>
        <v>944.44444444444446</v>
      </c>
      <c r="AJ121" s="52">
        <f t="shared" si="51"/>
        <v>1</v>
      </c>
      <c r="AK121" s="110"/>
    </row>
    <row r="122" spans="1:37">
      <c r="A122" s="17" t="s">
        <v>590</v>
      </c>
      <c r="B122" s="17" t="s">
        <v>69</v>
      </c>
      <c r="C122" s="115" t="s">
        <v>579</v>
      </c>
      <c r="D122" s="17" t="s">
        <v>591</v>
      </c>
      <c r="E122" s="50" t="s">
        <v>522</v>
      </c>
      <c r="F122" s="116">
        <v>400</v>
      </c>
      <c r="G122" s="116">
        <v>300</v>
      </c>
      <c r="H122" s="116">
        <v>400</v>
      </c>
      <c r="I122" s="116">
        <v>200</v>
      </c>
      <c r="J122" s="116">
        <v>300</v>
      </c>
      <c r="K122" s="116">
        <v>250</v>
      </c>
      <c r="L122" s="117">
        <v>1.02564102564103E-2</v>
      </c>
      <c r="M122" s="117">
        <v>1.2500000000000001E-2</v>
      </c>
      <c r="N122" s="117">
        <v>1.02564102564103E-2</v>
      </c>
      <c r="O122" s="117">
        <v>5.1282051282051299E-3</v>
      </c>
      <c r="P122" s="117">
        <v>1.2500000000000001E-2</v>
      </c>
      <c r="Q122" s="117">
        <v>0.01</v>
      </c>
      <c r="R122" s="118">
        <v>1</v>
      </c>
      <c r="S122" s="118">
        <v>1</v>
      </c>
      <c r="T122" s="118">
        <v>1</v>
      </c>
      <c r="U122" s="118">
        <v>1</v>
      </c>
      <c r="V122" s="118">
        <v>1</v>
      </c>
      <c r="W122" s="118">
        <v>1</v>
      </c>
      <c r="X122" s="52">
        <f t="shared" si="39"/>
        <v>38999.999999999833</v>
      </c>
      <c r="Y122" s="52">
        <f t="shared" si="40"/>
        <v>24000</v>
      </c>
      <c r="Z122" s="52">
        <f t="shared" si="41"/>
        <v>38999.999999999833</v>
      </c>
      <c r="AA122" s="52">
        <f t="shared" si="42"/>
        <v>3</v>
      </c>
      <c r="AB122" s="76">
        <f t="shared" si="43"/>
        <v>366.66666666666669</v>
      </c>
      <c r="AC122" s="75">
        <f t="shared" si="44"/>
        <v>1.1004273504273535E-2</v>
      </c>
      <c r="AD122" s="119">
        <f t="shared" si="45"/>
        <v>33320.388349514476</v>
      </c>
      <c r="AE122" s="52">
        <f t="shared" si="46"/>
        <v>1</v>
      </c>
      <c r="AF122" s="52">
        <f t="shared" si="47"/>
        <v>6</v>
      </c>
      <c r="AG122" s="76">
        <f t="shared" si="48"/>
        <v>308.33333333333331</v>
      </c>
      <c r="AH122" s="75">
        <f t="shared" si="49"/>
        <v>1.0106837606837624E-2</v>
      </c>
      <c r="AI122" s="76">
        <f t="shared" si="50"/>
        <v>30507.399577166965</v>
      </c>
      <c r="AJ122" s="52">
        <f t="shared" si="51"/>
        <v>1</v>
      </c>
      <c r="AK122" s="110"/>
    </row>
    <row r="123" spans="1:37">
      <c r="A123" s="17" t="s">
        <v>593</v>
      </c>
      <c r="B123" s="17" t="s">
        <v>69</v>
      </c>
      <c r="C123" s="115" t="s">
        <v>579</v>
      </c>
      <c r="D123" s="17" t="s">
        <v>594</v>
      </c>
      <c r="E123" s="50" t="s">
        <v>522</v>
      </c>
      <c r="F123" s="116">
        <v>60</v>
      </c>
      <c r="G123" s="116">
        <v>50</v>
      </c>
      <c r="H123" s="116">
        <v>60</v>
      </c>
      <c r="I123" s="116">
        <v>50</v>
      </c>
      <c r="J123" s="116">
        <v>50</v>
      </c>
      <c r="K123" s="116">
        <v>30</v>
      </c>
      <c r="L123" s="117">
        <v>0.04</v>
      </c>
      <c r="M123" s="117">
        <v>3.3333333333333298E-2</v>
      </c>
      <c r="N123" s="117">
        <v>0.04</v>
      </c>
      <c r="O123" s="117">
        <v>3.3333333333333298E-2</v>
      </c>
      <c r="P123" s="117">
        <v>3.3333333333333298E-2</v>
      </c>
      <c r="Q123" s="117">
        <v>0.02</v>
      </c>
      <c r="R123" s="118">
        <v>1</v>
      </c>
      <c r="S123" s="118">
        <v>1</v>
      </c>
      <c r="T123" s="118">
        <v>1</v>
      </c>
      <c r="U123" s="118">
        <v>1</v>
      </c>
      <c r="V123" s="118">
        <v>1</v>
      </c>
      <c r="W123" s="118">
        <v>1</v>
      </c>
      <c r="X123" s="52">
        <f t="shared" si="39"/>
        <v>1500</v>
      </c>
      <c r="Y123" s="52">
        <f t="shared" si="40"/>
        <v>1500.0000000000016</v>
      </c>
      <c r="Z123" s="52">
        <f t="shared" si="41"/>
        <v>1500</v>
      </c>
      <c r="AA123" s="52">
        <f t="shared" si="42"/>
        <v>3</v>
      </c>
      <c r="AB123" s="76">
        <f t="shared" si="43"/>
        <v>56.666666666666664</v>
      </c>
      <c r="AC123" s="75">
        <f t="shared" si="44"/>
        <v>3.7777777777777771E-2</v>
      </c>
      <c r="AD123" s="119">
        <f t="shared" si="45"/>
        <v>1500.0000000000002</v>
      </c>
      <c r="AE123" s="52">
        <f t="shared" si="46"/>
        <v>1</v>
      </c>
      <c r="AF123" s="52">
        <f t="shared" si="47"/>
        <v>6</v>
      </c>
      <c r="AG123" s="76">
        <f t="shared" si="48"/>
        <v>50</v>
      </c>
      <c r="AH123" s="75">
        <f t="shared" si="49"/>
        <v>3.3333333333333319E-2</v>
      </c>
      <c r="AI123" s="76">
        <f t="shared" si="50"/>
        <v>1500.0000000000007</v>
      </c>
      <c r="AJ123" s="52">
        <f t="shared" si="51"/>
        <v>1</v>
      </c>
      <c r="AK123" s="110"/>
    </row>
    <row r="124" spans="1:37">
      <c r="A124" s="17" t="s">
        <v>596</v>
      </c>
      <c r="B124" s="17" t="s">
        <v>69</v>
      </c>
      <c r="C124" s="115" t="s">
        <v>579</v>
      </c>
      <c r="D124" s="17" t="s">
        <v>597</v>
      </c>
      <c r="E124" s="50" t="s">
        <v>522</v>
      </c>
      <c r="F124" s="116">
        <v>800</v>
      </c>
      <c r="G124" s="116">
        <v>800</v>
      </c>
      <c r="H124" s="116">
        <v>800</v>
      </c>
      <c r="I124" s="116">
        <v>700</v>
      </c>
      <c r="J124" s="116">
        <v>400</v>
      </c>
      <c r="K124" s="116"/>
      <c r="L124" s="117">
        <v>5.6179775280898901E-3</v>
      </c>
      <c r="M124" s="117">
        <v>0.1</v>
      </c>
      <c r="N124" s="117">
        <v>5.6179775280898901E-3</v>
      </c>
      <c r="O124" s="117">
        <v>4.20168067226891E-3</v>
      </c>
      <c r="P124" s="117">
        <v>0.05</v>
      </c>
      <c r="Q124" s="117"/>
      <c r="R124" s="118">
        <v>1</v>
      </c>
      <c r="S124" s="118">
        <v>1</v>
      </c>
      <c r="T124" s="118">
        <v>1</v>
      </c>
      <c r="U124" s="118">
        <v>1</v>
      </c>
      <c r="V124" s="118">
        <v>1</v>
      </c>
      <c r="W124" s="118"/>
      <c r="X124" s="52">
        <f t="shared" si="39"/>
        <v>142399.99999999994</v>
      </c>
      <c r="Y124" s="52">
        <f t="shared" si="40"/>
        <v>8000</v>
      </c>
      <c r="Z124" s="52">
        <f t="shared" si="41"/>
        <v>142399.99999999994</v>
      </c>
      <c r="AA124" s="52">
        <f t="shared" si="42"/>
        <v>3</v>
      </c>
      <c r="AB124" s="76">
        <f t="shared" si="43"/>
        <v>800</v>
      </c>
      <c r="AC124" s="75">
        <f t="shared" si="44"/>
        <v>3.707865168539326E-2</v>
      </c>
      <c r="AD124" s="119">
        <f t="shared" si="45"/>
        <v>21575.757575757576</v>
      </c>
      <c r="AE124" s="52">
        <f t="shared" si="46"/>
        <v>1</v>
      </c>
      <c r="AF124" s="52">
        <f t="shared" si="47"/>
        <v>5</v>
      </c>
      <c r="AG124" s="76">
        <f t="shared" si="48"/>
        <v>700</v>
      </c>
      <c r="AH124" s="75">
        <f t="shared" si="49"/>
        <v>3.3087527145689737E-2</v>
      </c>
      <c r="AI124" s="76">
        <f t="shared" si="50"/>
        <v>21156.008332619924</v>
      </c>
      <c r="AJ124" s="52">
        <f t="shared" si="51"/>
        <v>1</v>
      </c>
      <c r="AK124" s="110"/>
    </row>
    <row r="125" spans="1:37">
      <c r="A125" s="17" t="s">
        <v>599</v>
      </c>
      <c r="B125" s="17" t="s">
        <v>69</v>
      </c>
      <c r="C125" s="115" t="s">
        <v>579</v>
      </c>
      <c r="D125" s="17" t="s">
        <v>600</v>
      </c>
      <c r="E125" s="50" t="s">
        <v>522</v>
      </c>
      <c r="F125" s="116">
        <v>100</v>
      </c>
      <c r="G125" s="116">
        <v>100</v>
      </c>
      <c r="H125" s="116">
        <v>100</v>
      </c>
      <c r="I125" s="116">
        <v>100</v>
      </c>
      <c r="J125" s="116">
        <v>100</v>
      </c>
      <c r="K125" s="116">
        <v>100</v>
      </c>
      <c r="L125" s="117">
        <v>0.1</v>
      </c>
      <c r="M125" s="117">
        <v>0.1</v>
      </c>
      <c r="N125" s="117">
        <v>0.1</v>
      </c>
      <c r="O125" s="117">
        <v>0.1</v>
      </c>
      <c r="P125" s="117">
        <v>0.1</v>
      </c>
      <c r="Q125" s="117">
        <v>0.1</v>
      </c>
      <c r="R125" s="118">
        <v>1</v>
      </c>
      <c r="S125" s="118">
        <v>1</v>
      </c>
      <c r="T125" s="118">
        <v>1</v>
      </c>
      <c r="U125" s="118">
        <v>1</v>
      </c>
      <c r="V125" s="118">
        <v>1</v>
      </c>
      <c r="W125" s="118">
        <v>1</v>
      </c>
      <c r="X125" s="52">
        <f t="shared" si="39"/>
        <v>1000</v>
      </c>
      <c r="Y125" s="52">
        <f t="shared" si="40"/>
        <v>1000</v>
      </c>
      <c r="Z125" s="52">
        <f t="shared" si="41"/>
        <v>1000</v>
      </c>
      <c r="AA125" s="52">
        <f t="shared" si="42"/>
        <v>3</v>
      </c>
      <c r="AB125" s="76">
        <f t="shared" si="43"/>
        <v>100</v>
      </c>
      <c r="AC125" s="75">
        <f t="shared" si="44"/>
        <v>0.10000000000000002</v>
      </c>
      <c r="AD125" s="119">
        <f t="shared" si="45"/>
        <v>999.99999999999977</v>
      </c>
      <c r="AE125" s="52">
        <f t="shared" si="46"/>
        <v>1</v>
      </c>
      <c r="AF125" s="52">
        <f t="shared" si="47"/>
        <v>6</v>
      </c>
      <c r="AG125" s="76">
        <f t="shared" si="48"/>
        <v>100</v>
      </c>
      <c r="AH125" s="75">
        <f t="shared" si="49"/>
        <v>9.9999999999999992E-2</v>
      </c>
      <c r="AI125" s="76">
        <f t="shared" si="50"/>
        <v>1000.0000000000001</v>
      </c>
      <c r="AJ125" s="52">
        <f t="shared" si="51"/>
        <v>1</v>
      </c>
      <c r="AK125" s="110"/>
    </row>
    <row r="126" spans="1:37">
      <c r="A126" s="17" t="s">
        <v>602</v>
      </c>
      <c r="B126" s="17" t="s">
        <v>69</v>
      </c>
      <c r="C126" s="115" t="s">
        <v>579</v>
      </c>
      <c r="D126" s="17" t="s">
        <v>603</v>
      </c>
      <c r="E126" s="50" t="s">
        <v>522</v>
      </c>
      <c r="F126" s="116">
        <v>60</v>
      </c>
      <c r="G126" s="116">
        <v>60</v>
      </c>
      <c r="H126" s="116">
        <v>60</v>
      </c>
      <c r="I126" s="116">
        <v>60</v>
      </c>
      <c r="J126" s="116">
        <v>60</v>
      </c>
      <c r="K126" s="116">
        <v>60</v>
      </c>
      <c r="L126" s="117">
        <v>0.1</v>
      </c>
      <c r="M126" s="117">
        <v>0.1</v>
      </c>
      <c r="N126" s="117">
        <v>0.1</v>
      </c>
      <c r="O126" s="117">
        <v>0.1</v>
      </c>
      <c r="P126" s="117">
        <v>0.1</v>
      </c>
      <c r="Q126" s="117">
        <v>0.1</v>
      </c>
      <c r="R126" s="118">
        <v>1</v>
      </c>
      <c r="S126" s="118">
        <v>1</v>
      </c>
      <c r="T126" s="118">
        <v>1</v>
      </c>
      <c r="U126" s="118">
        <v>1</v>
      </c>
      <c r="V126" s="118">
        <v>1</v>
      </c>
      <c r="W126" s="118">
        <v>1</v>
      </c>
      <c r="X126" s="52">
        <f t="shared" si="39"/>
        <v>600</v>
      </c>
      <c r="Y126" s="52">
        <f t="shared" si="40"/>
        <v>600</v>
      </c>
      <c r="Z126" s="52">
        <f t="shared" si="41"/>
        <v>600</v>
      </c>
      <c r="AA126" s="52">
        <f t="shared" si="42"/>
        <v>3</v>
      </c>
      <c r="AB126" s="76">
        <f t="shared" si="43"/>
        <v>60</v>
      </c>
      <c r="AC126" s="75">
        <f t="shared" si="44"/>
        <v>0.10000000000000002</v>
      </c>
      <c r="AD126" s="119">
        <f t="shared" si="45"/>
        <v>599.99999999999989</v>
      </c>
      <c r="AE126" s="52">
        <f t="shared" si="46"/>
        <v>1</v>
      </c>
      <c r="AF126" s="52">
        <f t="shared" si="47"/>
        <v>6</v>
      </c>
      <c r="AG126" s="76">
        <f t="shared" si="48"/>
        <v>60</v>
      </c>
      <c r="AH126" s="75">
        <f t="shared" si="49"/>
        <v>9.9999999999999992E-2</v>
      </c>
      <c r="AI126" s="76">
        <f t="shared" si="50"/>
        <v>600</v>
      </c>
      <c r="AJ126" s="52">
        <f t="shared" si="51"/>
        <v>1</v>
      </c>
      <c r="AK126" s="110"/>
    </row>
    <row r="127" spans="1:37">
      <c r="A127" s="17" t="s">
        <v>605</v>
      </c>
      <c r="B127" s="17" t="s">
        <v>69</v>
      </c>
      <c r="C127" s="115" t="s">
        <v>579</v>
      </c>
      <c r="D127" s="17" t="s">
        <v>606</v>
      </c>
      <c r="E127" s="50" t="s">
        <v>608</v>
      </c>
      <c r="F127" s="116">
        <v>1200</v>
      </c>
      <c r="G127" s="116">
        <v>1400</v>
      </c>
      <c r="H127" s="116">
        <v>1200</v>
      </c>
      <c r="I127" s="116">
        <v>1400</v>
      </c>
      <c r="J127" s="116">
        <v>1400</v>
      </c>
      <c r="K127" s="116">
        <v>1500</v>
      </c>
      <c r="L127" s="117">
        <v>8.5714285714285701E-2</v>
      </c>
      <c r="M127" s="117">
        <v>0.1</v>
      </c>
      <c r="N127" s="117">
        <v>8.5714285714285701E-2</v>
      </c>
      <c r="O127" s="117">
        <v>0.1</v>
      </c>
      <c r="P127" s="117">
        <v>0.1</v>
      </c>
      <c r="Q127" s="117">
        <v>0.1</v>
      </c>
      <c r="R127" s="118">
        <v>1</v>
      </c>
      <c r="S127" s="118">
        <v>1</v>
      </c>
      <c r="T127" s="118">
        <v>1</v>
      </c>
      <c r="U127" s="118">
        <v>1</v>
      </c>
      <c r="V127" s="118">
        <v>1</v>
      </c>
      <c r="W127" s="118">
        <v>1</v>
      </c>
      <c r="X127" s="52">
        <f t="shared" si="39"/>
        <v>14000.000000000002</v>
      </c>
      <c r="Y127" s="52">
        <f t="shared" si="40"/>
        <v>14000</v>
      </c>
      <c r="Z127" s="52">
        <f t="shared" si="41"/>
        <v>14000.000000000002</v>
      </c>
      <c r="AA127" s="52">
        <f t="shared" si="42"/>
        <v>3</v>
      </c>
      <c r="AB127" s="76">
        <f t="shared" si="43"/>
        <v>1266.6666666666667</v>
      </c>
      <c r="AC127" s="75">
        <f t="shared" si="44"/>
        <v>9.0476190476190474E-2</v>
      </c>
      <c r="AD127" s="119">
        <f t="shared" si="45"/>
        <v>14000.000000000002</v>
      </c>
      <c r="AE127" s="52">
        <f t="shared" si="46"/>
        <v>1</v>
      </c>
      <c r="AF127" s="52">
        <f t="shared" si="47"/>
        <v>6</v>
      </c>
      <c r="AG127" s="76">
        <f t="shared" si="48"/>
        <v>1350</v>
      </c>
      <c r="AH127" s="75">
        <f t="shared" si="49"/>
        <v>9.5238095238095233E-2</v>
      </c>
      <c r="AI127" s="76">
        <f t="shared" si="50"/>
        <v>14175</v>
      </c>
      <c r="AJ127" s="52">
        <f t="shared" si="51"/>
        <v>1</v>
      </c>
      <c r="AK127" s="110"/>
    </row>
    <row r="128" spans="1:37">
      <c r="A128" s="17" t="s">
        <v>611</v>
      </c>
      <c r="B128" s="17" t="s">
        <v>69</v>
      </c>
      <c r="C128" s="115" t="s">
        <v>292</v>
      </c>
      <c r="D128" s="17" t="s">
        <v>612</v>
      </c>
      <c r="E128" s="50" t="s">
        <v>202</v>
      </c>
      <c r="F128" s="116"/>
      <c r="G128" s="116"/>
      <c r="H128" s="116"/>
      <c r="I128" s="116"/>
      <c r="J128" s="116"/>
      <c r="K128" s="116"/>
      <c r="L128" s="117"/>
      <c r="M128" s="117"/>
      <c r="N128" s="117"/>
      <c r="O128" s="117"/>
      <c r="P128" s="117"/>
      <c r="Q128" s="117"/>
      <c r="R128" s="118"/>
      <c r="S128" s="118"/>
      <c r="T128" s="118"/>
      <c r="U128" s="118"/>
      <c r="V128" s="118"/>
      <c r="W128" s="118"/>
      <c r="X128" s="52">
        <f t="shared" si="39"/>
        <v>0</v>
      </c>
      <c r="Y128" s="52">
        <f t="shared" si="40"/>
        <v>0</v>
      </c>
      <c r="Z128" s="52">
        <f t="shared" si="41"/>
        <v>0</v>
      </c>
      <c r="AA128" s="52">
        <f t="shared" si="42"/>
        <v>0</v>
      </c>
      <c r="AB128" s="76">
        <f t="shared" si="43"/>
        <v>0</v>
      </c>
      <c r="AC128" s="75">
        <f t="shared" si="44"/>
        <v>0</v>
      </c>
      <c r="AD128" s="119">
        <f t="shared" si="45"/>
        <v>0</v>
      </c>
      <c r="AE128" s="52">
        <f t="shared" si="46"/>
        <v>1</v>
      </c>
      <c r="AF128" s="52">
        <f t="shared" si="47"/>
        <v>0</v>
      </c>
      <c r="AG128" s="76">
        <f t="shared" si="48"/>
        <v>0</v>
      </c>
      <c r="AH128" s="75">
        <f t="shared" si="49"/>
        <v>0</v>
      </c>
      <c r="AI128" s="76">
        <f t="shared" si="50"/>
        <v>0</v>
      </c>
      <c r="AJ128" s="52">
        <f t="shared" si="51"/>
        <v>1</v>
      </c>
      <c r="AK128" s="110" t="s">
        <v>690</v>
      </c>
    </row>
    <row r="129" spans="1:37">
      <c r="A129" s="17" t="s">
        <v>613</v>
      </c>
      <c r="B129" s="17" t="s">
        <v>69</v>
      </c>
      <c r="C129" s="115" t="s">
        <v>292</v>
      </c>
      <c r="D129" s="17" t="s">
        <v>614</v>
      </c>
      <c r="E129" s="50" t="s">
        <v>615</v>
      </c>
      <c r="F129" s="116"/>
      <c r="G129" s="116"/>
      <c r="H129" s="116"/>
      <c r="I129" s="116"/>
      <c r="J129" s="116"/>
      <c r="K129" s="116"/>
      <c r="L129" s="117"/>
      <c r="M129" s="117"/>
      <c r="N129" s="117"/>
      <c r="O129" s="117"/>
      <c r="P129" s="117"/>
      <c r="Q129" s="117"/>
      <c r="R129" s="118"/>
      <c r="S129" s="118"/>
      <c r="T129" s="118"/>
      <c r="U129" s="118"/>
      <c r="V129" s="118"/>
      <c r="W129" s="118"/>
      <c r="X129" s="52">
        <f t="shared" si="39"/>
        <v>0</v>
      </c>
      <c r="Y129" s="52">
        <f t="shared" si="40"/>
        <v>0</v>
      </c>
      <c r="Z129" s="52">
        <f t="shared" si="41"/>
        <v>0</v>
      </c>
      <c r="AA129" s="52">
        <f t="shared" si="42"/>
        <v>0</v>
      </c>
      <c r="AB129" s="76">
        <f t="shared" si="43"/>
        <v>0</v>
      </c>
      <c r="AC129" s="75">
        <f t="shared" si="44"/>
        <v>0</v>
      </c>
      <c r="AD129" s="119">
        <f t="shared" si="45"/>
        <v>0</v>
      </c>
      <c r="AE129" s="52">
        <f t="shared" si="46"/>
        <v>1</v>
      </c>
      <c r="AF129" s="52">
        <f t="shared" si="47"/>
        <v>0</v>
      </c>
      <c r="AG129" s="76">
        <f t="shared" si="48"/>
        <v>0</v>
      </c>
      <c r="AH129" s="75">
        <f t="shared" si="49"/>
        <v>0</v>
      </c>
      <c r="AI129" s="76">
        <f t="shared" si="50"/>
        <v>0</v>
      </c>
      <c r="AJ129" s="52">
        <f t="shared" si="51"/>
        <v>1</v>
      </c>
      <c r="AK129" s="110" t="s">
        <v>690</v>
      </c>
    </row>
    <row r="130" spans="1:37">
      <c r="A130" s="17" t="s">
        <v>616</v>
      </c>
      <c r="B130" s="17" t="s">
        <v>69</v>
      </c>
      <c r="C130" s="115" t="s">
        <v>292</v>
      </c>
      <c r="D130" s="17" t="s">
        <v>617</v>
      </c>
      <c r="E130" s="50" t="s">
        <v>522</v>
      </c>
      <c r="F130" s="116"/>
      <c r="G130" s="116"/>
      <c r="H130" s="116"/>
      <c r="I130" s="116"/>
      <c r="J130" s="116"/>
      <c r="K130" s="116"/>
      <c r="L130" s="117"/>
      <c r="M130" s="117"/>
      <c r="N130" s="117"/>
      <c r="O130" s="117"/>
      <c r="P130" s="117"/>
      <c r="Q130" s="117"/>
      <c r="R130" s="118"/>
      <c r="S130" s="118"/>
      <c r="T130" s="118"/>
      <c r="U130" s="118"/>
      <c r="V130" s="118"/>
      <c r="W130" s="118"/>
      <c r="X130" s="52">
        <f t="shared" si="39"/>
        <v>0</v>
      </c>
      <c r="Y130" s="52">
        <f t="shared" si="40"/>
        <v>0</v>
      </c>
      <c r="Z130" s="52">
        <f t="shared" si="41"/>
        <v>0</v>
      </c>
      <c r="AA130" s="52">
        <f t="shared" si="42"/>
        <v>0</v>
      </c>
      <c r="AB130" s="76">
        <f t="shared" si="43"/>
        <v>0</v>
      </c>
      <c r="AC130" s="75">
        <f t="shared" si="44"/>
        <v>0</v>
      </c>
      <c r="AD130" s="119">
        <f t="shared" si="45"/>
        <v>0</v>
      </c>
      <c r="AE130" s="52">
        <f t="shared" si="46"/>
        <v>1</v>
      </c>
      <c r="AF130" s="52">
        <f t="shared" si="47"/>
        <v>0</v>
      </c>
      <c r="AG130" s="76">
        <f t="shared" si="48"/>
        <v>0</v>
      </c>
      <c r="AH130" s="75">
        <f t="shared" si="49"/>
        <v>0</v>
      </c>
      <c r="AI130" s="76">
        <f t="shared" si="50"/>
        <v>0</v>
      </c>
      <c r="AJ130" s="52">
        <f t="shared" si="51"/>
        <v>1</v>
      </c>
      <c r="AK130" s="110" t="s">
        <v>690</v>
      </c>
    </row>
  </sheetData>
  <autoFilter ref="A6:AK130" xr:uid="{00000000-0009-0000-0000-00000A000000}"/>
  <mergeCells count="7">
    <mergeCell ref="AA5:AE5"/>
    <mergeCell ref="AF5:AJ5"/>
    <mergeCell ref="A5:E5"/>
    <mergeCell ref="F5:K5"/>
    <mergeCell ref="L5:Q5"/>
    <mergeCell ref="R5:W5"/>
    <mergeCell ref="X5:Z5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Guide</vt:lpstr>
      <vt:lpstr>Summary</vt:lpstr>
      <vt:lpstr>Settings</vt:lpstr>
      <vt:lpstr>Nursery</vt:lpstr>
      <vt:lpstr>Young Coffee</vt:lpstr>
      <vt:lpstr>Matured Coffee</vt:lpstr>
      <vt:lpstr>Infilling</vt:lpstr>
      <vt:lpstr>Harvesting</vt:lpstr>
      <vt:lpstr>Monthly</vt:lpstr>
      <vt:lpstr>Staff &amp; Overheads</vt:lpstr>
      <vt:lpstr>Benchmark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Biniam Tesfaye</cp:lastModifiedBy>
  <cp:revision>0</cp:revision>
  <dcterms:created xsi:type="dcterms:W3CDTF">2026-10-08T12:47:06Z</dcterms:created>
  <dcterms:modified xsi:type="dcterms:W3CDTF">2026-10-09T05:17:19Z</dcterms:modified>
  <dc:language>en-US</dc:language>
</cp:coreProperties>
</file>